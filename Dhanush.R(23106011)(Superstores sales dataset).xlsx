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drawings/drawing1.xml" ContentType="application/vnd.openxmlformats-officedocument.drawing+xml"/>
  <Override PartName="/xl/metadata.xml" ContentType="application/vnd.openxmlformats-officedocument.spreadsheetml.sheetMetadata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slicerCaches/slicerCache7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4080" firstSheet="2" activeTab="6"/>
  </bookViews>
  <sheets>
    <sheet name="Ship mode" sheetId="12" r:id="rId1"/>
    <sheet name="segment" sheetId="14" r:id="rId2"/>
    <sheet name="category" sheetId="15" r:id="rId3"/>
    <sheet name="SALES" sheetId="16" r:id="rId4"/>
    <sheet name="Customer" sheetId="17" r:id="rId5"/>
    <sheet name="Superstores sales dataset" sheetId="1" r:id="rId6"/>
    <sheet name="Dashboard" sheetId="18" r:id="rId7"/>
  </sheets>
  <definedNames>
    <definedName name="Slicer_Region">#N/A</definedName>
    <definedName name="Slicer_Segment">#N/A</definedName>
    <definedName name="Slicer_Sub_Category">#N/A</definedName>
    <definedName name="Slicer_Ship_Mode">#N/A</definedName>
    <definedName name="Slicer_Category">#N/A</definedName>
    <definedName name="Slicer_City">#N/A</definedName>
    <definedName name="Slicer_State">#N/A</definedName>
  </definedNames>
  <calcPr calcId="191029"/>
  <pivotCaches>
    <pivotCache cacheId="0" r:id="rId8"/>
  </pivotCaches>
  <extLst>
    <ext xmlns:x14="http://schemas.microsoft.com/office/spreadsheetml/2009/9/main" uri="{BBE1A952-AA13-448e-AADC-164F8A28A991}">
      <x14:slicerCaches>
        <x14:slicerCache r:id="rId15"/>
        <x14:slicerCache r:id="rId14"/>
        <x14:slicerCache r:id="rId13"/>
        <x14:slicerCache r:id="rId12"/>
        <x14:slicerCache r:id="rId11"/>
        <x14:slicerCache r:id="rId10"/>
        <x14:slicerCache r:id="rId9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<sst xmlns="http://schemas.openxmlformats.org/spreadsheetml/2006/main" count="8175" uniqueCount="2566">
  <si>
    <t>Ship Mode</t>
  </si>
  <si>
    <t xml:space="preserve">Sum of    Sales   </t>
  </si>
  <si>
    <t>Sum of Discount</t>
  </si>
  <si>
    <t xml:space="preserve">Average of    Sales   </t>
  </si>
  <si>
    <t>Standard Class</t>
  </si>
  <si>
    <t>Grand Total</t>
  </si>
  <si>
    <t>Category</t>
  </si>
  <si>
    <t>Count of Segment</t>
  </si>
  <si>
    <t>Furniture</t>
  </si>
  <si>
    <t>Office Supplies</t>
  </si>
  <si>
    <t>Technology</t>
  </si>
  <si>
    <t>Sum of Profit</t>
  </si>
  <si>
    <t>Sum of Adujested sales</t>
  </si>
  <si>
    <t>First Class</t>
  </si>
  <si>
    <t>(ALL)</t>
  </si>
  <si>
    <t>Sub-Category</t>
  </si>
  <si>
    <t>Art</t>
  </si>
  <si>
    <t>Product Name</t>
  </si>
  <si>
    <t>Product ID</t>
  </si>
  <si>
    <t>Sum of Quantity</t>
  </si>
  <si>
    <t>American Pencil</t>
  </si>
  <si>
    <t>OFF-AR-10001573</t>
  </si>
  <si>
    <t>Avery Hi-Liter EverBold Pen Style Fluorescent Highlighters, 4/Pack</t>
  </si>
  <si>
    <t>OFF-AR-10003478</t>
  </si>
  <si>
    <t>BIC Brite Liner Grip Highlighters, Assorted, 5/Pack</t>
  </si>
  <si>
    <t>OFF-AR-10000034</t>
  </si>
  <si>
    <t>BIC Brite Liner Highlighters</t>
  </si>
  <si>
    <t>OFF-AR-10004441</t>
  </si>
  <si>
    <t>Binney &amp; Smith Crayola Metallic Colored Pencils, 8-Color Set</t>
  </si>
  <si>
    <t>OFF-AR-10004685</t>
  </si>
  <si>
    <t>Binney &amp; Smith Crayola Metallic Crayons, 16-Color Pack</t>
  </si>
  <si>
    <t>OFF-AR-10001118</t>
  </si>
  <si>
    <t>Binney &amp; Smith inkTank Erasable Desk Highlighter, Chisel Tip, Yellow, 12/Box</t>
  </si>
  <si>
    <t>OFF-AR-10004027</t>
  </si>
  <si>
    <t>Boston 16801 Nautilus Battery Pencil Sharpener</t>
  </si>
  <si>
    <t>OFF-AR-10002956</t>
  </si>
  <si>
    <t>Boston 19500 Mighty Mite Electric Pencil Sharpener</t>
  </si>
  <si>
    <t>OFF-AR-10004648</t>
  </si>
  <si>
    <t>Boston School Pro Electric Pencil Sharpener, 1670</t>
  </si>
  <si>
    <t>OFF-AR-10003373</t>
  </si>
  <si>
    <t>Bulldog Vacuum Base Pencil Sharpener</t>
  </si>
  <si>
    <t>OFF-AR-10004344</t>
  </si>
  <si>
    <t>Crayola Colored Pencils</t>
  </si>
  <si>
    <t>OFF-AR-10004757</t>
  </si>
  <si>
    <t>Design Ebony Sketching Pencil</t>
  </si>
  <si>
    <t>OFF-AR-10000369</t>
  </si>
  <si>
    <t>Dixon My First Ticonderoga Pencil, #2</t>
  </si>
  <si>
    <t>OFF-AR-10003405</t>
  </si>
  <si>
    <t>DIXON Oriole Pencils</t>
  </si>
  <si>
    <t>OFF-AR-10002335</t>
  </si>
  <si>
    <t>Dixon Ticonderoga Core-Lock Colored Pencils</t>
  </si>
  <si>
    <t>OFF-AR-10003179</t>
  </si>
  <si>
    <t>Faber Castell Col-Erase Pencils</t>
  </si>
  <si>
    <t>OFF-AR-10002804</t>
  </si>
  <si>
    <t>Hunt BOSTON Model 1606 High-Volume Electric Pencil Sharpener, Beige</t>
  </si>
  <si>
    <t>OFF-AR-10002671</t>
  </si>
  <si>
    <t>Hunt PowerHouse Electric Pencil Sharpener, Blue</t>
  </si>
  <si>
    <t>OFF-AR-10000380</t>
  </si>
  <si>
    <t>Lumber Crayons</t>
  </si>
  <si>
    <t>OFF-AR-10001683</t>
  </si>
  <si>
    <t>Model L Table or Wall-Mount Pencil Sharpener</t>
  </si>
  <si>
    <t>OFF-AR-10001897</t>
  </si>
  <si>
    <t>Newell 311</t>
  </si>
  <si>
    <t>OFF-AR-10001547</t>
  </si>
  <si>
    <t>Newell 312</t>
  </si>
  <si>
    <t>OFF-AR-10004078</t>
  </si>
  <si>
    <t>Newell 314</t>
  </si>
  <si>
    <t>OFF-AR-10000122</t>
  </si>
  <si>
    <t>Newell 318</t>
  </si>
  <si>
    <t>OFF-AR-10000246</t>
  </si>
  <si>
    <t>Newell 32</t>
  </si>
  <si>
    <t>OFF-AR-10003190</t>
  </si>
  <si>
    <t>Newell 324</t>
  </si>
  <si>
    <t>OFF-AR-10000658</t>
  </si>
  <si>
    <t>Newell 327</t>
  </si>
  <si>
    <t>OFF-AR-10003811</t>
  </si>
  <si>
    <t>Newell 331</t>
  </si>
  <si>
    <t>OFF-AR-10001954</t>
  </si>
  <si>
    <t>Newell 332</t>
  </si>
  <si>
    <t>OFF-AR-10003394</t>
  </si>
  <si>
    <t>Newell 336</t>
  </si>
  <si>
    <t>OFF-AR-10000203</t>
  </si>
  <si>
    <t>Newell 341</t>
  </si>
  <si>
    <t>OFF-AR-10003056</t>
  </si>
  <si>
    <t>Newell 343</t>
  </si>
  <si>
    <t>OFF-AR-10000940</t>
  </si>
  <si>
    <t>Newell 345</t>
  </si>
  <si>
    <t>OFF-AR-10000588</t>
  </si>
  <si>
    <t>Newell 350</t>
  </si>
  <si>
    <t>OFF-AR-10003651</t>
  </si>
  <si>
    <t>Prang Colored Pencils</t>
  </si>
  <si>
    <t>OFF-AR-10003045</t>
  </si>
  <si>
    <t>Premium Writing Pencils, Soft, #2 by Central Association for the Blind</t>
  </si>
  <si>
    <t>OFF-AR-10002053</t>
  </si>
  <si>
    <t>Quartet Omega Colored Chalk, 12/Pack</t>
  </si>
  <si>
    <t>OFF-AR-10003602</t>
  </si>
  <si>
    <t>Rogers Handheld Barrel Pencil Sharpener</t>
  </si>
  <si>
    <t>OFF-AR-10001662</t>
  </si>
  <si>
    <t>Sanford Colorific Eraseable Coloring Pencils, 12 Count</t>
  </si>
  <si>
    <t>OFF-AR-10001940</t>
  </si>
  <si>
    <t>Sanford Uni-Blazer View Highlighters, Chisel Tip, Yellow</t>
  </si>
  <si>
    <t>OFF-AR-10001026</t>
  </si>
  <si>
    <t>Stanley Bostitch Contemporary Electric Pencil Sharpeners</t>
  </si>
  <si>
    <t>OFF-AR-10001958</t>
  </si>
  <si>
    <t>Staples in misc. colors</t>
  </si>
  <si>
    <t>OFF-AR-10001166</t>
  </si>
  <si>
    <t>Turquoise Lead Holder with Pocket Clip</t>
  </si>
  <si>
    <t>OFF-AR-10004930</t>
  </si>
  <si>
    <t>Zebra Zazzle Fluorescent Highlighters</t>
  </si>
  <si>
    <t>OFF-AR-10003560</t>
  </si>
  <si>
    <t>Segment</t>
  </si>
  <si>
    <t>Consumer</t>
  </si>
  <si>
    <t>Country</t>
  </si>
  <si>
    <t>Region</t>
  </si>
  <si>
    <t>Customer ID</t>
  </si>
  <si>
    <t>Customer Name</t>
  </si>
  <si>
    <t>City</t>
  </si>
  <si>
    <t>State</t>
  </si>
  <si>
    <t>Postal Code</t>
  </si>
  <si>
    <t>AA-10375</t>
  </si>
  <si>
    <t>Allen Armold</t>
  </si>
  <si>
    <t>Mesa</t>
  </si>
  <si>
    <t>Arizona</t>
  </si>
  <si>
    <t>Omaha</t>
  </si>
  <si>
    <t>Nebraska</t>
  </si>
  <si>
    <t>AA-10480</t>
  </si>
  <si>
    <t>Andrew Allen</t>
  </si>
  <si>
    <t>Concord</t>
  </si>
  <si>
    <t>North Carolina</t>
  </si>
  <si>
    <t>AB-10105</t>
  </si>
  <si>
    <t>Adrian Barton</t>
  </si>
  <si>
    <t>Houston</t>
  </si>
  <si>
    <t>Texas</t>
  </si>
  <si>
    <t>AB-10165</t>
  </si>
  <si>
    <t>Alan Barnes</t>
  </si>
  <si>
    <t>Los Angeles</t>
  </si>
  <si>
    <t>California</t>
  </si>
  <si>
    <t>Toledo</t>
  </si>
  <si>
    <t>Ohio</t>
  </si>
  <si>
    <t>AF-10885</t>
  </si>
  <si>
    <t>Art Foster</t>
  </si>
  <si>
    <t>Louisville</t>
  </si>
  <si>
    <t>Kentucky</t>
  </si>
  <si>
    <t>AG-10270</t>
  </si>
  <si>
    <t>Alejandro Grove</t>
  </si>
  <si>
    <t>West Jordan</t>
  </si>
  <si>
    <t>Utah</t>
  </si>
  <si>
    <t>AG-10390</t>
  </si>
  <si>
    <t>Allen Goldenen</t>
  </si>
  <si>
    <t>Cincinnati</t>
  </si>
  <si>
    <t>AG-10675</t>
  </si>
  <si>
    <t>Anna Gayman</t>
  </si>
  <si>
    <t>AG-10900</t>
  </si>
  <si>
    <t>Arthur Gainer</t>
  </si>
  <si>
    <t>Eau Claire</t>
  </si>
  <si>
    <t>Wisconsin</t>
  </si>
  <si>
    <t>Tucson</t>
  </si>
  <si>
    <t>AH-10210</t>
  </si>
  <si>
    <t>Alan Hwang</t>
  </si>
  <si>
    <t>Brentwood</t>
  </si>
  <si>
    <t>AJ-10945</t>
  </si>
  <si>
    <t>Ashley Jarboe</t>
  </si>
  <si>
    <t>Detroit</t>
  </si>
  <si>
    <t>Michigan</t>
  </si>
  <si>
    <t>Wilmington</t>
  </si>
  <si>
    <t>AJ-10960</t>
  </si>
  <si>
    <t>Astrea Jones</t>
  </si>
  <si>
    <t>Rochester</t>
  </si>
  <si>
    <t>New York</t>
  </si>
  <si>
    <t>AP-10915</t>
  </si>
  <si>
    <t>Arthur Prichep</t>
  </si>
  <si>
    <t>Palm Coast</t>
  </si>
  <si>
    <t>Florida</t>
  </si>
  <si>
    <t>AR-10510</t>
  </si>
  <si>
    <t>Andrew Roberts</t>
  </si>
  <si>
    <t>Philadelphia</t>
  </si>
  <si>
    <t>Pennsylvania</t>
  </si>
  <si>
    <t>AS-10240</t>
  </si>
  <si>
    <t>Alan Shonely</t>
  </si>
  <si>
    <t>Tampa</t>
  </si>
  <si>
    <t>AT-10735</t>
  </si>
  <si>
    <t>Annie Thurman</t>
  </si>
  <si>
    <t>Chicago</t>
  </si>
  <si>
    <t>Illinois</t>
  </si>
  <si>
    <t>Seattle</t>
  </si>
  <si>
    <t>Washington</t>
  </si>
  <si>
    <t>BD-11320</t>
  </si>
  <si>
    <t>Bill Donatelli</t>
  </si>
  <si>
    <t>San Francisco</t>
  </si>
  <si>
    <t>BD-11500</t>
  </si>
  <si>
    <t>Bradley Drucker</t>
  </si>
  <si>
    <t>Green Bay</t>
  </si>
  <si>
    <t>BD-11605</t>
  </si>
  <si>
    <t>Brian Dahlen</t>
  </si>
  <si>
    <t>Lawrence</t>
  </si>
  <si>
    <t>Massachusetts</t>
  </si>
  <si>
    <t>Miami</t>
  </si>
  <si>
    <t>BD-11725</t>
  </si>
  <si>
    <t>Bruce Degenhardt</t>
  </si>
  <si>
    <t>Richmond</t>
  </si>
  <si>
    <t>BH-11710</t>
  </si>
  <si>
    <t>Brosina Hoffman</t>
  </si>
  <si>
    <t>BK-11260</t>
  </si>
  <si>
    <t>Berenike Kampe</t>
  </si>
  <si>
    <t>New York City</t>
  </si>
  <si>
    <t>BM-11140</t>
  </si>
  <si>
    <t>Becky Martin</t>
  </si>
  <si>
    <t>San Antonio</t>
  </si>
  <si>
    <t>BM-11785</t>
  </si>
  <si>
    <t>Bryan Mills</t>
  </si>
  <si>
    <t>Buffalo Grove</t>
  </si>
  <si>
    <t>Columbus</t>
  </si>
  <si>
    <t>BN-11515</t>
  </si>
  <si>
    <t>Bradley Nguyen</t>
  </si>
  <si>
    <t>BS-11755</t>
  </si>
  <si>
    <t>Bruce Stewart</t>
  </si>
  <si>
    <t>Denver</t>
  </si>
  <si>
    <t>Colorado</t>
  </si>
  <si>
    <t>CA-12265</t>
  </si>
  <si>
    <t>Christina Anderson</t>
  </si>
  <si>
    <t>CA-12775</t>
  </si>
  <si>
    <t>Cynthia Arntzen</t>
  </si>
  <si>
    <t>CB-12025</t>
  </si>
  <si>
    <t>Cassandra Brandow</t>
  </si>
  <si>
    <t>Arlington</t>
  </si>
  <si>
    <t>Hamilton</t>
  </si>
  <si>
    <t>CC-12145</t>
  </si>
  <si>
    <t>Charles Crestani</t>
  </si>
  <si>
    <t>CC-12550</t>
  </si>
  <si>
    <t>Clay Cheatham</t>
  </si>
  <si>
    <t>CC-12670</t>
  </si>
  <si>
    <t>Craig Carreira</t>
  </si>
  <si>
    <t>CD-11920</t>
  </si>
  <si>
    <t>Carlos Daly</t>
  </si>
  <si>
    <t>Lake Elsinore</t>
  </si>
  <si>
    <t>CD-11980</t>
  </si>
  <si>
    <t>Carol Darley</t>
  </si>
  <si>
    <t>Tyler</t>
  </si>
  <si>
    <t>CG-12520</t>
  </si>
  <si>
    <t>Claire Gute</t>
  </si>
  <si>
    <t>Henderson</t>
  </si>
  <si>
    <t>CJ-12010</t>
  </si>
  <si>
    <t>Caroline Jumper</t>
  </si>
  <si>
    <t>Huntington Beach</t>
  </si>
  <si>
    <t>CK-12205</t>
  </si>
  <si>
    <t>Chloris Kastensmidt</t>
  </si>
  <si>
    <t>CK-12595</t>
  </si>
  <si>
    <t>Clytie Kelty</t>
  </si>
  <si>
    <t>Grove City</t>
  </si>
  <si>
    <t>CL-12565</t>
  </si>
  <si>
    <t>Clay Ludtke</t>
  </si>
  <si>
    <t>Lancaster</t>
  </si>
  <si>
    <t>Urbandale</t>
  </si>
  <si>
    <t>Iowa</t>
  </si>
  <si>
    <t>CM-12385</t>
  </si>
  <si>
    <t>Christopher Martinez</t>
  </si>
  <si>
    <t>Atlanta</t>
  </si>
  <si>
    <t>Georgia</t>
  </si>
  <si>
    <t>CM-12445</t>
  </si>
  <si>
    <t>Chuck Magee</t>
  </si>
  <si>
    <t>CR-12730</t>
  </si>
  <si>
    <t>Craig Reiter</t>
  </si>
  <si>
    <t>CS-11950</t>
  </si>
  <si>
    <t>Carlos Soltero</t>
  </si>
  <si>
    <t>CS-12130</t>
  </si>
  <si>
    <t>Chad Sievert</t>
  </si>
  <si>
    <t>Austin</t>
  </si>
  <si>
    <t>DB-13060</t>
  </si>
  <si>
    <t>Dave Brooks</t>
  </si>
  <si>
    <t>Lowell</t>
  </si>
  <si>
    <t>DB-13210</t>
  </si>
  <si>
    <t>Dean Braden</t>
  </si>
  <si>
    <t>DB-13615</t>
  </si>
  <si>
    <t>Doug Bickford</t>
  </si>
  <si>
    <t>DC-12850</t>
  </si>
  <si>
    <t>Dan Campbell</t>
  </si>
  <si>
    <t>Cleveland</t>
  </si>
  <si>
    <t>DC-13285</t>
  </si>
  <si>
    <t>Debra Catini</t>
  </si>
  <si>
    <t>Cottage Grove</t>
  </si>
  <si>
    <t>Minnesota</t>
  </si>
  <si>
    <t>DJ-13630</t>
  </si>
  <si>
    <t>Doug Jacobs</t>
  </si>
  <si>
    <t>DK-12985</t>
  </si>
  <si>
    <t>Darren Koutras</t>
  </si>
  <si>
    <t>DK-13090</t>
  </si>
  <si>
    <t>Dave Kipp</t>
  </si>
  <si>
    <t>Springfield</t>
  </si>
  <si>
    <t>Virginia</t>
  </si>
  <si>
    <t>DL-12865</t>
  </si>
  <si>
    <t>Dan Lawera</t>
  </si>
  <si>
    <t>DL-12925</t>
  </si>
  <si>
    <t>Daniel Lacy</t>
  </si>
  <si>
    <t>Oceanside</t>
  </si>
  <si>
    <t>DL-13315</t>
  </si>
  <si>
    <t>Delfina Latchford</t>
  </si>
  <si>
    <t>DN-13690</t>
  </si>
  <si>
    <t>Duane Noonan</t>
  </si>
  <si>
    <t>DO-13435</t>
  </si>
  <si>
    <t>Denny Ordway</t>
  </si>
  <si>
    <t>Pembroke Pines</t>
  </si>
  <si>
    <t>DP-13000</t>
  </si>
  <si>
    <t>Darren Powers</t>
  </si>
  <si>
    <t>New Albany</t>
  </si>
  <si>
    <t>Indiana</t>
  </si>
  <si>
    <t>DP-13165</t>
  </si>
  <si>
    <t>David Philippe</t>
  </si>
  <si>
    <t>DV-13465</t>
  </si>
  <si>
    <t>Dianna Vittorini</t>
  </si>
  <si>
    <t>EB-13870</t>
  </si>
  <si>
    <t>Emily Burns</t>
  </si>
  <si>
    <t>Orem</t>
  </si>
  <si>
    <t>EB-13930</t>
  </si>
  <si>
    <t>Eric Barreto</t>
  </si>
  <si>
    <t>Saint Petersburg</t>
  </si>
  <si>
    <t>EG-13900</t>
  </si>
  <si>
    <t>Emily Grady</t>
  </si>
  <si>
    <t>EH-13945</t>
  </si>
  <si>
    <t>Eric Hoffmann</t>
  </si>
  <si>
    <t>EM-13960</t>
  </si>
  <si>
    <t>Eric Murdock</t>
  </si>
  <si>
    <t>EM-14065</t>
  </si>
  <si>
    <t>Erin Mull</t>
  </si>
  <si>
    <t>EP-13915</t>
  </si>
  <si>
    <t>Emily Phan</t>
  </si>
  <si>
    <t>ES-14020</t>
  </si>
  <si>
    <t>Erica Smith</t>
  </si>
  <si>
    <t>FM-14380</t>
  </si>
  <si>
    <t>Fred McMath</t>
  </si>
  <si>
    <t>Aurora</t>
  </si>
  <si>
    <t>FP-14320</t>
  </si>
  <si>
    <t>Frank Preis</t>
  </si>
  <si>
    <t>GA-14725</t>
  </si>
  <si>
    <t>Guy Armstrong</t>
  </si>
  <si>
    <t>Charlotte</t>
  </si>
  <si>
    <t>Lorain</t>
  </si>
  <si>
    <t>GH-14665</t>
  </si>
  <si>
    <t>Greg Hansen</t>
  </si>
  <si>
    <t>Round Rock</t>
  </si>
  <si>
    <t>GM-14440</t>
  </si>
  <si>
    <t>Gary McGarr</t>
  </si>
  <si>
    <t>GT-14710</t>
  </si>
  <si>
    <t>Greg Tran</t>
  </si>
  <si>
    <t>Lakeville</t>
  </si>
  <si>
    <t>District of Columbia</t>
  </si>
  <si>
    <t>GT-14755</t>
  </si>
  <si>
    <t>Guy Thornton</t>
  </si>
  <si>
    <t>Harlingen</t>
  </si>
  <si>
    <t>GZ-14470</t>
  </si>
  <si>
    <t>Gary Zandusky</t>
  </si>
  <si>
    <t>HA-14920</t>
  </si>
  <si>
    <t>Helen Andreada</t>
  </si>
  <si>
    <t>Pasadena</t>
  </si>
  <si>
    <t>HL-15040</t>
  </si>
  <si>
    <t>Hunter Lopez</t>
  </si>
  <si>
    <t>HM-14980</t>
  </si>
  <si>
    <t>Henry MacAllister</t>
  </si>
  <si>
    <t>IM-15055</t>
  </si>
  <si>
    <t>Ionia McGrath</t>
  </si>
  <si>
    <t>Las Vegas</t>
  </si>
  <si>
    <t>Nevada</t>
  </si>
  <si>
    <t>IM-15070</t>
  </si>
  <si>
    <t>Irene Maddox</t>
  </si>
  <si>
    <t>JA-15970</t>
  </si>
  <si>
    <t>Joseph Airdo</t>
  </si>
  <si>
    <t>Phoenix</t>
  </si>
  <si>
    <t>JB-15925</t>
  </si>
  <si>
    <t>Joni Blumstein</t>
  </si>
  <si>
    <t>Dublin</t>
  </si>
  <si>
    <t>JC-15340</t>
  </si>
  <si>
    <t>Jasper Cacioppo</t>
  </si>
  <si>
    <t>JD-16060</t>
  </si>
  <si>
    <t>Julia Dunbar</t>
  </si>
  <si>
    <t>JE-15475</t>
  </si>
  <si>
    <t>Jeremy Ellison</t>
  </si>
  <si>
    <t>New Rochelle</t>
  </si>
  <si>
    <t>Troy</t>
  </si>
  <si>
    <t>JE-15745</t>
  </si>
  <si>
    <t>Joel Eaton</t>
  </si>
  <si>
    <t>Florence</t>
  </si>
  <si>
    <t>Memphis</t>
  </si>
  <si>
    <t>Tennessee</t>
  </si>
  <si>
    <t>Newark</t>
  </si>
  <si>
    <t>JF-15355</t>
  </si>
  <si>
    <t>Jay Fein</t>
  </si>
  <si>
    <t>JF-15415</t>
  </si>
  <si>
    <t>Jennifer Ferguson</t>
  </si>
  <si>
    <t>JF-15490</t>
  </si>
  <si>
    <t>Jeremy Farry</t>
  </si>
  <si>
    <t>JG-15115</t>
  </si>
  <si>
    <t>Jack Garza</t>
  </si>
  <si>
    <t>Des Moines</t>
  </si>
  <si>
    <t>JH-15430</t>
  </si>
  <si>
    <t>Jennifer Halladay</t>
  </si>
  <si>
    <t>Burlington</t>
  </si>
  <si>
    <t>JH-15910</t>
  </si>
  <si>
    <t>Jonathan Howell</t>
  </si>
  <si>
    <t>JH-15985</t>
  </si>
  <si>
    <t>Joseph Holt</t>
  </si>
  <si>
    <t>Saginaw</t>
  </si>
  <si>
    <t>JJ-15445</t>
  </si>
  <si>
    <t>Jennifer Jackson</t>
  </si>
  <si>
    <t>JK-15370</t>
  </si>
  <si>
    <t>Jay Kimmel</t>
  </si>
  <si>
    <t>Long Beach</t>
  </si>
  <si>
    <t>JK-15730</t>
  </si>
  <si>
    <t>Joe Kamberova</t>
  </si>
  <si>
    <t>Asheville</t>
  </si>
  <si>
    <t>Jacksonville</t>
  </si>
  <si>
    <t>JL-15505</t>
  </si>
  <si>
    <t>Jeremy Lonsdale</t>
  </si>
  <si>
    <t>JL-15835</t>
  </si>
  <si>
    <t>John Lee</t>
  </si>
  <si>
    <t>Mission Viejo</t>
  </si>
  <si>
    <t>JL-15850</t>
  </si>
  <si>
    <t>John Lucas</t>
  </si>
  <si>
    <t>JM-15250</t>
  </si>
  <si>
    <t>Janet Martin</t>
  </si>
  <si>
    <t>JM-15535</t>
  </si>
  <si>
    <t>Jessica Myrick</t>
  </si>
  <si>
    <t>JO-15280</t>
  </si>
  <si>
    <t>Jas O'Carroll</t>
  </si>
  <si>
    <t>JP-15520</t>
  </si>
  <si>
    <t>Jeremy Pistek</t>
  </si>
  <si>
    <t>JS-15880</t>
  </si>
  <si>
    <t>John Stevenson</t>
  </si>
  <si>
    <t>KB-16315</t>
  </si>
  <si>
    <t>Karl Braun</t>
  </si>
  <si>
    <t>Minneapolis</t>
  </si>
  <si>
    <t>KC-16540</t>
  </si>
  <si>
    <t>Kelly Collister</t>
  </si>
  <si>
    <t>San Diego</t>
  </si>
  <si>
    <t>KD-16270</t>
  </si>
  <si>
    <t>Karen Daniels</t>
  </si>
  <si>
    <t>KD-16345</t>
  </si>
  <si>
    <t>Katherine Ducich</t>
  </si>
  <si>
    <t>KH-16360</t>
  </si>
  <si>
    <t>Katherine Hughes</t>
  </si>
  <si>
    <t>KH-16510</t>
  </si>
  <si>
    <t>Keith Herrera</t>
  </si>
  <si>
    <t>KL-16645</t>
  </si>
  <si>
    <t>Ken Lonsdale</t>
  </si>
  <si>
    <t>Layton</t>
  </si>
  <si>
    <t>KM-16660</t>
  </si>
  <si>
    <t>Khloe Miller</t>
  </si>
  <si>
    <t>KM-16720</t>
  </si>
  <si>
    <t>Kunst Miller</t>
  </si>
  <si>
    <t>Avondale</t>
  </si>
  <si>
    <t>KW-16435</t>
  </si>
  <si>
    <t>Katrina Willman</t>
  </si>
  <si>
    <t>LC-16870</t>
  </si>
  <si>
    <t>Lena Cacioppo</t>
  </si>
  <si>
    <t>LC-16885</t>
  </si>
  <si>
    <t>Lena Creighton</t>
  </si>
  <si>
    <t>Roseville</t>
  </si>
  <si>
    <t>LC-17140</t>
  </si>
  <si>
    <t>Logan Currie</t>
  </si>
  <si>
    <t>Dallas</t>
  </si>
  <si>
    <t>LE-16810</t>
  </si>
  <si>
    <t>Laurel Elliston</t>
  </si>
  <si>
    <t>Whittier</t>
  </si>
  <si>
    <t>LF-17185</t>
  </si>
  <si>
    <t>Luke Foster</t>
  </si>
  <si>
    <t>LH-16900</t>
  </si>
  <si>
    <t>Lena Hernandez</t>
  </si>
  <si>
    <t>Dover</t>
  </si>
  <si>
    <t>Delaware</t>
  </si>
  <si>
    <t>LH-17020</t>
  </si>
  <si>
    <t>Lisa Hazard</t>
  </si>
  <si>
    <t>LH-17155</t>
  </si>
  <si>
    <t>Logan Haushalter</t>
  </si>
  <si>
    <t>LL-16840</t>
  </si>
  <si>
    <t>Lauren Leatherbury</t>
  </si>
  <si>
    <t>LM-17065</t>
  </si>
  <si>
    <t>Liz MacKendrick</t>
  </si>
  <si>
    <t>LP-17080</t>
  </si>
  <si>
    <t>Liz Pelletier</t>
  </si>
  <si>
    <t>LR-16915</t>
  </si>
  <si>
    <t>Lena Radford</t>
  </si>
  <si>
    <t>LS-17245</t>
  </si>
  <si>
    <t>Lynn Smith</t>
  </si>
  <si>
    <t>Gladstone</t>
  </si>
  <si>
    <t>Missouri</t>
  </si>
  <si>
    <t>LT-17110</t>
  </si>
  <si>
    <t>Liz Thompson</t>
  </si>
  <si>
    <t>MB-17305</t>
  </si>
  <si>
    <t>Maria Bertelson</t>
  </si>
  <si>
    <t>Akron</t>
  </si>
  <si>
    <t>MC-17845</t>
  </si>
  <si>
    <t>Michael Chen</t>
  </si>
  <si>
    <t>Jackson</t>
  </si>
  <si>
    <t>Mississippi</t>
  </si>
  <si>
    <t>MD-17350</t>
  </si>
  <si>
    <t>Maribeth Dona</t>
  </si>
  <si>
    <t>Fayetteville</t>
  </si>
  <si>
    <t>Arkansas</t>
  </si>
  <si>
    <t>ME-17725</t>
  </si>
  <si>
    <t>Max Engle</t>
  </si>
  <si>
    <t>MG-17695</t>
  </si>
  <si>
    <t>Maureen Gnade</t>
  </si>
  <si>
    <t>MG-18145</t>
  </si>
  <si>
    <t>Mike Gockenbach</t>
  </si>
  <si>
    <t>MJ-17740</t>
  </si>
  <si>
    <t>Max Jones</t>
  </si>
  <si>
    <t>MK-18160</t>
  </si>
  <si>
    <t>Mike Kennedy</t>
  </si>
  <si>
    <t>MO-17500</t>
  </si>
  <si>
    <t>Mary O'Rourke</t>
  </si>
  <si>
    <t>MS-17365</t>
  </si>
  <si>
    <t>Maribeth Schnelling</t>
  </si>
  <si>
    <t>Boca Raton</t>
  </si>
  <si>
    <t>MS-17830</t>
  </si>
  <si>
    <t>Melanie Seite</t>
  </si>
  <si>
    <t>Laredo</t>
  </si>
  <si>
    <t>MT-17815</t>
  </si>
  <si>
    <t>Meg Tillman</t>
  </si>
  <si>
    <t>Scottsdale</t>
  </si>
  <si>
    <t>MV-18190</t>
  </si>
  <si>
    <t>Mike Vittorini</t>
  </si>
  <si>
    <t>NF-18385</t>
  </si>
  <si>
    <t>Natalie Fritzler</t>
  </si>
  <si>
    <t>Decatur</t>
  </si>
  <si>
    <t>NG-18430</t>
  </si>
  <si>
    <t>Nathan Gelder</t>
  </si>
  <si>
    <t>NP-18325</t>
  </si>
  <si>
    <t>Naresj Patel</t>
  </si>
  <si>
    <t>Waynesboro</t>
  </si>
  <si>
    <t>NP-18670</t>
  </si>
  <si>
    <t>Nora Paige</t>
  </si>
  <si>
    <t>Edmond</t>
  </si>
  <si>
    <t>Oklahoma</t>
  </si>
  <si>
    <t>NS-18505</t>
  </si>
  <si>
    <t>Neola Schneider</t>
  </si>
  <si>
    <t>OT-18730</t>
  </si>
  <si>
    <t>Olvera Toch</t>
  </si>
  <si>
    <t>PB-19105</t>
  </si>
  <si>
    <t>Peter Bhler</t>
  </si>
  <si>
    <t>Evanston</t>
  </si>
  <si>
    <t>PB-19150</t>
  </si>
  <si>
    <t>Philip Brown</t>
  </si>
  <si>
    <t>PF-19165</t>
  </si>
  <si>
    <t>Philip Fox</t>
  </si>
  <si>
    <t>Bloomington</t>
  </si>
  <si>
    <t>Olympia</t>
  </si>
  <si>
    <t>PG-18820</t>
  </si>
  <si>
    <t>Patrick Gardner</t>
  </si>
  <si>
    <t>PG-18895</t>
  </si>
  <si>
    <t>Paul Gonzalez</t>
  </si>
  <si>
    <t>Fort Worth</t>
  </si>
  <si>
    <t>Morristown</t>
  </si>
  <si>
    <t>New Jersey</t>
  </si>
  <si>
    <t>PJ-19015</t>
  </si>
  <si>
    <t>Pauline Johnson</t>
  </si>
  <si>
    <t>Santa Ana</t>
  </si>
  <si>
    <t>PK-19075</t>
  </si>
  <si>
    <t>Pete Kriz</t>
  </si>
  <si>
    <t>Madison</t>
  </si>
  <si>
    <t>PO-18850</t>
  </si>
  <si>
    <t>Patrick O'Brill</t>
  </si>
  <si>
    <t>PO-18865</t>
  </si>
  <si>
    <t>Patrick O'Donnell</t>
  </si>
  <si>
    <t>Columbia</t>
  </si>
  <si>
    <t>South Carolina</t>
  </si>
  <si>
    <t>Westland</t>
  </si>
  <si>
    <t>PR-18880</t>
  </si>
  <si>
    <t>Patrick Ryan</t>
  </si>
  <si>
    <t>RA-19285</t>
  </si>
  <si>
    <t>Ralph Arnett</t>
  </si>
  <si>
    <t>RA-19915</t>
  </si>
  <si>
    <t>Russell Applegate</t>
  </si>
  <si>
    <t>RA-19945</t>
  </si>
  <si>
    <t>Ryan Akin</t>
  </si>
  <si>
    <t>Murrieta</t>
  </si>
  <si>
    <t>RB-19360</t>
  </si>
  <si>
    <t>Raymond Buch</t>
  </si>
  <si>
    <t>Auburn</t>
  </si>
  <si>
    <t>RB-19570</t>
  </si>
  <si>
    <t>Rob Beeghly</t>
  </si>
  <si>
    <t>RC-19825</t>
  </si>
  <si>
    <t>Roy Collins</t>
  </si>
  <si>
    <t>Alexandria</t>
  </si>
  <si>
    <t>RC-19960</t>
  </si>
  <si>
    <t>Ryan Crowe</t>
  </si>
  <si>
    <t>RD-19480</t>
  </si>
  <si>
    <t>Rick Duston</t>
  </si>
  <si>
    <t>RD-19585</t>
  </si>
  <si>
    <t>Rob Dowd</t>
  </si>
  <si>
    <t>RD-19900</t>
  </si>
  <si>
    <t>Ruben Dartt</t>
  </si>
  <si>
    <t>Carlsbad</t>
  </si>
  <si>
    <t>New Mexico</t>
  </si>
  <si>
    <t>RF-19735</t>
  </si>
  <si>
    <t>Roland Fjeld</t>
  </si>
  <si>
    <t>San Jose</t>
  </si>
  <si>
    <t>Trenton</t>
  </si>
  <si>
    <t>RF-19840</t>
  </si>
  <si>
    <t>Roy Franzsisch</t>
  </si>
  <si>
    <t>RH-19495</t>
  </si>
  <si>
    <t>Rick Hansen</t>
  </si>
  <si>
    <t>RK-19300</t>
  </si>
  <si>
    <t>Ralph Kennedy</t>
  </si>
  <si>
    <t>RL-19615</t>
  </si>
  <si>
    <t>Rob Lucas</t>
  </si>
  <si>
    <t>Montgomery</t>
  </si>
  <si>
    <t>Alabama</t>
  </si>
  <si>
    <t>RO-19780</t>
  </si>
  <si>
    <t>Rose O'Brian</t>
  </si>
  <si>
    <t>RP-19390</t>
  </si>
  <si>
    <t>Resi Plking</t>
  </si>
  <si>
    <t>RW-19690</t>
  </si>
  <si>
    <t>Robert Waldorf</t>
  </si>
  <si>
    <t>SA-20830</t>
  </si>
  <si>
    <t>Sue Ann Reed</t>
  </si>
  <si>
    <t>SC-20095</t>
  </si>
  <si>
    <t>Sanjit Chand</t>
  </si>
  <si>
    <t>Costa Mesa</t>
  </si>
  <si>
    <t>SC-20305</t>
  </si>
  <si>
    <t>Sean Christensen</t>
  </si>
  <si>
    <t>Rochester Hills</t>
  </si>
  <si>
    <t>SC-20725</t>
  </si>
  <si>
    <t>Steven Cartwright</t>
  </si>
  <si>
    <t>SE-20110</t>
  </si>
  <si>
    <t>Sanjit Engle</t>
  </si>
  <si>
    <t>SF-20065</t>
  </si>
  <si>
    <t>Sandra Flanagan</t>
  </si>
  <si>
    <t>SF-20200</t>
  </si>
  <si>
    <t>Sarah Foster</t>
  </si>
  <si>
    <t>Marysville</t>
  </si>
  <si>
    <t>SG-20080</t>
  </si>
  <si>
    <t>Sandra Glassco</t>
  </si>
  <si>
    <t>Independence</t>
  </si>
  <si>
    <t>SH-20395</t>
  </si>
  <si>
    <t>Shahid Hopkins</t>
  </si>
  <si>
    <t>SJ-20500</t>
  </si>
  <si>
    <t>Shirley Jackson</t>
  </si>
  <si>
    <t>SK-19990</t>
  </si>
  <si>
    <t>Sally Knutson</t>
  </si>
  <si>
    <t>Fairfield</t>
  </si>
  <si>
    <t>Connecticut</t>
  </si>
  <si>
    <t>SM-20005</t>
  </si>
  <si>
    <t>Sally Matthias</t>
  </si>
  <si>
    <t>SO-20335</t>
  </si>
  <si>
    <t>Sean O'Donnell</t>
  </si>
  <si>
    <t>Fort Lauderdale</t>
  </si>
  <si>
    <t>SS-20590</t>
  </si>
  <si>
    <t>Sonia Sunley</t>
  </si>
  <si>
    <t>SS-20875</t>
  </si>
  <si>
    <t>Sung Shariari</t>
  </si>
  <si>
    <t>SV-20365</t>
  </si>
  <si>
    <t>Seth Vernon</t>
  </si>
  <si>
    <t>SV-20785</t>
  </si>
  <si>
    <t>Stewart Visinsky</t>
  </si>
  <si>
    <t>SW-20275</t>
  </si>
  <si>
    <t>Scott Williamson</t>
  </si>
  <si>
    <t>TB-21055</t>
  </si>
  <si>
    <t>Ted Butterfield</t>
  </si>
  <si>
    <t>TB-21520</t>
  </si>
  <si>
    <t>Tracy Blumstein</t>
  </si>
  <si>
    <t>New Hampshire</t>
  </si>
  <si>
    <t>Portland</t>
  </si>
  <si>
    <t>Oregon</t>
  </si>
  <si>
    <t>TB-21595</t>
  </si>
  <si>
    <t>Troy Blackwell</t>
  </si>
  <si>
    <t>TD-20995</t>
  </si>
  <si>
    <t>Tamara Dahlen</t>
  </si>
  <si>
    <t>Garland</t>
  </si>
  <si>
    <t>Quincy</t>
  </si>
  <si>
    <t>TG-21640</t>
  </si>
  <si>
    <t>Trudy Glocke</t>
  </si>
  <si>
    <t>TP-21130</t>
  </si>
  <si>
    <t>Theone Pippenger</t>
  </si>
  <si>
    <t>Naperville</t>
  </si>
  <si>
    <t>TR-21325</t>
  </si>
  <si>
    <t>Toby Ritter</t>
  </si>
  <si>
    <t>Belleville</t>
  </si>
  <si>
    <t>TS-21340</t>
  </si>
  <si>
    <t>Toby Swindell</t>
  </si>
  <si>
    <t>TS-21610</t>
  </si>
  <si>
    <t>Troy Staebel</t>
  </si>
  <si>
    <t>TT-21070</t>
  </si>
  <si>
    <t>Ted Trevino</t>
  </si>
  <si>
    <t>TZ-21580</t>
  </si>
  <si>
    <t>Tracy Zic</t>
  </si>
  <si>
    <t>VD-21670</t>
  </si>
  <si>
    <t>Valerie Dominguez</t>
  </si>
  <si>
    <t>VG-21790</t>
  </si>
  <si>
    <t>Vivek Gonzalez</t>
  </si>
  <si>
    <t>XP-21865</t>
  </si>
  <si>
    <t>Xylona Preis</t>
  </si>
  <si>
    <t>ZC-21910</t>
  </si>
  <si>
    <t>Zuschuss Carroll</t>
  </si>
  <si>
    <t>Edmonds</t>
  </si>
  <si>
    <t>Salem</t>
  </si>
  <si>
    <t>ZD-21925</t>
  </si>
  <si>
    <t>Zuschuss Donatelli</t>
  </si>
  <si>
    <t>Row ID</t>
  </si>
  <si>
    <t>Order ID</t>
  </si>
  <si>
    <t>Order Date</t>
  </si>
  <si>
    <t>Ship Date</t>
  </si>
  <si>
    <t xml:space="preserve">   Sales   </t>
  </si>
  <si>
    <t>Quantity</t>
  </si>
  <si>
    <t>Discount</t>
  </si>
  <si>
    <t xml:space="preserve">   Profit   </t>
  </si>
  <si>
    <t>Profit</t>
  </si>
  <si>
    <t>Adujested sales</t>
  </si>
  <si>
    <t>Error flag</t>
  </si>
  <si>
    <t>CA-2016-152156</t>
  </si>
  <si>
    <t>Second Class</t>
  </si>
  <si>
    <t>United States</t>
  </si>
  <si>
    <t>South</t>
  </si>
  <si>
    <t>FUR-BO-10001798</t>
  </si>
  <si>
    <t>Bookcases</t>
  </si>
  <si>
    <t>Bush Somerset Collection Bookcase</t>
  </si>
  <si>
    <t>CA-2016-138688</t>
  </si>
  <si>
    <t>DV-13045</t>
  </si>
  <si>
    <t>Darrin Van Huff</t>
  </si>
  <si>
    <t>Corporate</t>
  </si>
  <si>
    <t>West</t>
  </si>
  <si>
    <t>OFF-LA-10000240</t>
  </si>
  <si>
    <t>Labels</t>
  </si>
  <si>
    <t>Self-Adhesive Address Labels for Typewriters by Universal</t>
  </si>
  <si>
    <t>US-2015-108966</t>
  </si>
  <si>
    <t>FUR-TA-10000577</t>
  </si>
  <si>
    <t>Tables</t>
  </si>
  <si>
    <t>Bretford CR4500 Series Slim Rectangular Table</t>
  </si>
  <si>
    <t>CA-2014-115812</t>
  </si>
  <si>
    <t>FUR-FU-10001487</t>
  </si>
  <si>
    <t>Furnishings</t>
  </si>
  <si>
    <t>Eldon Expressions Wood and Plastic Desk Accessories, Cherry Wood</t>
  </si>
  <si>
    <t>CA-2017-114412</t>
  </si>
  <si>
    <t>OFF-PA-10002365</t>
  </si>
  <si>
    <t>Paper</t>
  </si>
  <si>
    <t>Xerox 1967</t>
  </si>
  <si>
    <t>What if</t>
  </si>
  <si>
    <t>CA-2016-161389</t>
  </si>
  <si>
    <t>OFF-BI-10003656</t>
  </si>
  <si>
    <t>Binders</t>
  </si>
  <si>
    <t>Fellowes PB200 Plastic Comb Binding Machine</t>
  </si>
  <si>
    <t>US-2015-118983</t>
  </si>
  <si>
    <t>HP-14815</t>
  </si>
  <si>
    <t>Harold Pawlan</t>
  </si>
  <si>
    <t>Home Office</t>
  </si>
  <si>
    <t>Central</t>
  </si>
  <si>
    <t>OFF-AP-10002311</t>
  </si>
  <si>
    <t>Appliances</t>
  </si>
  <si>
    <t>Holmes Replacement Filter for HEPA Air Cleaner, Very Large Room, HEPA Filter</t>
  </si>
  <si>
    <t>CA-2014-105893</t>
  </si>
  <si>
    <t>OFF-ST-10004186</t>
  </si>
  <si>
    <t>Storage</t>
  </si>
  <si>
    <t>Stur-D-Stor Shelving, Vertical 5-Shelf: 72"H x 36"W x 18 1/2"D</t>
  </si>
  <si>
    <t>CA-2014-167164</t>
  </si>
  <si>
    <t>OFF-ST-10000107</t>
  </si>
  <si>
    <t>Fellowes Super Stor/Drawer</t>
  </si>
  <si>
    <t>CA-2014-143336</t>
  </si>
  <si>
    <t>CA-2016-137330</t>
  </si>
  <si>
    <t>KB-16585</t>
  </si>
  <si>
    <t>Ken Black</t>
  </si>
  <si>
    <t>Fremont</t>
  </si>
  <si>
    <t>US-2017-156909</t>
  </si>
  <si>
    <t>East</t>
  </si>
  <si>
    <t>FUR-CH-10002774</t>
  </si>
  <si>
    <t>Chairs</t>
  </si>
  <si>
    <t>Global Deluxe Stacking Chair, Gray</t>
  </si>
  <si>
    <t>CA-2015-106320</t>
  </si>
  <si>
    <t>CA-2016-121755</t>
  </si>
  <si>
    <t>OFF-BI-10001634</t>
  </si>
  <si>
    <t>Wilson Jones Active Use Binders</t>
  </si>
  <si>
    <t>US-2015-150630</t>
  </si>
  <si>
    <t>FUR-BO-10004834</t>
  </si>
  <si>
    <t>Riverside Palais Royal Lawyers Bookcase, Royale Cherry Finish</t>
  </si>
  <si>
    <t>CA-2017-107727</t>
  </si>
  <si>
    <t>MA-17560</t>
  </si>
  <si>
    <t>Matt Abelman</t>
  </si>
  <si>
    <t>OFF-PA-10000249</t>
  </si>
  <si>
    <t>Easy-staple paper</t>
  </si>
  <si>
    <t>CA-2016-117590</t>
  </si>
  <si>
    <t>GH-14485</t>
  </si>
  <si>
    <t>Gene Hale</t>
  </si>
  <si>
    <t>Richardson</t>
  </si>
  <si>
    <t>TEC-PH-10004977</t>
  </si>
  <si>
    <t>Phones</t>
  </si>
  <si>
    <t>GE 30524EE4</t>
  </si>
  <si>
    <t>CA-2015-117415</t>
  </si>
  <si>
    <t>SN-20710</t>
  </si>
  <si>
    <t>Steve Nguyen</t>
  </si>
  <si>
    <t>OFF-EN-10002986</t>
  </si>
  <si>
    <t>Envelopes</t>
  </si>
  <si>
    <t>#10-4 1/8" x 9 1/2" Premium Diagonal Seam Envelopes</t>
  </si>
  <si>
    <t>CA-2017-120999</t>
  </si>
  <si>
    <t>LC-16930</t>
  </si>
  <si>
    <t>Linda Cazamias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</si>
  <si>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</si>
  <si>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</si>
  <si>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</si>
  <si>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</si>
  <si>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</si>
  <si>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</si>
  <si>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</si>
  <si>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</si>
  <si>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</si>
  <si>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</si>
  <si>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</si>
  <si>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</si>
  <si>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</si>
  <si>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</si>
  <si>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</si>
  <si>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</si>
  <si>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</si>
  <si>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TEC-AC-10000171</t>
  </si>
  <si>
    <t>Accessories</t>
  </si>
  <si>
    <t>Verbatim 25 GB 6x Blu-ray Single Layer Recordable Disc, 25/Pack</t>
  </si>
  <si>
    <t>CA-2014-146703</t>
  </si>
  <si>
    <t>OFF-ST-10001713</t>
  </si>
  <si>
    <t>Gould Plastics 9-Pocket Panel Bin, 18-3/8w x 5-1/4d x 20-1/2h, Black</t>
  </si>
  <si>
    <t>CA-2016-169194</t>
  </si>
  <si>
    <t>TEC-AC-10002167</t>
  </si>
  <si>
    <t>Imation8gb Micro Traveldrive Usb 2.0Flash Drive</t>
  </si>
  <si>
    <t>CA-2015-115742</t>
  </si>
  <si>
    <t>OFF-BI-10004410</t>
  </si>
  <si>
    <t>C-Line Peel &amp; Stick Add-On Filing Pockets, 8-3/4 x 5-1/8, 10/Pack</t>
  </si>
  <si>
    <t>CA-2016-105816</t>
  </si>
  <si>
    <t>JM-15265</t>
  </si>
  <si>
    <t>Janet Molinari</t>
  </si>
  <si>
    <t>OFF-FA-10000304</t>
  </si>
  <si>
    <t>Fasteners</t>
  </si>
  <si>
    <t>Advantus Push Pins</t>
  </si>
  <si>
    <t>CA-2016-111682</t>
  </si>
  <si>
    <t>OFF-ST-10000604</t>
  </si>
  <si>
    <t>Home/Office Personal File Carts</t>
  </si>
  <si>
    <t>CA-2015-135545</t>
  </si>
  <si>
    <t>TEC-AC-10004633</t>
  </si>
  <si>
    <t>Verbatim 25 GB 6x Blu-ray Single Layer Recordable Disc, 3/Pack</t>
  </si>
  <si>
    <t>US-2015-164175</t>
  </si>
  <si>
    <t>PS-18970</t>
  </si>
  <si>
    <t>Paul Stevenson</t>
  </si>
  <si>
    <t>FUR-CH-10001146</t>
  </si>
  <si>
    <t>Global Value Mid-Back Manager's Chair, Gray</t>
  </si>
  <si>
    <t>Total revenue</t>
  </si>
  <si>
    <t xml:space="preserve">Avg order value </t>
  </si>
  <si>
    <t>Total discount</t>
  </si>
  <si>
    <t>count furniture</t>
  </si>
  <si>
    <t>count consumer</t>
  </si>
  <si>
    <t>furnitue &amp;consumer</t>
  </si>
  <si>
    <t>discount customer</t>
  </si>
  <si>
    <t>Total qt sold</t>
  </si>
  <si>
    <t>Top product sales</t>
  </si>
  <si>
    <t>Top category</t>
  </si>
  <si>
    <t>CA-2014-106376</t>
  </si>
  <si>
    <t>BS-11590</t>
  </si>
  <si>
    <t>Brendan Sweed</t>
  </si>
  <si>
    <t>Gilbert</t>
  </si>
  <si>
    <t>CA-2016-119823</t>
  </si>
  <si>
    <t>OFF-PA-10000482</t>
  </si>
  <si>
    <t>Snap-A-Way Black Print Carbonless Ruled Speed Letter, Triplicate</t>
  </si>
  <si>
    <t>CA-2016-106075</t>
  </si>
  <si>
    <t>OFF-BI-10004654</t>
  </si>
  <si>
    <t>Avery Binding System Hidden Tab Executive Style Index Sets</t>
  </si>
  <si>
    <t>CA-2017-114440</t>
  </si>
  <si>
    <t>OFF-PA-10004675</t>
  </si>
  <si>
    <t>Telephone Message Books with Fax/Mobile Section, 5 1/2" x 3 3/16"</t>
  </si>
  <si>
    <t>US-2015-134026</t>
  </si>
  <si>
    <t>FUR-CH-10000513</t>
  </si>
  <si>
    <t>High-Back Leather Manager's Chair</t>
  </si>
  <si>
    <t>US-2017-118038</t>
  </si>
  <si>
    <t>KB-16600</t>
  </si>
  <si>
    <t>Ken Brennan</t>
  </si>
  <si>
    <t>OFF-BI-10004182</t>
  </si>
  <si>
    <t>Economy Binders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</si>
  <si>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</si>
  <si>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</si>
  <si>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</si>
  <si>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</si>
  <si>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</si>
  <si>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</si>
  <si>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OFF-AP-10002118</t>
  </si>
  <si>
    <t>1.7 Cubic Foot Compact "Cube" Office Refrigerators</t>
  </si>
  <si>
    <t>CA-2014-139451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</si>
  <si>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</si>
  <si>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</si>
  <si>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</si>
  <si>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</si>
  <si>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</si>
  <si>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</si>
  <si>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</si>
  <si>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</si>
  <si>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</si>
  <si>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</si>
  <si>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</si>
  <si>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</si>
  <si>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FUR-CH-10000863</t>
  </si>
  <si>
    <t>Novimex Swivel Fabric Task Chair</t>
  </si>
  <si>
    <t>CA-2017-155558</t>
  </si>
  <si>
    <t>TEC-AC-10001998</t>
  </si>
  <si>
    <t>LogitechLS21 Speaker System - PC Multimedia - 2.1-CH - Wired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</si>
  <si>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</si>
  <si>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</si>
  <si>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</si>
  <si>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</si>
  <si>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</si>
  <si>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</si>
  <si>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</si>
  <si>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</si>
  <si>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CA-2015-149587</t>
  </si>
  <si>
    <t>OFF-PA-10003177</t>
  </si>
  <si>
    <t>Xerox 1999</t>
  </si>
  <si>
    <t>US-2017-109484</t>
  </si>
  <si>
    <t>RB-19705</t>
  </si>
  <si>
    <t>Roger Barcio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</si>
  <si>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</si>
  <si>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</si>
  <si>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</si>
  <si>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</si>
  <si>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</si>
  <si>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</si>
  <si>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</si>
  <si>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</si>
  <si>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</si>
  <si>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</si>
  <si>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</si>
  <si>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</si>
  <si>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</si>
  <si>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</si>
  <si>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</si>
  <si>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</si>
  <si>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</si>
  <si>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</si>
  <si>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</si>
  <si>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</si>
  <si>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</si>
  <si>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CA-2016-129903</t>
  </si>
  <si>
    <t>OFF-PA-10004040</t>
  </si>
  <si>
    <t>Universal Premium White Copier/Laser Paper (20Lb. and 87 Bright)</t>
  </si>
  <si>
    <t>US-2015-156867</t>
  </si>
  <si>
    <t>TEC-AC-10001552</t>
  </si>
  <si>
    <t>Logitech K350 2.4Ghz Wireless Keyboard</t>
  </si>
  <si>
    <t>CA-2017-119004</t>
  </si>
  <si>
    <t>TEC-AC-10003499</t>
  </si>
  <si>
    <t>Memorex Mini Travel Drive 8 GB USB 2.0 Flash Drive</t>
  </si>
  <si>
    <t>CA-2015-129476</t>
  </si>
  <si>
    <t>PA-19060</t>
  </si>
  <si>
    <t>Pete Armstrong</t>
  </si>
  <si>
    <t>Orland Park</t>
  </si>
  <si>
    <t>TEC-AC-10000844</t>
  </si>
  <si>
    <t>LogitechGaming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</si>
  <si>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</si>
  <si>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</si>
  <si>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</si>
  <si>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</si>
  <si>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</si>
  <si>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</si>
  <si>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CA-2014-115259</t>
  </si>
  <si>
    <t>OFF-FA-10000621</t>
  </si>
  <si>
    <t>OIC Colored Binder Clips, Assorted Sizes</t>
  </si>
  <si>
    <t>CA-2015-110457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</si>
  <si>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</si>
  <si>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</si>
  <si>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</si>
  <si>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</si>
  <si>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</si>
  <si>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</si>
  <si>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</si>
  <si>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</si>
  <si>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</si>
  <si>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FUR-FU-10002157</t>
  </si>
  <si>
    <t>Artistic Insta-Plaque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</si>
  <si>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</si>
  <si>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</si>
  <si>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</si>
  <si>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</si>
  <si>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</si>
  <si>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</si>
  <si>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FUR-TA-10004534</t>
  </si>
  <si>
    <t>Bevis 44 x 96 Conference Tables</t>
  </si>
  <si>
    <t>US-2017-107272</t>
  </si>
  <si>
    <t>OFF-BI-10003274</t>
  </si>
  <si>
    <t>Avery Durable Slant Ring Binders, No Labels</t>
  </si>
  <si>
    <t>US-2016-125969</t>
  </si>
  <si>
    <t>LS-16975</t>
  </si>
  <si>
    <t>Lindsay Shagiari</t>
  </si>
  <si>
    <t>Global Task Chair, Black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</si>
  <si>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</si>
  <si>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</si>
  <si>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</si>
  <si>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</si>
  <si>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</si>
  <si>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CA-2016-145583</t>
  </si>
  <si>
    <t>OFF-PA-10001804</t>
  </si>
  <si>
    <t>Xerox 195</t>
  </si>
  <si>
    <t>CA-2016-110366</t>
  </si>
  <si>
    <t>JD-15895</t>
  </si>
  <si>
    <t>Jonathan Doherty</t>
  </si>
  <si>
    <t>FUR-FU-10004848</t>
  </si>
  <si>
    <t>Howard Miller 13-3/4" Diameter Brushed Chrome Round Wall Clock</t>
  </si>
  <si>
    <t>CA-2017-106180</t>
  </si>
  <si>
    <t>SH-19975</t>
  </si>
  <si>
    <t>Sally Hughsby</t>
  </si>
  <si>
    <t>CA-2017-155376</t>
  </si>
  <si>
    <t>OFF-AP-10001058</t>
  </si>
  <si>
    <t>Sanyo 2.5 Cubic Foot Mid-Size Office Refrigerators</t>
  </si>
  <si>
    <t>CA-2015-110744</t>
  </si>
  <si>
    <t>CA-2014-110072</t>
  </si>
  <si>
    <t>MG-17680</t>
  </si>
  <si>
    <t>Maureen Gastineau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</si>
  <si>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</si>
  <si>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</si>
  <si>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</si>
  <si>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</si>
  <si>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</si>
  <si>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</si>
  <si>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</si>
  <si>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CordlessPhone Headsetwith In-line Volume - M214C</t>
  </si>
  <si>
    <t>CA-2016-158834</t>
  </si>
  <si>
    <t>TW-21025</t>
  </si>
  <si>
    <t>Tamara Willingham</t>
  </si>
  <si>
    <t>OFF-AP-10000326</t>
  </si>
  <si>
    <t>Belkin 7 Outlet SurgeMaster Surge Protector with Phone Protection</t>
  </si>
  <si>
    <t>CA-2015-124919</t>
  </si>
  <si>
    <t>SP-20650</t>
  </si>
  <si>
    <t>Stephanie Phelps</t>
  </si>
  <si>
    <t>OFF-PA-10001950</t>
  </si>
  <si>
    <t>Southworth 25% Cotton Antique Laid Paper &amp; Envelopes</t>
  </si>
  <si>
    <t>CA-2015-118948</t>
  </si>
  <si>
    <t>NK-18490</t>
  </si>
  <si>
    <t>Neil Knudson</t>
  </si>
  <si>
    <t>CA-2014-104269</t>
  </si>
  <si>
    <t>CA-2016-114104</t>
  </si>
  <si>
    <t>OFF-LA-10002475</t>
  </si>
  <si>
    <t>Avery 519</t>
  </si>
  <si>
    <t>CA-2016-162733</t>
  </si>
  <si>
    <t>OFF-PA-10002751</t>
  </si>
  <si>
    <t>Xerox 1920</t>
  </si>
  <si>
    <t>CA-2015-119697</t>
  </si>
  <si>
    <t>TEC-AC-10003657</t>
  </si>
  <si>
    <t>Lenovo 17-Key USB Numeric Keypad</t>
  </si>
  <si>
    <t>CA-2016-154508</t>
  </si>
  <si>
    <t>OFF-EN-10001990</t>
  </si>
  <si>
    <t>Staple envelope</t>
  </si>
  <si>
    <t>CA-2016-113817</t>
  </si>
  <si>
    <t>OFF-BI-10004002</t>
  </si>
  <si>
    <t>Wilson Jones International Size A4 Ring Binders</t>
  </si>
  <si>
    <t>CA-2014-139892</t>
  </si>
  <si>
    <t>CA-2014-118962</t>
  </si>
  <si>
    <t>OFF-PA-10000659</t>
  </si>
  <si>
    <t>Adams Phone Message Book, Professional, 400 Message Capacity, 5 3/6 x 11</t>
  </si>
  <si>
    <t>US-2014-100853</t>
  </si>
  <si>
    <t>JB-15400</t>
  </si>
  <si>
    <t>Jennifer Braxton</t>
  </si>
  <si>
    <t>OFF-AP-10000891</t>
  </si>
  <si>
    <t>Kensington 7 Outlet MasterPiece HOMEOFFICE Power Control Center</t>
  </si>
  <si>
    <t>US-2017-152366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</si>
  <si>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</si>
  <si>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</si>
  <si>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</si>
  <si>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</si>
  <si>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</si>
  <si>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CA-2015-137225</t>
  </si>
  <si>
    <t>JK-15640</t>
  </si>
  <si>
    <t>Jim Kriz</t>
  </si>
  <si>
    <t>CA-2014-166191</t>
  </si>
  <si>
    <t>DK-13150</t>
  </si>
  <si>
    <t>David Kendrick</t>
  </si>
  <si>
    <t>OFF-ST-10003455</t>
  </si>
  <si>
    <t>Tenex File Box, Personal Filing Tote with Lid, Black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</si>
  <si>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</si>
  <si>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</si>
  <si>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</si>
  <si>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</si>
  <si>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</si>
  <si>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</si>
  <si>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</si>
  <si>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CA-2016-105018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</si>
  <si>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</si>
  <si>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</si>
  <si>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</si>
  <si>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</si>
  <si>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</si>
  <si>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</si>
  <si>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</si>
  <si>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</si>
  <si>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</si>
  <si>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</si>
  <si>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</si>
  <si>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</si>
  <si>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</si>
  <si>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</si>
  <si>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</si>
  <si>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</si>
  <si>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</si>
  <si>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</si>
  <si>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CA-2015-131457</t>
  </si>
  <si>
    <t>MZ-17515</t>
  </si>
  <si>
    <t>Mary Zewe</t>
  </si>
  <si>
    <t>Redlands</t>
  </si>
  <si>
    <t>OFF-EN-10001509</t>
  </si>
  <si>
    <t>Poly String Tie Envelopes</t>
  </si>
  <si>
    <t>CA-2014-140004</t>
  </si>
  <si>
    <t>CA-2017-107720</t>
  </si>
  <si>
    <t>VM-21685</t>
  </si>
  <si>
    <t>Valerie Mitchum</t>
  </si>
  <si>
    <t>Westfield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</si>
  <si>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</si>
  <si>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</si>
  <si>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</si>
  <si>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</si>
  <si>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</si>
  <si>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</si>
  <si>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</si>
  <si>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CA-2017-105074</t>
  </si>
  <si>
    <t>OFF-PA-10002666</t>
  </si>
  <si>
    <t>Southworth 25% Cotton Linen-Finish Paper &amp; Envelopes</t>
  </si>
  <si>
    <t>CA-2014-133690</t>
  </si>
  <si>
    <t>FUR-TA-10004289</t>
  </si>
  <si>
    <t>BoxOffice By Design Rectangular and Half-Moon Meeting Room Tables</t>
  </si>
  <si>
    <t>US-2017-116701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</si>
  <si>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</si>
  <si>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</si>
  <si>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</si>
  <si>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</si>
  <si>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</si>
  <si>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</si>
  <si>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</si>
  <si>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</si>
  <si>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TEC-PH-10001918</t>
  </si>
  <si>
    <t>Nortel Business Series Terminal T7208 Digital phone</t>
  </si>
  <si>
    <t>CA-2017-135860</t>
  </si>
  <si>
    <t>OFF-ST-10000642</t>
  </si>
  <si>
    <t>Tennsco Lockers, Gray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</si>
  <si>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</si>
  <si>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</si>
  <si>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</si>
  <si>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</si>
  <si>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</si>
  <si>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</si>
  <si>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</si>
  <si>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</si>
  <si>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</si>
  <si>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</si>
  <si>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</si>
  <si>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CA-2016-130162</t>
  </si>
  <si>
    <t>CA-2015-169397</t>
  </si>
  <si>
    <t>OFF-FA-10000585</t>
  </si>
  <si>
    <t>OIC Bulk Pack Metal Binder Clips</t>
  </si>
  <si>
    <t>CA-2015-163055</t>
  </si>
  <si>
    <t>DS-13180</t>
  </si>
  <si>
    <t>David Smith</t>
  </si>
  <si>
    <t>US-2015-145436</t>
  </si>
  <si>
    <t>FUR-CH-10004860</t>
  </si>
  <si>
    <t>Global Low Back Tilter Chair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</si>
  <si>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</si>
  <si>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</si>
  <si>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</si>
  <si>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</si>
  <si>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</si>
  <si>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</si>
  <si>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FUR-TA-10001705</t>
  </si>
  <si>
    <t>Bush Advantage Collection Round Conference Table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</si>
  <si>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</si>
  <si>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</si>
  <si>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</si>
  <si>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</si>
  <si>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</si>
  <si>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</si>
  <si>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</si>
  <si>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OFF-PA-10003349</t>
  </si>
  <si>
    <t>Xerox 1957</t>
  </si>
  <si>
    <t>CA-2014-131926</t>
  </si>
  <si>
    <t>DW-13480</t>
  </si>
  <si>
    <t>Dianna Wilson</t>
  </si>
  <si>
    <t>CA-2016-154739</t>
  </si>
  <si>
    <t>FUR-CH-10002965</t>
  </si>
  <si>
    <t>Global Leather Highback Executive Chair with Pneumatic Height Adjustment, Black</t>
  </si>
  <si>
    <t>CA-2016-145625</t>
  </si>
  <si>
    <t>OFF-PA-10004569</t>
  </si>
  <si>
    <t>Wirebound Message Books, Two 4 1/4" x 5" Forms per Page</t>
  </si>
  <si>
    <t>CA-2016-146941</t>
  </si>
  <si>
    <t>OFF-ST-10001228</t>
  </si>
  <si>
    <t>Fellowes Personal Hanging Folder Files, Navy</t>
  </si>
  <si>
    <t>US-2015-159982</t>
  </si>
  <si>
    <t>DR-12880</t>
  </si>
  <si>
    <t>Dan Reichenbach</t>
  </si>
  <si>
    <t>FUR-FU-10002505</t>
  </si>
  <si>
    <t>Eldon 100 Class Desk Accessories</t>
  </si>
  <si>
    <t>CA-2017-163139</t>
  </si>
  <si>
    <t>TEC-AC-10000290</t>
  </si>
  <si>
    <t>Sabrent 4-Port USB 2.0 Hub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</si>
  <si>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</si>
  <si>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</si>
  <si>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</si>
  <si>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</si>
  <si>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</si>
  <si>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</si>
  <si>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</si>
  <si>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</si>
  <si>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TEC-MA-10000822</t>
  </si>
  <si>
    <t>Machines</t>
  </si>
  <si>
    <t>Lexmark MX611dhe Monochrome Laser Printer</t>
  </si>
  <si>
    <t>CA-2016-125318</t>
  </si>
  <si>
    <t>TEC-PH-10001433</t>
  </si>
  <si>
    <t>Cisco Small Business SPA 502G VoIP phone</t>
  </si>
  <si>
    <t>CA-2015-155040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</si>
  <si>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</si>
  <si>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</si>
  <si>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</si>
  <si>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</si>
  <si>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</si>
  <si>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</si>
  <si>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CA-2016-111010</t>
  </si>
  <si>
    <t>OFF-FA-10003472</t>
  </si>
  <si>
    <t>Bagged Rubber Bands</t>
  </si>
  <si>
    <t>US-2017-145366</t>
  </si>
  <si>
    <t>CA-12310</t>
  </si>
  <si>
    <t>Christine Abelman</t>
  </si>
  <si>
    <t>OFF-ST-10004180</t>
  </si>
  <si>
    <t>Safco Commercial Shelving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</si>
  <si>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</si>
  <si>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</si>
  <si>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</si>
  <si>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</si>
  <si>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</si>
  <si>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</si>
  <si>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</si>
  <si>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</si>
  <si>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</si>
  <si>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</si>
  <si>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</si>
  <si>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</si>
  <si>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</si>
  <si>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</si>
  <si>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CA-2017-132976</t>
  </si>
  <si>
    <t>AG-10495</t>
  </si>
  <si>
    <t>Andrew Gjertsen</t>
  </si>
  <si>
    <t>OFF-PA-10000673</t>
  </si>
  <si>
    <t>Post-it Important Message Note Pad, Neon Colors, 50 Sheets/Pad</t>
  </si>
  <si>
    <t>US-2015-161991</t>
  </si>
  <si>
    <t>OFF-BI-10004967</t>
  </si>
  <si>
    <t>Round Ring Binders</t>
  </si>
  <si>
    <t>CA-2015-130890</t>
  </si>
  <si>
    <t>FUR-TA-10002903</t>
  </si>
  <si>
    <t>Bevis Round Bullnose 29" High Table Top</t>
  </si>
  <si>
    <t>CA-2015-130883</t>
  </si>
  <si>
    <t>OFF-PA-10000474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</si>
  <si>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</si>
  <si>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</si>
  <si>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</si>
  <si>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</si>
  <si>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</si>
  <si>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</si>
  <si>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CA-2016-110772</t>
  </si>
  <si>
    <t>NZ-18565</t>
  </si>
  <si>
    <t>Nick Zandusky</t>
  </si>
  <si>
    <t>OFF-FA-10002983</t>
  </si>
  <si>
    <t>Advantus SlideClip Paper Clips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</si>
  <si>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</si>
  <si>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</si>
  <si>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</si>
  <si>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</si>
  <si>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</si>
  <si>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</si>
  <si>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CA-2016-142545</t>
  </si>
  <si>
    <t>OFF-PA-10002105</t>
  </si>
  <si>
    <t>Xerox 223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</si>
  <si>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</si>
  <si>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</si>
  <si>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</si>
  <si>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</si>
  <si>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</si>
  <si>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</si>
  <si>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</si>
  <si>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</si>
  <si>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</si>
  <si>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</si>
  <si>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</si>
  <si>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</si>
  <si>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</si>
  <si>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</si>
  <si>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</si>
  <si>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</si>
  <si>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CA-2017-126774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</si>
  <si>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</si>
  <si>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</si>
  <si>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</si>
  <si>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</si>
  <si>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</si>
  <si>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</si>
  <si>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</si>
  <si>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</si>
  <si>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</si>
  <si>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</si>
  <si>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</si>
  <si>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</si>
  <si>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</si>
  <si>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</si>
  <si>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</si>
  <si>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TEC-PH-10002398</t>
  </si>
  <si>
    <t>AT&amp;T 1070 Corded Phone</t>
  </si>
  <si>
    <t>CA-2014-164259</t>
  </si>
  <si>
    <t>SP-20860</t>
  </si>
  <si>
    <t>Sung Pak</t>
  </si>
  <si>
    <t>CA-2014-164973</t>
  </si>
  <si>
    <t>NM-18445</t>
  </si>
  <si>
    <t>Nathan Mautz</t>
  </si>
  <si>
    <t>FUR-CH-10002602</t>
  </si>
  <si>
    <t>DMI Arturo Collection Mission-style Design Wood Chair</t>
  </si>
  <si>
    <t>CA-2014-156601</t>
  </si>
  <si>
    <t>FA-14230</t>
  </si>
  <si>
    <t>Frank Atkinson</t>
  </si>
  <si>
    <t>OFF-FA-10000624</t>
  </si>
  <si>
    <t>OIC Binder Clips</t>
  </si>
  <si>
    <t>CA-2016-162138</t>
  </si>
  <si>
    <t>GK-14620</t>
  </si>
  <si>
    <t>Grace Kelly</t>
  </si>
  <si>
    <t>Hesperia</t>
  </si>
  <si>
    <t>OFF-BI-10004593</t>
  </si>
  <si>
    <t>Ibico Laser Imprintable Binding System Covers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</si>
  <si>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</si>
  <si>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</si>
  <si>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</si>
  <si>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</si>
  <si>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</si>
  <si>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</si>
  <si>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</si>
  <si>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TEC-PH-10003645</t>
  </si>
  <si>
    <t>Aastra 57i VoIP phone</t>
  </si>
  <si>
    <t>US-2016-150147</t>
  </si>
  <si>
    <t>TEC-PH-10004614</t>
  </si>
  <si>
    <t>AT&amp;T 841000 Phone</t>
  </si>
  <si>
    <t>CA-2015-137946</t>
  </si>
  <si>
    <t>OFF-BI-10001922</t>
  </si>
  <si>
    <t>Storex Dura Pro Binders</t>
  </si>
  <si>
    <t>CA-2014-129924</t>
  </si>
  <si>
    <t>AC-10420</t>
  </si>
  <si>
    <t>Alyssa Crouse</t>
  </si>
  <si>
    <t>OFF-BI-10003314</t>
  </si>
  <si>
    <t>Tuff Stuff Recycled Round Ring Binders</t>
  </si>
  <si>
    <t>CA-2015-128167</t>
  </si>
  <si>
    <t>OFF-FA-10000490</t>
  </si>
  <si>
    <t>OIC Binder Clips, Mini, 1/4" Capacity, Black</t>
  </si>
  <si>
    <t>CA-2014-122336</t>
  </si>
  <si>
    <t>US-2015-120712</t>
  </si>
  <si>
    <t>CA-2017-169901</t>
  </si>
  <si>
    <t>CA-2017-134306</t>
  </si>
  <si>
    <t>CA-2016-129714</t>
  </si>
  <si>
    <t>AB-10060</t>
  </si>
  <si>
    <t>Adam Bellavance</t>
  </si>
  <si>
    <t>CA-2016-138520</t>
  </si>
  <si>
    <t>FUR-BO-10002268</t>
  </si>
  <si>
    <t>Sauder Barrister Bookcases</t>
  </si>
  <si>
    <t>CA-2016-130001</t>
  </si>
  <si>
    <t>CA-2017-155698</t>
  </si>
  <si>
    <t>VB-21745</t>
  </si>
  <si>
    <t>Victoria Brennan</t>
  </si>
  <si>
    <t>OFF-AP-10001124</t>
  </si>
  <si>
    <t>Belkin 8 Outlet SurgeMaster II Gold Surge Protector with Phone Protection</t>
  </si>
  <si>
    <t>CA-2017-144904</t>
  </si>
  <si>
    <t>OFF-LA-10001158</t>
  </si>
  <si>
    <t>Avery Address/Shipping Labels for Typewriters, 4" x 2"</t>
  </si>
  <si>
    <t>CA-2014-123344</t>
  </si>
  <si>
    <t>CA-2016-155516</t>
  </si>
  <si>
    <t>Same Day</t>
  </si>
  <si>
    <t>MK-17905</t>
  </si>
  <si>
    <t>Michael Kennedy</t>
  </si>
  <si>
    <t>Manchester</t>
  </si>
  <si>
    <t>OFF-BI-10002412</t>
  </si>
  <si>
    <t>Wilson Jones Snap Scratch Pad Binder Tool for Ring Binders</t>
  </si>
  <si>
    <t>CA-2017-104745</t>
  </si>
  <si>
    <t>OFF-PA-10002036</t>
  </si>
  <si>
    <t>Xerox 1930</t>
  </si>
  <si>
    <t>US-2014-119137</t>
  </si>
  <si>
    <t>OFF-BI-10001982</t>
  </si>
  <si>
    <t>Wilson Jones Custom Binder Spines &amp; Labels</t>
  </si>
  <si>
    <t>US-2016-134656</t>
  </si>
  <si>
    <t>MM-18280</t>
  </si>
  <si>
    <t>Muhammed MacIntyre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</si>
  <si>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</si>
  <si>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</si>
  <si>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</si>
  <si>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</si>
  <si>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</si>
  <si>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</si>
  <si>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</si>
  <si>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</si>
  <si>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OFF-AP-10000696</t>
  </si>
  <si>
    <t>Holmes Odor Grabber</t>
  </si>
  <si>
    <t>CA-2016-134775</t>
  </si>
  <si>
    <t>AS-10285</t>
  </si>
  <si>
    <t>Alejandro Savely</t>
  </si>
  <si>
    <t>OFF-PA-10004734</t>
  </si>
  <si>
    <t>Southworth Structures Collection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</si>
  <si>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</si>
  <si>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</si>
  <si>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</si>
  <si>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</si>
  <si>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</si>
  <si>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</si>
  <si>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FUR-TA-10000617</t>
  </si>
  <si>
    <t>Hon Practical Foundations 30 x 60 Training Table, Light Gray/Charcoal</t>
  </si>
  <si>
    <t>CA-2015-122756</t>
  </si>
  <si>
    <t>DK-13225</t>
  </si>
  <si>
    <t>Dean Katz</t>
  </si>
  <si>
    <t>TEC-MA-10001681</t>
  </si>
  <si>
    <t>Lexmark MarkNet N8150 Wireless Print Server</t>
  </si>
  <si>
    <t>CA-2014-115973</t>
  </si>
  <si>
    <t>CA-2017-101798</t>
  </si>
  <si>
    <t>OFF-BI-10000050</t>
  </si>
  <si>
    <t>Angle-D Binders with Locking Rings, Label Holders</t>
  </si>
  <si>
    <t>US-2014-135972</t>
  </si>
  <si>
    <t>TEC-PH-10003012</t>
  </si>
  <si>
    <t>Nortel Meridian M3904 Professional Digital phone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</si>
  <si>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</si>
  <si>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</si>
  <si>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</si>
  <si>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</si>
  <si>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</si>
  <si>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</si>
  <si>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</si>
  <si>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</si>
  <si>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</si>
  <si>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</si>
  <si>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</si>
  <si>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</si>
  <si>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</si>
  <si>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</si>
  <si>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</si>
  <si>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</si>
  <si>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</si>
  <si>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</si>
  <si>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CA-2015-122259</t>
  </si>
  <si>
    <t>OFF-SU-10002573</t>
  </si>
  <si>
    <t>Supplies</t>
  </si>
  <si>
    <t>Acme 10" Easy Grip Assistive Scissors</t>
  </si>
  <si>
    <t>CA-2016-108987</t>
  </si>
  <si>
    <t>OFF-ST-10001580</t>
  </si>
  <si>
    <t>Super Decoflex Portable Personal File</t>
  </si>
  <si>
    <t>CA-2014-113166</t>
  </si>
  <si>
    <t>OFF-PA-10001947</t>
  </si>
  <si>
    <t>Xerox 1974</t>
  </si>
  <si>
    <t>CA-2014-155208</t>
  </si>
  <si>
    <t>CA-2017-117933</t>
  </si>
  <si>
    <t>OFF-AP-10004249</t>
  </si>
  <si>
    <t>Staple holder</t>
  </si>
  <si>
    <t>CA-2017-117457</t>
  </si>
  <si>
    <t>TEC-AC-10000158</t>
  </si>
  <si>
    <t>Sony 64GB Class 10 Micro SDHC R40 Memory Card</t>
  </si>
  <si>
    <t>CA-2017-142636</t>
  </si>
  <si>
    <t>KC-16675</t>
  </si>
  <si>
    <t>Kimberly Carter</t>
  </si>
  <si>
    <t>OFF-PA-10000157</t>
  </si>
  <si>
    <t>Xerox 191</t>
  </si>
  <si>
    <t>CA-2017-122105</t>
  </si>
  <si>
    <t>CA-2016-148796</t>
  </si>
  <si>
    <t>FUR-CH-10004886</t>
  </si>
  <si>
    <t>Bevis Steel Folding Chairs</t>
  </si>
  <si>
    <t>CA-2017-154816</t>
  </si>
  <si>
    <t>OFF-PA-10003845</t>
  </si>
  <si>
    <t>Xerox 1987</t>
  </si>
  <si>
    <t>CA-2017-110478</t>
  </si>
  <si>
    <t>CA-2014-142048</t>
  </si>
  <si>
    <t>TEC-AC-10004114</t>
  </si>
  <si>
    <t>KeyTronic6101 Series -Keyboard- Black</t>
  </si>
  <si>
    <t>CA-2017-125388</t>
  </si>
  <si>
    <t>MP-17965</t>
  </si>
  <si>
    <t>Michael Paige</t>
  </si>
  <si>
    <t>FUR-FU-10004712</t>
  </si>
  <si>
    <t>Westinghouse Mesh Shade Clip-On Gooseneck Lamp, Black</t>
  </si>
  <si>
    <t>CA-2017-155705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</si>
  <si>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</si>
  <si>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</si>
  <si>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</si>
  <si>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</si>
  <si>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</si>
  <si>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</si>
  <si>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CA-2014-101476</t>
  </si>
  <si>
    <t>SD-20485</t>
  </si>
  <si>
    <t>Shirley Daniels</t>
  </si>
  <si>
    <t>TEC-MA-10000029</t>
  </si>
  <si>
    <t>Epson WorkForce WF-2530 All-in-One Printer, Copier Scanner</t>
  </si>
  <si>
    <t>CA-2017-152275</t>
  </si>
  <si>
    <t>KH-16630</t>
  </si>
  <si>
    <t>Ken Heidel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</si>
  <si>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</si>
  <si>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</si>
  <si>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</si>
  <si>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</si>
  <si>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</si>
  <si>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</si>
  <si>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CA-2016-127369</t>
  </si>
  <si>
    <t>OFF-ST-10003306</t>
  </si>
  <si>
    <t>Letter Size Cart</t>
  </si>
  <si>
    <t>US-2014-150574</t>
  </si>
  <si>
    <t>OFF-BI-10000773</t>
  </si>
  <si>
    <t>Insertable Tab Post Binder Dividers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</si>
  <si>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</si>
  <si>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</si>
  <si>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</si>
  <si>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</si>
  <si>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</si>
  <si>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</si>
  <si>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</si>
  <si>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</si>
  <si>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</si>
  <si>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</si>
  <si>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</si>
  <si>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</si>
  <si>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</si>
  <si>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</si>
  <si>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</si>
  <si>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</si>
  <si>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CA-2017-154214</t>
  </si>
  <si>
    <t>FUR-FU-10000206</t>
  </si>
  <si>
    <t>GE General Purpose, Extra Long Life, Showcase &amp; Floodlight Incandescent Bulbs</t>
  </si>
  <si>
    <t>CA-2016-166674</t>
  </si>
  <si>
    <t>CA-2017-147277</t>
  </si>
  <si>
    <t>EB-13705</t>
  </si>
  <si>
    <t>Ed Braxton</t>
  </si>
  <si>
    <t>FUR-TA-10001539</t>
  </si>
  <si>
    <t>Chromcraft Rectangular Conference Tables</t>
  </si>
  <si>
    <t>CA-2016-100153</t>
  </si>
  <si>
    <t>Norman</t>
  </si>
  <si>
    <t>TEC-AC-10001772</t>
  </si>
  <si>
    <t>Memorex Mini Travel Drive 16 GB USB 2.0 Flash Drive</t>
  </si>
  <si>
    <t>US-2014-110674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</si>
  <si>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</si>
  <si>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</si>
  <si>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</si>
  <si>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</si>
  <si>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</si>
  <si>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CA-2015-109638</t>
  </si>
  <si>
    <t>OFF-AP-10002472</t>
  </si>
  <si>
    <t>3M Office Air Cleaner</t>
  </si>
  <si>
    <t>CA-2016-109869</t>
  </si>
  <si>
    <t>TN-21040</t>
  </si>
  <si>
    <t>Tanja Norvell</t>
  </si>
  <si>
    <t>FUR-FU-10000023</t>
  </si>
  <si>
    <t>Eldon Wave Desk Accessories</t>
  </si>
  <si>
    <t>US-2015-101399</t>
  </si>
  <si>
    <t>JS-15940</t>
  </si>
  <si>
    <t>Joni Sundaresam</t>
  </si>
  <si>
    <t>Park Ridge</t>
  </si>
  <si>
    <t>FUR-FU-10002918</t>
  </si>
  <si>
    <t>Eldon ClusterMat Chair Mat with Cordless Antistatic Protection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</si>
  <si>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</si>
  <si>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</si>
  <si>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</si>
  <si>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</si>
  <si>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</si>
  <si>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</si>
  <si>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</si>
  <si>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</si>
  <si>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</si>
  <si>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</si>
  <si>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</si>
  <si>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</si>
  <si>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</si>
  <si>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</si>
  <si>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OFF-ST-10002743</t>
  </si>
  <si>
    <t>SAFCO Boltless Steel Shelving</t>
  </si>
  <si>
    <t>CA-2016-103891</t>
  </si>
  <si>
    <t>TEC-PH-10000149</t>
  </si>
  <si>
    <t>Cisco SPA525G2 IP Phone - Wireless</t>
  </si>
  <si>
    <t>CA-2016-152632</t>
  </si>
  <si>
    <t>CA-2016-100790</t>
  </si>
  <si>
    <t>JG-15805</t>
  </si>
  <si>
    <t>John Grady</t>
  </si>
  <si>
    <t>CA-2014-134677</t>
  </si>
  <si>
    <t>TEC-AC-10001445</t>
  </si>
  <si>
    <t>ImationUSB 2.0 SwivelFlash DriveUSBflash drive- 4 GB - Pink</t>
  </si>
  <si>
    <t>CA-2014-127691</t>
  </si>
  <si>
    <t>CA-2017-140963</t>
  </si>
  <si>
    <t>MT-18070</t>
  </si>
  <si>
    <t>Michelle Tran</t>
  </si>
  <si>
    <t>OFF-LA-10003923</t>
  </si>
  <si>
    <t>Alphabetical Labels for Top Tab Filing</t>
  </si>
  <si>
    <t>CA-2014-154627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</si>
  <si>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</si>
  <si>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</si>
  <si>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</si>
  <si>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</si>
  <si>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</si>
  <si>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</si>
  <si>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</si>
  <si>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</si>
  <si>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CA-2014-113362</t>
  </si>
  <si>
    <t>OFF-ST-10001809</t>
  </si>
  <si>
    <t>Fellowes Officeware Wire Shelving</t>
  </si>
  <si>
    <t>CA-2016-169166</t>
  </si>
  <si>
    <t>TEC-AC-10000991</t>
  </si>
  <si>
    <t>Sony Micro Vault Click 8 GB USB 2.0 Flash Drive</t>
  </si>
  <si>
    <t>US-2016-120929</t>
  </si>
  <si>
    <t>FUR-TA-10001857</t>
  </si>
  <si>
    <t>Balt Solid Wood Rectangular Table</t>
  </si>
  <si>
    <t>CA-2015-134782</t>
  </si>
  <si>
    <t>OFF-EN-10001434</t>
  </si>
  <si>
    <t>Strathmore #10 Envelopes, Ultimate White</t>
  </si>
  <si>
    <t>CA-2016-126158</t>
  </si>
  <si>
    <t>OFF-BI-10002498</t>
  </si>
  <si>
    <t>Clear Mylar Reinforcing Strips</t>
  </si>
  <si>
    <t>US-2016-105578</t>
  </si>
  <si>
    <t>MY-17380</t>
  </si>
  <si>
    <t>Maribeth Yedwab</t>
  </si>
  <si>
    <t>Parker</t>
  </si>
  <si>
    <t>OFF-BI-10001670</t>
  </si>
  <si>
    <t>Vinyl Sectional Post Binders</t>
  </si>
  <si>
    <t>CA-2017-134978</t>
  </si>
  <si>
    <t>CA-2015-145352</t>
  </si>
  <si>
    <t>CA-2017-135307</t>
  </si>
  <si>
    <t>FUR-FU-10001290</t>
  </si>
  <si>
    <t>Executive Impressions Supervisor Wall Clock</t>
  </si>
  <si>
    <t>CA-2016-106341</t>
  </si>
  <si>
    <t>CA-2017-163405</t>
  </si>
  <si>
    <t>CA-2017-127432</t>
  </si>
  <si>
    <t>Great Falls</t>
  </si>
  <si>
    <t>Montana</t>
  </si>
  <si>
    <t>TEC-CO-10003236</t>
  </si>
  <si>
    <t>Copiers</t>
  </si>
  <si>
    <t>Canon Image Class D660 Copier</t>
  </si>
  <si>
    <t>CA-2015-157812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</si>
  <si>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</si>
  <si>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</si>
  <si>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</si>
  <si>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</si>
  <si>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</si>
  <si>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</si>
  <si>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CA-2015-158792</t>
  </si>
  <si>
    <t>OFF-FA-10002815</t>
  </si>
  <si>
    <t>Staples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</si>
  <si>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</si>
  <si>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</si>
  <si>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</si>
  <si>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</si>
  <si>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</si>
  <si>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</si>
  <si>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</si>
  <si>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OFF-ST-10004963</t>
  </si>
  <si>
    <t>Eldon Gobal File Keepers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</si>
  <si>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</si>
  <si>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</si>
  <si>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</si>
  <si>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</si>
  <si>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</si>
  <si>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</si>
  <si>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FUR-FU-10000448</t>
  </si>
  <si>
    <t>Tenex Chairmats For Use With Carpeted Floors</t>
  </si>
  <si>
    <t>CA-2016-168753</t>
  </si>
  <si>
    <t>TEC-PH-10000984</t>
  </si>
  <si>
    <t>Panasonic KX-TG9471B</t>
  </si>
  <si>
    <t>CA-2016-126613</t>
  </si>
  <si>
    <t>OFF-ST-10001325</t>
  </si>
  <si>
    <t>Sterilite Officeware Hinged File Box</t>
  </si>
  <si>
    <t>US-2017-122637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</si>
  <si>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</si>
  <si>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</si>
  <si>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</si>
  <si>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</si>
  <si>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</si>
  <si>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</si>
  <si>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OFF-AP-10001271</t>
  </si>
  <si>
    <t>Eureka The Boss Cordless Rechargeable Stick Vac</t>
  </si>
  <si>
    <t>CA-2014-140795</t>
  </si>
  <si>
    <t>TEC-AC-10001432</t>
  </si>
  <si>
    <t>Enermax Aurora Lite Keyboard</t>
  </si>
  <si>
    <t>CA-2016-136924</t>
  </si>
  <si>
    <t>TEC-PH-10002262</t>
  </si>
  <si>
    <t>LG Electronics Tone HBS-730 Bluetooth Headset</t>
  </si>
  <si>
    <t>US-2015-120161</t>
  </si>
  <si>
    <t>CA-2014-103849</t>
  </si>
  <si>
    <t>TEC-AC-10001465</t>
  </si>
  <si>
    <t>SanDisk Cruzer 64 GB USB Flash Drive</t>
  </si>
  <si>
    <t>CA-2017-162929</t>
  </si>
  <si>
    <t>AS-10135</t>
  </si>
  <si>
    <t>Adrian Shami</t>
  </si>
  <si>
    <t>OFF-BI-10000404</t>
  </si>
  <si>
    <t>Avery Printable Repositionable Plastic Tabs</t>
  </si>
  <si>
    <t>CA-2015-113173</t>
  </si>
  <si>
    <t>CA-2016-136406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</si>
  <si>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</si>
  <si>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</si>
  <si>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</si>
  <si>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</si>
  <si>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</si>
  <si>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</si>
  <si>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</si>
  <si>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</si>
  <si>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</si>
  <si>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</si>
  <si>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</si>
  <si>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</si>
  <si>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</si>
  <si>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CA-2016-113243</t>
  </si>
  <si>
    <t>OFF-LA-10001297</t>
  </si>
  <si>
    <t>Avery 473</t>
  </si>
  <si>
    <t>CA-2017-118731</t>
  </si>
  <si>
    <t>CA-2014-145576</t>
  </si>
  <si>
    <t>OFF-AP-10003914</t>
  </si>
  <si>
    <t>Sanitaire Vibra Groomer IR Commercial Upright Vacuum, Replacement Belts</t>
  </si>
  <si>
    <t>CA-2015-130736</t>
  </si>
  <si>
    <t>OFF-FA-10003467</t>
  </si>
  <si>
    <t>Alliance Big Bands Rubber Bands, 12/Pack</t>
  </si>
  <si>
    <t>CA-2017-137099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</si>
  <si>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</si>
  <si>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</si>
  <si>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</si>
  <si>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</si>
  <si>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</si>
  <si>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</si>
  <si>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</si>
  <si>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CA-2017-164826</t>
  </si>
  <si>
    <t>CA-2016-127250</t>
  </si>
  <si>
    <t>CA-2015-149713</t>
  </si>
  <si>
    <t>CA-2017-118640</t>
  </si>
  <si>
    <t>OFF-ST-10002974</t>
  </si>
  <si>
    <t>Trav-L-File Heavy-Duty Shuttle II, Black</t>
  </si>
  <si>
    <t>CA-2015-132906</t>
  </si>
  <si>
    <t>OFF-SU-10004498</t>
  </si>
  <si>
    <t>Martin-Yale Premier Letter Opener</t>
  </si>
  <si>
    <t>CA-2017-145233</t>
  </si>
  <si>
    <t>CA-2015-128139</t>
  </si>
  <si>
    <t>FUR-CH-10003956</t>
  </si>
  <si>
    <t>Novimex High-Tech Fabric Mesh Task Chair</t>
  </si>
  <si>
    <t>US-2016-156986</t>
  </si>
  <si>
    <t>TEC-PH-10003800</t>
  </si>
  <si>
    <t>i.Sound Portable Power - 8000 mAh</t>
  </si>
  <si>
    <t>CA-2014-135405</t>
  </si>
  <si>
    <t>CA-2014-131450</t>
  </si>
  <si>
    <t>OFF-AP-10004708</t>
  </si>
  <si>
    <t>Fellowes Superior 10 Outlet Split Surge Protector</t>
  </si>
  <si>
    <t>CA-2016-120180</t>
  </si>
  <si>
    <t>OFF-SU-10004115</t>
  </si>
  <si>
    <t>Acme Stainless Steel Office Snips</t>
  </si>
  <si>
    <t>US-2016-100720</t>
  </si>
  <si>
    <t>TEC-PH-10001425</t>
  </si>
  <si>
    <t>Mophie Juice Pack Helium for iPhone</t>
  </si>
  <si>
    <t>CA-2014-149958</t>
  </si>
  <si>
    <t>OFF-ST-10001490</t>
  </si>
  <si>
    <t>Hot File 7-Pocket, Floor Stand</t>
  </si>
  <si>
    <t>US-2014-105767</t>
  </si>
  <si>
    <t>OFF-BI-10000848</t>
  </si>
  <si>
    <t>Angle-D Ring Binders</t>
  </si>
  <si>
    <t>CA-2016-161816</t>
  </si>
  <si>
    <t>NB-18655</t>
  </si>
  <si>
    <t>Nona Balk</t>
  </si>
  <si>
    <t>CA-2016-121223</t>
  </si>
  <si>
    <t>GD-14590</t>
  </si>
  <si>
    <t>Giulietta Dortch</t>
  </si>
  <si>
    <t>OFF-PA-10001204</t>
  </si>
  <si>
    <t>Xerox 1972</t>
  </si>
  <si>
    <t>CA-2017-138611</t>
  </si>
  <si>
    <t>TEC-PH-10000011</t>
  </si>
  <si>
    <t>PureGear Roll-On Screen Protector</t>
  </si>
  <si>
    <t>CA-2017-117947</t>
  </si>
  <si>
    <t>NG-18355</t>
  </si>
  <si>
    <t>Nat Gilpin</t>
  </si>
  <si>
    <t>FUR-FU-10003849</t>
  </si>
  <si>
    <t>DAX Metal Frame, Desktop, Stepped-Edge</t>
  </si>
  <si>
    <t>US-2014-111171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</si>
  <si>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</si>
  <si>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</si>
  <si>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</si>
  <si>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</si>
  <si>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</si>
  <si>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</si>
  <si>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</si>
  <si>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</si>
  <si>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</si>
  <si>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</si>
  <si>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</si>
  <si>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</si>
  <si>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</si>
  <si>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</si>
  <si>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</si>
  <si>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</si>
  <si>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</si>
  <si>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</si>
  <si>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</si>
  <si>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</si>
  <si>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OFF-ST-10001963</t>
  </si>
  <si>
    <t>Tennsco Regal Shelving Units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</si>
  <si>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</si>
  <si>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</si>
  <si>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</si>
  <si>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</si>
  <si>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</si>
  <si>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</si>
  <si>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</si>
  <si>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</si>
  <si>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</si>
  <si>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</si>
  <si>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OFF-BI-10001989</t>
  </si>
  <si>
    <t>Premium Transparent Presentation Covers by GBC</t>
  </si>
  <si>
    <t>CA-2016-115917</t>
  </si>
  <si>
    <t>Vallejo</t>
  </si>
  <si>
    <t>FUR-FU-10000576</t>
  </si>
  <si>
    <t>Luxo Professional Fluorescent Magnifier Lamp with Clamp-Mount Base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</si>
  <si>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</si>
  <si>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</si>
  <si>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</si>
  <si>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</si>
  <si>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</si>
  <si>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</si>
  <si>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OFF-ST-10000585</t>
  </si>
  <si>
    <t>Economy Rollaway Files</t>
  </si>
  <si>
    <t>CA-2017-106103</t>
  </si>
  <si>
    <t>TEC-AC-10003832</t>
  </si>
  <si>
    <t>Imation16GB Mini TravelDrive USB 2.0Flash Drive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</si>
  <si>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</si>
  <si>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</si>
  <si>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</si>
  <si>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</si>
  <si>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</si>
  <si>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</si>
  <si>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</si>
  <si>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</si>
  <si>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</si>
  <si>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</si>
  <si>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</si>
  <si>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</si>
  <si>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CA-2016-160745</t>
  </si>
  <si>
    <t>AR-10825</t>
  </si>
  <si>
    <t>Anthony Rawles</t>
  </si>
  <si>
    <t>Vancouver</t>
  </si>
  <si>
    <t>FUR-FU-10001935</t>
  </si>
  <si>
    <t>3M Hangers With Command Adhesive</t>
  </si>
  <si>
    <t>CA-2016-132661</t>
  </si>
  <si>
    <t>SR-20740</t>
  </si>
  <si>
    <t>Steven Roelle</t>
  </si>
  <si>
    <t>CA-2017-140844</t>
  </si>
  <si>
    <t>OFF-PA-10003892</t>
  </si>
  <si>
    <t>Xerox 1943</t>
  </si>
  <si>
    <t>CA-2016-137239</t>
  </si>
  <si>
    <t>OFF-AP-10002439</t>
  </si>
  <si>
    <t>Tripp Lite Isotel 8 Ultra 8 Outlet Metal Surge</t>
  </si>
  <si>
    <t>US-2016-156097</t>
  </si>
  <si>
    <t>EH-14125</t>
  </si>
  <si>
    <t>Eugene Hildebrand</t>
  </si>
  <si>
    <t>FUR-CH-10001215</t>
  </si>
  <si>
    <t>Global Troy Executive Leather Low-Back Tilter</t>
  </si>
  <si>
    <t>CA-2015-146563</t>
  </si>
  <si>
    <t>CA-2016-123666</t>
  </si>
  <si>
    <t>SP-20545</t>
  </si>
  <si>
    <t>Sibella Parks</t>
  </si>
  <si>
    <t>OFF-ST-10001522</t>
  </si>
  <si>
    <t>Gould Plastics 18-Pocket Panel Bin, 34w x 5-1/4d x 20-1/2h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</si>
  <si>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</si>
  <si>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</si>
  <si>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</si>
  <si>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</si>
  <si>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</si>
  <si>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</si>
  <si>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CA-2014-156314</t>
  </si>
  <si>
    <t>FUR-FU-10003096</t>
  </si>
  <si>
    <t>Master Giant Foot Doorstop, Safety Yellow</t>
  </si>
  <si>
    <t>US-2017-106663</t>
  </si>
  <si>
    <t>FUR-FU-10002759</t>
  </si>
  <si>
    <t>12-1/2 Diameter Round Wall Clock</t>
  </si>
  <si>
    <t>CA-2017-111178</t>
  </si>
  <si>
    <t>CA-2017-130351</t>
  </si>
  <si>
    <t>OFF-AP-10004532</t>
  </si>
  <si>
    <t>Kensington 6 Outlet Guardian Standard Surge Protector</t>
  </si>
  <si>
    <t>US-2017-119438</t>
  </si>
  <si>
    <t>OFF-AP-10000804</t>
  </si>
  <si>
    <t>Hoover Portapower Portable Vacuum</t>
  </si>
  <si>
    <t>CA-2016-164511</t>
  </si>
  <si>
    <t>OFF-BI-10003305</t>
  </si>
  <si>
    <t>Avery Hanging File Binders</t>
  </si>
  <si>
    <t>US-2017-168116</t>
  </si>
  <si>
    <t>GT-14635</t>
  </si>
  <si>
    <t>Grant Thornton</t>
  </si>
  <si>
    <t>TEC-MA-10004125</t>
  </si>
  <si>
    <t>Cubify CubeX 3D Printer Triple Head Print</t>
  </si>
  <si>
    <t>CA-2014-157784</t>
  </si>
  <si>
    <t>TEC-AC-10003911</t>
  </si>
  <si>
    <t>NETGEAR AC1750 Dual Band GigabitSmart WiFi Router</t>
  </si>
  <si>
    <t>CA-2017-161480</t>
  </si>
  <si>
    <t>FUR-BO-10004015</t>
  </si>
  <si>
    <t>Bush Andora Bookcase, Maple/Graphite Gray Finish</t>
  </si>
  <si>
    <t>US-2014-117135</t>
  </si>
  <si>
    <t>FUR-FU-10004071</t>
  </si>
  <si>
    <t>Luxo Professional Magnifying Clamp-On Fluorescent Lamps</t>
  </si>
  <si>
    <t>CA-2015-131534</t>
  </si>
  <si>
    <t>TEC-AC-10002253</t>
  </si>
  <si>
    <t>Imation Bio 8GB USBFlash Drive ImationCorp</t>
  </si>
  <si>
    <t>CA-2015-119291</t>
  </si>
  <si>
    <t>JO-15550</t>
  </si>
  <si>
    <t>Jesus Ocampo</t>
  </si>
  <si>
    <t>Chester</t>
  </si>
  <si>
    <t>CA-2017-114552</t>
  </si>
  <si>
    <t>CA-2016-163755</t>
  </si>
  <si>
    <t>FUR-FU-10003394</t>
  </si>
  <si>
    <t>Tenex "The Solids" Textured Chair Mats</t>
  </si>
  <si>
    <t>CA-2015-142027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</si>
  <si>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</si>
  <si>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</si>
  <si>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</si>
  <si>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</si>
  <si>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</si>
  <si>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</si>
  <si>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</si>
  <si>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</si>
  <si>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CA-2014-112158</t>
  </si>
  <si>
    <t>CA-2014-113887</t>
  </si>
  <si>
    <t>TH-21550</t>
  </si>
  <si>
    <t>Tracy Hopkins</t>
  </si>
  <si>
    <t>CA-2017-146136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</si>
  <si>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</si>
  <si>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</si>
  <si>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</si>
  <si>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</si>
  <si>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</si>
  <si>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</si>
  <si>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</si>
  <si>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</si>
  <si>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CA-2014-153150</t>
  </si>
  <si>
    <t>OFF-BI-10003355</t>
  </si>
  <si>
    <t>Cardinal Holdit Business Card Pockets</t>
  </si>
  <si>
    <t>CA-2014-130092</t>
  </si>
  <si>
    <t>FUR-FU-10000010</t>
  </si>
  <si>
    <t>DAX Value U-Channel Document Frames, Easel Back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</si>
  <si>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</si>
  <si>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</si>
  <si>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</si>
  <si>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</si>
  <si>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</si>
  <si>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</si>
  <si>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OFF-BI-10001658</t>
  </si>
  <si>
    <t>GBC Standard Therm-A-Bind Covers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</si>
  <si>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</si>
  <si>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</si>
  <si>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</si>
  <si>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</si>
  <si>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</si>
  <si>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</si>
  <si>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</si>
  <si>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</si>
  <si>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</si>
  <si>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</si>
  <si>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</si>
  <si>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</si>
  <si>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</si>
  <si>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</si>
  <si>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</si>
  <si>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</si>
  <si>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</si>
  <si>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</si>
  <si>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</si>
  <si>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</si>
  <si>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OFF-EN-10001141</t>
  </si>
  <si>
    <t>Manila Recycled Extra-Heavyweight Clasp Envelopes, 6" x 9"</t>
  </si>
  <si>
    <t>US-2016-150861</t>
  </si>
  <si>
    <t>OFF-PA-10001954</t>
  </si>
  <si>
    <t>Xerox 1964</t>
  </si>
  <si>
    <t>CA-2017-131954</t>
  </si>
  <si>
    <t>DS-13030</t>
  </si>
  <si>
    <t>Darrin Sayre</t>
  </si>
  <si>
    <t>OFF-ST-10000736</t>
  </si>
  <si>
    <t>Carina Double Wide Media Storage Towers in Natural &amp; Black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</si>
  <si>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</si>
  <si>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</si>
  <si>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</si>
  <si>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</si>
  <si>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</si>
  <si>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</si>
  <si>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</si>
  <si>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</si>
  <si>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US-2016-146710</t>
  </si>
  <si>
    <t>CA-2014-124429</t>
  </si>
  <si>
    <t>FUR-TA-10002607</t>
  </si>
  <si>
    <t>KI Conference Tables</t>
  </si>
  <si>
    <t>CA-2016-150889</t>
  </si>
  <si>
    <t>TEC-PH-10000004</t>
  </si>
  <si>
    <t>Belkin iPhone and iPad Lightning Cable</t>
  </si>
  <si>
    <t>CA-2017-126074</t>
  </si>
  <si>
    <t>OFF-BI-10003638</t>
  </si>
  <si>
    <t>GBC Durable Plastic Covers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</si>
  <si>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</si>
  <si>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</si>
  <si>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</si>
  <si>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</si>
  <si>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</si>
  <si>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</si>
  <si>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</si>
  <si>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</si>
  <si>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</si>
  <si>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</si>
  <si>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OFF-ST-10002444</t>
  </si>
  <si>
    <t>Recycled Eldon Regeneration Jumbo File</t>
  </si>
  <si>
    <t>CA-2017-117240</t>
  </si>
  <si>
    <t>CP-12340</t>
  </si>
  <si>
    <t>Christine Phan</t>
  </si>
  <si>
    <t>CA-2017-133333</t>
  </si>
  <si>
    <t>BF-11020</t>
  </si>
  <si>
    <t>Barry Franzsisch</t>
  </si>
  <si>
    <t>OFF-PA-10002377</t>
  </si>
  <si>
    <t>Adams Telephone Message Book W/Dividers/Space For Phone Numbers, 5 1/4"X8 1/2", 200/Messages</t>
  </si>
  <si>
    <t>CA-2015-112319</t>
  </si>
  <si>
    <t>OFF-PA-10003441</t>
  </si>
  <si>
    <t>Xerox 226</t>
  </si>
  <si>
    <t>CA-2017-126046</t>
  </si>
  <si>
    <t>OFF-LA-10004484</t>
  </si>
  <si>
    <t>Avery 476</t>
  </si>
  <si>
    <t>CA-2015-114923</t>
  </si>
  <si>
    <t>TEC-PH-10003931</t>
  </si>
  <si>
    <t>JBL Micro Wireless Portable Bluetooth Speaker</t>
  </si>
  <si>
    <t>CA-2014-162775</t>
  </si>
  <si>
    <t>CS-12250</t>
  </si>
  <si>
    <t>Chris Selesnick</t>
  </si>
  <si>
    <t>Bossier City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</si>
  <si>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</si>
  <si>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</si>
  <si>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</si>
  <si>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</si>
  <si>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</si>
  <si>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</si>
  <si>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</si>
  <si>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</si>
  <si>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</si>
  <si>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</si>
  <si>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</si>
  <si>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</si>
  <si>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</si>
  <si>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CA-2014-165974</t>
  </si>
  <si>
    <t>CA-2015-144267</t>
  </si>
  <si>
    <t>FUR-CH-10002335</t>
  </si>
  <si>
    <t>Hon GuestStacker Chair</t>
  </si>
  <si>
    <t>US-2015-157014</t>
  </si>
  <si>
    <t>OFF-BI-10001098</t>
  </si>
  <si>
    <t>Acco D-Ring Binder w/DublLock</t>
  </si>
  <si>
    <t>CA-2015-154921</t>
  </si>
  <si>
    <t>OFF-EN-10000056</t>
  </si>
  <si>
    <t>Cameo Buff Policy Envelopes</t>
  </si>
  <si>
    <t>CA-2017-129567</t>
  </si>
  <si>
    <t>OFF-BI-10000014</t>
  </si>
  <si>
    <t>Heavy-Duty E-Z-D Binders</t>
  </si>
  <si>
    <t>CA-2015-154620</t>
  </si>
  <si>
    <t>FUR-CH-10004675</t>
  </si>
  <si>
    <t>Lifetime Advantage Folding Chairs, 4/Carton</t>
  </si>
  <si>
    <t>CA-2015-115938</t>
  </si>
  <si>
    <t>OFF-BI-10001543</t>
  </si>
  <si>
    <t>GBC VeloBinder Manual Binding System</t>
  </si>
  <si>
    <t>CA-2016-105256</t>
  </si>
  <si>
    <t>TEC-PH-10001530</t>
  </si>
  <si>
    <t>Cisco Unified IP Phone 7945G VoIP phone</t>
  </si>
  <si>
    <t>CA-2014-156433</t>
  </si>
  <si>
    <t>OFF-LA-10001569</t>
  </si>
  <si>
    <t>Avery 499</t>
  </si>
  <si>
    <t>CA-2017-151428</t>
  </si>
  <si>
    <t>OFF-BI-10000546</t>
  </si>
  <si>
    <t>Avery Durable Binders</t>
  </si>
  <si>
    <t>CA-2015-124653</t>
  </si>
  <si>
    <t>OFF-PA-10000176</t>
  </si>
  <si>
    <t>Xerox 1887</t>
  </si>
  <si>
    <t>CA-2015-101910</t>
  </si>
  <si>
    <t>FUR-CH-10002647</t>
  </si>
  <si>
    <t>Situations Contoured Folding Chairs, 4/Set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</si>
  <si>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</si>
  <si>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</si>
  <si>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</si>
  <si>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</si>
  <si>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</si>
  <si>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</si>
  <si>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</si>
  <si>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</si>
  <si>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</si>
  <si>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</si>
  <si>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</si>
  <si>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</si>
  <si>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</si>
  <si>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</si>
  <si>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FUR-FU-10000794</t>
  </si>
  <si>
    <t>Eldon Stackable Tray, Side-Load, Legal, Smoke</t>
  </si>
  <si>
    <t>CA-2014-134313</t>
  </si>
  <si>
    <t>CA-2015-140921</t>
  </si>
  <si>
    <t>CA-2014-151995</t>
  </si>
  <si>
    <t>CA-2017-143686</t>
  </si>
  <si>
    <t>CA-2015-106565</t>
  </si>
  <si>
    <t>BW-11110</t>
  </si>
  <si>
    <t>Bart Watters</t>
  </si>
  <si>
    <t>Milwaukee</t>
  </si>
  <si>
    <t>OFF-PA-10000061</t>
  </si>
  <si>
    <t>Xerox 205</t>
  </si>
  <si>
    <t>CA-2016-149370</t>
  </si>
  <si>
    <t>OFF-PA-10003651</t>
  </si>
  <si>
    <t>Xerox 1968</t>
  </si>
  <si>
    <t>CA-2014-140858</t>
  </si>
  <si>
    <t>OFF-PA-10000304</t>
  </si>
  <si>
    <t>Xerox 1995</t>
  </si>
  <si>
    <t>CA-2017-101434</t>
  </si>
  <si>
    <t>TEC-AC-10002402</t>
  </si>
  <si>
    <t>Razer Kraken PRO Over Ear PC and Music Headset</t>
  </si>
  <si>
    <t>US-2014-102071</t>
  </si>
  <si>
    <t>TEC-AC-10003441</t>
  </si>
  <si>
    <t>Kingston Digital DataTraveler 32GB USB 2.0</t>
  </si>
  <si>
    <t>CA-2017-126956</t>
  </si>
  <si>
    <t>OFF-FA-10002280</t>
  </si>
  <si>
    <t>Advantus Plastic Paper Clips</t>
  </si>
  <si>
    <t>CA-2017-129462</t>
  </si>
  <si>
    <t>FUR-CH-10000665</t>
  </si>
  <si>
    <t>Global Airflow Leather Mesh Back Chair, Black</t>
  </si>
  <si>
    <t>CA-2016-165316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</si>
  <si>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</si>
  <si>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</si>
  <si>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</si>
  <si>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</si>
  <si>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</si>
  <si>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</si>
  <si>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</si>
  <si>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 x 11</t>
  </si>
  <si>
    <t>US-2016-137547</t>
  </si>
  <si>
    <t>TEC-PH-10002365</t>
  </si>
  <si>
    <t>Belkin Grip Candy Sheer Case / Cover for iPhone 5 and 5S</t>
  </si>
  <si>
    <t>CA-2015-100454</t>
  </si>
  <si>
    <t>BM-11650</t>
  </si>
  <si>
    <t>Brian Moss</t>
  </si>
  <si>
    <t>CA-2016-161669</t>
  </si>
  <si>
    <t>EM-14095</t>
  </si>
  <si>
    <t>Eudokia Martin</t>
  </si>
  <si>
    <t>OFF-BI-10001294</t>
  </si>
  <si>
    <t>Fellowes Binding Cases</t>
  </si>
  <si>
    <t>CA-2015-114300</t>
  </si>
  <si>
    <t>TEC-PH-10001552</t>
  </si>
  <si>
    <t>I Need's 3d Hello Kitty Hybrid Silicone Case Cover for HTC One X 4g with 3d Hello Kitty Stylus Pen Green/pink</t>
  </si>
  <si>
    <t>CA-2017-107503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</si>
  <si>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</si>
  <si>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</si>
  <si>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</si>
  <si>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</si>
  <si>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</si>
  <si>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</si>
  <si>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</si>
  <si>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</si>
  <si>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</si>
  <si>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</si>
  <si>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</si>
  <si>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</si>
  <si>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CA-2016-113747</t>
  </si>
  <si>
    <t>CA-2016-123274</t>
  </si>
  <si>
    <t>CA-2014-125612</t>
  </si>
  <si>
    <t>OFF-PA-10001019</t>
  </si>
  <si>
    <t>Xerox 1884</t>
  </si>
  <si>
    <t>CA-2017-161984</t>
  </si>
  <si>
    <t>SJ-20125</t>
  </si>
  <si>
    <t>Sanjit Jacobs</t>
  </si>
  <si>
    <t>New Brunswick</t>
  </si>
  <si>
    <t>CA-2014-133851</t>
  </si>
  <si>
    <t>OFF-SU-10001225</t>
  </si>
  <si>
    <t>Staple remover</t>
  </si>
  <si>
    <t>CA-2016-134474</t>
  </si>
  <si>
    <t>TEC-AC-10001714</t>
  </si>
  <si>
    <t>LogitechMX Performance Wireless Mouse</t>
  </si>
  <si>
    <t>CA-2014-149020</t>
  </si>
  <si>
    <t>AJ-10780</t>
  </si>
  <si>
    <t>Anthony Jacobs</t>
  </si>
  <si>
    <t>OFF-LA-10004272</t>
  </si>
  <si>
    <t>Avery 482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</si>
  <si>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</si>
  <si>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</si>
  <si>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</si>
  <si>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</si>
  <si>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</si>
  <si>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</si>
  <si>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</si>
  <si>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</si>
  <si>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</si>
  <si>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</si>
  <si>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</si>
  <si>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</si>
  <si>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</si>
  <si>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</si>
  <si>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</si>
  <si>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</si>
  <si>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OFF-PA-10003591</t>
  </si>
  <si>
    <t>Southworth 100% Cotton The Best Paper</t>
  </si>
  <si>
    <t>CA-2014-148488</t>
  </si>
  <si>
    <t>OFF-PA-10004470</t>
  </si>
  <si>
    <t>Adams Write n' Stick Phone Message Book, 11" X 5 1/4", 200 Messages</t>
  </si>
  <si>
    <t>CA-2017-114636</t>
  </si>
  <si>
    <t>OFF-PA-10001790</t>
  </si>
  <si>
    <t>Xerox 1910</t>
  </si>
  <si>
    <t>CA-2016-116736</t>
  </si>
  <si>
    <t>FUR-FU-10004017</t>
  </si>
  <si>
    <t>Tenex Contemporary Contur Chairmats for Low and Medium Pile Carpet, Computer, 39" x 49"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</si>
  <si>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</si>
  <si>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</si>
  <si>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</si>
  <si>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</si>
  <si>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</si>
  <si>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</si>
  <si>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</si>
  <si>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</si>
  <si>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</si>
  <si>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OFF-ST-10001321</t>
  </si>
  <si>
    <t>Decoflex Hanging Personal Folder File, Blue</t>
  </si>
  <si>
    <t>US-2017-123463</t>
  </si>
  <si>
    <t>CA-2016-165148</t>
  </si>
  <si>
    <t>PM-19135</t>
  </si>
  <si>
    <t>Peter McVee</t>
  </si>
  <si>
    <t>CA-2014-134061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</si>
  <si>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</si>
  <si>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</si>
  <si>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</si>
  <si>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</si>
  <si>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</si>
  <si>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</si>
  <si>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</si>
  <si>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</si>
  <si>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</si>
  <si>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</si>
  <si>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</si>
  <si>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</si>
  <si>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</si>
  <si>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</si>
  <si>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OFF-BI-10001078</t>
  </si>
  <si>
    <t>Acco PRESSTEX Data Binder with Storage Hooks, Dark Blue, 14 7/8" X 11"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</si>
  <si>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</si>
  <si>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</si>
  <si>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</si>
  <si>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</si>
  <si>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</si>
  <si>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</si>
  <si>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</si>
  <si>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CA-2016-105494</t>
  </si>
  <si>
    <t>PC-18745</t>
  </si>
  <si>
    <t>Pamela Coakley</t>
  </si>
  <si>
    <t>OFF-ST-10002205</t>
  </si>
  <si>
    <t>File Shuttle I and Handi-File</t>
  </si>
  <si>
    <t>CA-2016-140634</t>
  </si>
  <si>
    <t>OFF-EN-10001099</t>
  </si>
  <si>
    <t>CA-2014-144407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</si>
  <si>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</si>
  <si>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</si>
  <si>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</si>
  <si>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</si>
  <si>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</si>
  <si>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</si>
  <si>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</si>
  <si>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</si>
  <si>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</si>
  <si>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</si>
  <si>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</si>
  <si>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OFF-LA-10001045</t>
  </si>
  <si>
    <t>Permanent Self-Adhesive File Folder Labels for Typewriters by Universal</t>
  </si>
  <si>
    <t>CA-2017-132353</t>
  </si>
  <si>
    <t>TEC-PH-10004536</t>
  </si>
  <si>
    <t>Avaya 5420 Digital phone</t>
  </si>
  <si>
    <t>CA-2016-130477</t>
  </si>
  <si>
    <t>OFF-PA-10002947</t>
  </si>
  <si>
    <t>Xerox 1923</t>
  </si>
  <si>
    <t>CA-2017-143259</t>
  </si>
  <si>
    <t>FUR-BO-10003441</t>
  </si>
  <si>
    <t>Bush Westfield Collection Bookcases, Fully Assembled</t>
  </si>
  <si>
    <t>CA-2017-137596</t>
  </si>
  <si>
    <t>BE-11335</t>
  </si>
  <si>
    <t>Bill Eplett</t>
  </si>
  <si>
    <t>TEC-PH-10001494</t>
  </si>
  <si>
    <t>Polycom CX600 IP Phone VoIP phone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</si>
  <si>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</si>
  <si>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</si>
  <si>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</si>
  <si>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</si>
  <si>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</si>
  <si>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</si>
  <si>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</si>
  <si>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</si>
  <si>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</si>
  <si>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</si>
  <si>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</si>
  <si>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CA-2014-138296</t>
  </si>
  <si>
    <t>CA-2015-111164</t>
  </si>
  <si>
    <t>TEC-AC-10002473</t>
  </si>
  <si>
    <t>Maxell 4.7GB DVD-R</t>
  </si>
  <si>
    <t>CA-2016-149797</t>
  </si>
  <si>
    <t>AH-10075</t>
  </si>
  <si>
    <t>Adam Hart</t>
  </si>
  <si>
    <t>CA-2014-132962</t>
  </si>
  <si>
    <t>OFF-PA-10003543</t>
  </si>
  <si>
    <t>Xerox 1985</t>
  </si>
  <si>
    <t>CA-2015-115091</t>
  </si>
  <si>
    <t>JJ-15760</t>
  </si>
  <si>
    <t>Joel Jenkins</t>
  </si>
  <si>
    <t>CA-2017-144932</t>
  </si>
  <si>
    <t>CA-2017-114216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</si>
  <si>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</si>
  <si>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</si>
  <si>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</si>
  <si>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</si>
  <si>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</si>
  <si>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</si>
  <si>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</si>
  <si>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</si>
  <si>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</si>
  <si>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</si>
  <si>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</si>
  <si>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</si>
  <si>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</si>
  <si>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</si>
  <si>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</si>
  <si>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</si>
  <si>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</si>
  <si>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</si>
  <si>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</si>
  <si>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</si>
  <si>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</si>
  <si>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</si>
  <si>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</si>
  <si>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</si>
  <si>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</si>
  <si>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OFF-PA-10004101</t>
  </si>
  <si>
    <t>Xerox 1894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</si>
  <si>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</si>
  <si>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</si>
  <si>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</si>
  <si>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</si>
  <si>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</si>
  <si>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</si>
  <si>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CA-2017-131156</t>
  </si>
  <si>
    <t>FUR-FU-10001940</t>
  </si>
  <si>
    <t>Staple-based wall hangings</t>
  </si>
  <si>
    <t>CA-2017-136539</t>
  </si>
  <si>
    <t>CA-2017-119305</t>
  </si>
  <si>
    <t>CA-2017-102414</t>
  </si>
  <si>
    <t>TEC-PH-10002923</t>
  </si>
  <si>
    <t>Logitech B530 USBHeadset-headset- Full size, Binaural</t>
  </si>
  <si>
    <t>CA-2015-112571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</si>
  <si>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</si>
  <si>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</si>
  <si>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</si>
  <si>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</si>
  <si>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</si>
  <si>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</si>
  <si>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</si>
  <si>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</si>
  <si>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</si>
  <si>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</si>
  <si>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</si>
  <si>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OFF-EN-10001335</t>
  </si>
  <si>
    <t>White Business Envelopes with Contemporary Seam, Recycled White Business Envelopes</t>
  </si>
  <si>
    <t>CA-2014-127488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</si>
  <si>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</si>
  <si>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</si>
  <si>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</si>
  <si>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</si>
  <si>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</si>
  <si>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</si>
  <si>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</si>
  <si>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</si>
  <si>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</si>
  <si>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</si>
  <si>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</si>
  <si>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</si>
  <si>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</si>
  <si>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</si>
  <si>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</si>
  <si>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</si>
  <si>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CA-2015-157035</t>
  </si>
  <si>
    <t>OFF-PA-10004156</t>
  </si>
  <si>
    <t>Xerox 188</t>
  </si>
  <si>
    <t>CA-2016-144939</t>
  </si>
  <si>
    <t>FUR-CH-10003199</t>
  </si>
  <si>
    <t>Office Star - Contemporary Task Swivel Chair</t>
  </si>
  <si>
    <t>CA-2014-163419</t>
  </si>
  <si>
    <t>CA-2017-100314</t>
  </si>
  <si>
    <t>AS-10630</t>
  </si>
  <si>
    <t>Ann Steele</t>
  </si>
  <si>
    <t>CA-2015-146829</t>
  </si>
  <si>
    <t>OFF-BI-10004022</t>
  </si>
  <si>
    <t>Acco Suede Grain Vinyl Round Ring Binder</t>
  </si>
  <si>
    <t>CA-2017-167899</t>
  </si>
  <si>
    <t>CA-2015-153549</t>
  </si>
  <si>
    <t>SL-20155</t>
  </si>
  <si>
    <t>Sara Luxemburg</t>
  </si>
  <si>
    <t>FUR-CH-10004086</t>
  </si>
  <si>
    <t>Hon 4070 Series Pagoda Armless Upholstered Stacking Chairs</t>
  </si>
  <si>
    <t>CA-2016-110023</t>
  </si>
  <si>
    <t>CA-2016-105585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</si>
  <si>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</si>
  <si>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</si>
  <si>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</si>
  <si>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</si>
  <si>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</si>
  <si>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</si>
  <si>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CA-2015-162537</t>
  </si>
  <si>
    <t>OFF-EN-10003862</t>
  </si>
  <si>
    <t>Laser &amp; Ink Jet Business Envelopes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</si>
  <si>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</si>
  <si>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</si>
  <si>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</si>
  <si>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</si>
  <si>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</si>
  <si>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OFF-ST-10000046</t>
  </si>
  <si>
    <t>Fellowes Super Stor/Drawer Files</t>
  </si>
  <si>
    <t>CA-2015-111199</t>
  </si>
  <si>
    <t>CA-2015-105312</t>
  </si>
  <si>
    <t>OFF-EN-10002600</t>
  </si>
  <si>
    <t>Redi-Strip #10 Envelopes, 4 1/8 x 9 1/2</t>
  </si>
  <si>
    <t>US-2017-106705</t>
  </si>
  <si>
    <t>OFF-PA-10001509</t>
  </si>
  <si>
    <t>Recycled Desk Saver Line "While You Were Out" Book, 5 1/2" X 4"</t>
  </si>
  <si>
    <t>CA-2017-135034</t>
  </si>
  <si>
    <t>CA-2014-158540</t>
  </si>
  <si>
    <t>FUR-FU-10001602</t>
  </si>
  <si>
    <t>Eldon Delta Triangular Chair Mat, 52" x 58", Clear</t>
  </si>
  <si>
    <t>CA-2017-118437</t>
  </si>
  <si>
    <t>US-2015-126214</t>
  </si>
  <si>
    <t>FUR-TA-10003748</t>
  </si>
  <si>
    <t>Bevis 36 x 72 Conference Tables</t>
  </si>
  <si>
    <t>CA-2015-133025</t>
  </si>
  <si>
    <t>OFF-PA-10004100</t>
  </si>
  <si>
    <t>Xerox 216</t>
  </si>
  <si>
    <t>CA-2015-108665</t>
  </si>
  <si>
    <t>KM-16225</t>
  </si>
  <si>
    <t>Kalyca Meade</t>
  </si>
  <si>
    <t>FUR-FU-10002191</t>
  </si>
  <si>
    <t>G.E. Halogen Desk Lamp Bulbs</t>
  </si>
  <si>
    <t>CA-2015-124450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</si>
  <si>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</si>
  <si>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</si>
  <si>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</si>
  <si>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</si>
  <si>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</si>
  <si>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</si>
  <si>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</si>
  <si>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</si>
  <si>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</si>
  <si>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</si>
  <si>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</si>
  <si>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</si>
  <si>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</si>
  <si>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CA-2014-163552</t>
  </si>
  <si>
    <t>CA-2016-109820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</si>
  <si>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</si>
  <si>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</si>
  <si>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</si>
  <si>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</si>
  <si>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</si>
  <si>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</si>
  <si>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</si>
  <si>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OFF-BI-10003707</t>
  </si>
  <si>
    <t>Aluminum Screw Posts</t>
  </si>
  <si>
    <t>CA-2017-121818</t>
  </si>
  <si>
    <t>CA-2016-127670</t>
  </si>
  <si>
    <t>RD-19660</t>
  </si>
  <si>
    <t>Robert Dilbeck</t>
  </si>
  <si>
    <t>Saint Peters</t>
  </si>
  <si>
    <t>CA-2016-102981</t>
  </si>
  <si>
    <t>TEC-AC-10004761</t>
  </si>
  <si>
    <t>Maxell 4.7GB</t>
  </si>
  <si>
    <t>US-2017-148831</t>
  </si>
  <si>
    <t>CA-2015-162950</t>
  </si>
  <si>
    <t>US-2015-132836</t>
  </si>
  <si>
    <t>TEC-PH-10001299</t>
  </si>
  <si>
    <t>Polycom CX300 Desktop Phone USB VoIP phone</t>
  </si>
  <si>
    <t>US-2014-158365</t>
  </si>
  <si>
    <t>CA-2017-152933</t>
  </si>
  <si>
    <t>MG-17650</t>
  </si>
  <si>
    <t>Matthew Grinstein</t>
  </si>
  <si>
    <t>TEC-PH-10002085</t>
  </si>
  <si>
    <t>Clarity 53712</t>
  </si>
  <si>
    <t>CA-2015-163181</t>
  </si>
  <si>
    <t>CA-2015-132941</t>
  </si>
  <si>
    <t>Haltom City</t>
  </si>
  <si>
    <t>OFF-SU-10002557</t>
  </si>
  <si>
    <t>Fiskars Spring-Action Scissors</t>
  </si>
  <si>
    <t>CA-2014-132010</t>
  </si>
  <si>
    <t>MA-17995</t>
  </si>
  <si>
    <t>Michelle Arnett</t>
  </si>
  <si>
    <t>OFF-EN-10003160</t>
  </si>
  <si>
    <t>Pastel Pink Envelopes</t>
  </si>
  <si>
    <t>CA-2016-135461</t>
  </si>
  <si>
    <t>EB-13975</t>
  </si>
  <si>
    <t>Erica Bern</t>
  </si>
  <si>
    <t>TEC-PH-10004094</t>
  </si>
  <si>
    <t>Motorola L703CM</t>
  </si>
  <si>
    <t>CA-2017-153045</t>
  </si>
  <si>
    <t>TEC-PH-10001817</t>
  </si>
  <si>
    <t>Wilson Electronics DB Pro Signal Booster</t>
  </si>
  <si>
    <t>US-2016-155971</t>
  </si>
  <si>
    <t>OFF-LA-10000452</t>
  </si>
  <si>
    <t>Avery 488</t>
  </si>
  <si>
    <t>CA-2017-122007</t>
  </si>
  <si>
    <t>JK-15325</t>
  </si>
  <si>
    <t>Jason Klamczynski</t>
  </si>
  <si>
    <t>CA-2017-162250</t>
  </si>
  <si>
    <t>OFF-PA-10002137</t>
  </si>
  <si>
    <t>Southworth 100% Rsum Paper, 24lb.</t>
  </si>
  <si>
    <t>US-2016-158288</t>
  </si>
  <si>
    <t>OFF-BI-10003364</t>
  </si>
  <si>
    <t>Binding Machine Supplies</t>
  </si>
  <si>
    <t>CA-2016-128916</t>
  </si>
  <si>
    <t>CA-2015-157028</t>
  </si>
  <si>
    <t>Las Cruces</t>
  </si>
  <si>
    <t>CA-2017-112473</t>
  </si>
  <si>
    <t>OFF-ST-10002182</t>
  </si>
  <si>
    <t>Iris 3-Drawer Stacking Bin, Black</t>
  </si>
  <si>
    <t>US-2017-147655</t>
  </si>
  <si>
    <t>AS-10045</t>
  </si>
  <si>
    <t>Aaron Smayling</t>
  </si>
  <si>
    <t>Redmond</t>
  </si>
  <si>
    <t>OFF-BI-10002931</t>
  </si>
  <si>
    <t>Avery Trapezoid Extra Heavy Duty 4" Binders</t>
  </si>
  <si>
    <t>CA-2016-130911</t>
  </si>
  <si>
    <t>FUR-BO-10004357</t>
  </si>
  <si>
    <t>O'Sullivan Living Dimensions 3-Shelf Bookcases</t>
  </si>
  <si>
    <t>CA-2017-100055</t>
  </si>
  <si>
    <t>MD-17860</t>
  </si>
  <si>
    <t>Michael Dominguez</t>
  </si>
  <si>
    <t>Laurel</t>
  </si>
  <si>
    <t>FUR-FU-10001473</t>
  </si>
  <si>
    <t>DAX Wood Document Frame</t>
  </si>
  <si>
    <t>CA-2015-157805</t>
  </si>
  <si>
    <t>RH-19510</t>
  </si>
  <si>
    <t>Rick Huthwaite</t>
  </si>
  <si>
    <t>TEC-PH-10004447</t>
  </si>
  <si>
    <t>Toshiba IPT2010-SD IPTelephone</t>
  </si>
  <si>
    <t>CA-2016-124254</t>
  </si>
  <si>
    <t>TB-21175</t>
  </si>
  <si>
    <t>Thomas Boland</t>
  </si>
  <si>
    <t>Wilson</t>
  </si>
  <si>
    <t>OFF-ST-10001469</t>
  </si>
  <si>
    <t>Fellowes Bankers Box Recycled Super Stor/Drawer</t>
  </si>
  <si>
    <t>CA-2014-123400</t>
  </si>
  <si>
    <t>OFF-BI-10000666</t>
  </si>
  <si>
    <t>Surelock Post Binders</t>
  </si>
  <si>
    <t>CA-2014-106971</t>
  </si>
  <si>
    <t>CA-2017-123029</t>
  </si>
  <si>
    <t>BT-11530</t>
  </si>
  <si>
    <t>Bradley Talbott</t>
  </si>
  <si>
    <t>CA-2016-139409</t>
  </si>
  <si>
    <t>FW-14395</t>
  </si>
  <si>
    <t>Fred Wasserman</t>
  </si>
  <si>
    <t>TEC-PH-10003988</t>
  </si>
  <si>
    <t>LF Elite 3D Dazzle Designer Hard Case Cover, Lf Stylus Pen and Wiper For Apple Iphone 5c Mini Lite</t>
  </si>
  <si>
    <t>US-2017-166688</t>
  </si>
  <si>
    <t>OFF-BI-10004040</t>
  </si>
  <si>
    <t>Wilson Jones Impact Binders</t>
  </si>
  <si>
    <t>CA-2015-126970</t>
  </si>
  <si>
    <t>OFF-BI-10000138</t>
  </si>
  <si>
    <t>Acco Translucent Poly Ring Binders</t>
  </si>
  <si>
    <t>US-2016-165505</t>
  </si>
  <si>
    <t>Vermont</t>
  </si>
  <si>
    <t>05408</t>
  </si>
  <si>
    <t>TEC-AC-10002926</t>
  </si>
  <si>
    <t>Logitech Wireless Marathon Mouse M705</t>
  </si>
  <si>
    <t>US-2014-157070</t>
  </si>
  <si>
    <t>QJ-19255</t>
  </si>
  <si>
    <t>Quincy Jones</t>
  </si>
  <si>
    <t>OFF-BI-10001765</t>
  </si>
  <si>
    <t>Wilson Jones Heavy-Duty Casebound Ring Binders with Metal Hinges</t>
  </si>
  <si>
    <t>US-2015-106873</t>
  </si>
  <si>
    <t>CA-2016-132990</t>
  </si>
  <si>
    <t>FUR-FU-10004864</t>
  </si>
  <si>
    <t>Eldon 500 Class Desk Accessories</t>
  </si>
  <si>
    <t>CA-2014-102645</t>
  </si>
  <si>
    <t>CA-2014-134215</t>
  </si>
  <si>
    <t>ML-17395</t>
  </si>
  <si>
    <t>Marina Lichtenstein</t>
  </si>
  <si>
    <t>Bangor</t>
  </si>
  <si>
    <t>Maine</t>
  </si>
  <si>
    <t>CA-2016-118934</t>
  </si>
  <si>
    <t>GH-14410</t>
  </si>
  <si>
    <t>Gary Hansen</t>
  </si>
  <si>
    <t>Hendersonville</t>
  </si>
  <si>
    <t>CA-2016-160108</t>
  </si>
  <si>
    <t>FUR-BO-10003450</t>
  </si>
  <si>
    <t>Bush Westfield Collection Bookcases, Dark Cherry Finish</t>
  </si>
  <si>
    <t>CA-2015-164007</t>
  </si>
  <si>
    <t>TEC-AC-10003433</t>
  </si>
  <si>
    <t>Maxell 4.7GB DVD�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</si>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</sst>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2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0_);[Red]\(0\)"/>
    <numFmt numFmtId="177" formatCode="dd/mm/yyyy;@"/>
    <numFmt numFmtId="178" formatCode="[$₹-4009]#,##0_);\([$₹-4009]#,##0\)"/>
    <numFmt numFmtId="179" formatCode="0_);\(0\)"/>
    <numFmt numFmtId="180" formatCode="_-[$$-409]* #,##0.00_ ;_-[$$-409]* \-#,##0.00\ ;_-[$$-409]* &quot;-&quot;??_ ;_-@_ "/>
    <numFmt numFmtId="181" formatCode="[$₹-4009]#,##0.00;[$₹-4009]\-#,##0.00"/>
    <numFmt numFmtId="182" formatCode="[$₹-4009]#,##0.00_);[Red]\([$₹-4009]#,##0.00\)"/>
    <numFmt numFmtId="183" formatCode="[$₹-4009]#,##0.00_);\([$₹-4009]#,##0.00\)"/>
  </numFmts>
  <fonts count="24">
    <font>
      <sz val="11"/>
      <color theme="1"/>
      <name val="Calibri"/>
      <charset val="134"/>
      <scheme val="minor"/>
    </font>
    <font>
      <b/>
      <sz val="12"/>
      <color theme="0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theme="8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176" fontId="1" fillId="2" borderId="1" xfId="0" applyNumberFormat="1" applyFont="1" applyFill="1" applyBorder="1" applyAlignment="1" applyProtection="1">
      <alignment vertical="center"/>
    </xf>
    <xf numFmtId="0" fontId="1" fillId="2" borderId="1" xfId="0" applyNumberFormat="1" applyFont="1" applyFill="1" applyBorder="1" applyAlignment="1" applyProtection="1">
      <alignment vertical="center"/>
    </xf>
    <xf numFmtId="177" fontId="1" fillId="2" borderId="1" xfId="0" applyNumberFormat="1" applyFont="1" applyFill="1" applyBorder="1" applyAlignment="1" applyProtection="1">
      <alignment vertical="center"/>
    </xf>
    <xf numFmtId="176" fontId="2" fillId="3" borderId="1" xfId="0" applyNumberFormat="1" applyFont="1" applyFill="1" applyBorder="1" applyAlignment="1" applyProtection="1">
      <alignment vertical="center"/>
    </xf>
    <xf numFmtId="0" fontId="2" fillId="3" borderId="1" xfId="0" applyNumberFormat="1" applyFont="1" applyFill="1" applyBorder="1" applyAlignment="1" applyProtection="1">
      <alignment vertical="center"/>
    </xf>
    <xf numFmtId="177" fontId="2" fillId="3" borderId="1" xfId="0" applyNumberFormat="1" applyFont="1" applyFill="1" applyBorder="1" applyAlignment="1" applyProtection="1">
      <alignment vertical="center"/>
    </xf>
    <xf numFmtId="176" fontId="2" fillId="0" borderId="1" xfId="0" applyNumberFormat="1" applyFont="1" applyFill="1" applyBorder="1" applyAlignment="1" applyProtection="1">
      <alignment vertical="center"/>
    </xf>
    <xf numFmtId="0" fontId="2" fillId="0" borderId="1" xfId="0" applyNumberFormat="1" applyFont="1" applyFill="1" applyBorder="1" applyAlignment="1" applyProtection="1">
      <alignment vertical="center"/>
    </xf>
    <xf numFmtId="177" fontId="2" fillId="0" borderId="1" xfId="0" applyNumberFormat="1" applyFont="1" applyFill="1" applyBorder="1" applyAlignment="1" applyProtection="1">
      <alignment vertical="center"/>
    </xf>
    <xf numFmtId="178" fontId="1" fillId="2" borderId="1" xfId="0" applyNumberFormat="1" applyFont="1" applyFill="1" applyBorder="1" applyAlignment="1" applyProtection="1">
      <alignment vertical="center"/>
    </xf>
    <xf numFmtId="10" fontId="1" fillId="2" borderId="1" xfId="0" applyNumberFormat="1" applyFont="1" applyFill="1" applyBorder="1" applyAlignment="1" applyProtection="1">
      <alignment vertical="center"/>
    </xf>
    <xf numFmtId="178" fontId="2" fillId="3" borderId="1" xfId="0" applyNumberFormat="1" applyFont="1" applyFill="1" applyBorder="1" applyAlignment="1" applyProtection="1">
      <alignment vertical="center"/>
    </xf>
    <xf numFmtId="179" fontId="2" fillId="3" borderId="1" xfId="0" applyNumberFormat="1" applyFont="1" applyFill="1" applyBorder="1" applyAlignment="1" applyProtection="1">
      <alignment vertical="center"/>
    </xf>
    <xf numFmtId="9" fontId="2" fillId="3" borderId="1" xfId="0" applyNumberFormat="1" applyFont="1" applyFill="1" applyBorder="1" applyAlignment="1" applyProtection="1">
      <alignment vertical="center"/>
    </xf>
    <xf numFmtId="178" fontId="2" fillId="0" borderId="1" xfId="0" applyNumberFormat="1" applyFont="1" applyFill="1" applyBorder="1" applyAlignment="1" applyProtection="1">
      <alignment vertical="center"/>
    </xf>
    <xf numFmtId="9" fontId="2" fillId="0" borderId="1" xfId="0" applyNumberFormat="1" applyFont="1" applyFill="1" applyBorder="1" applyAlignment="1" applyProtection="1">
      <alignment vertical="center"/>
    </xf>
    <xf numFmtId="180" fontId="1" fillId="2" borderId="1" xfId="0" applyNumberFormat="1" applyFont="1" applyFill="1" applyBorder="1" applyAlignment="1" applyProtection="1">
      <alignment vertical="center"/>
    </xf>
    <xf numFmtId="0" fontId="3" fillId="2" borderId="1" xfId="0" applyNumberFormat="1" applyFont="1" applyFill="1" applyBorder="1" applyAlignment="1" applyProtection="1">
      <alignment vertical="center"/>
    </xf>
    <xf numFmtId="181" fontId="0" fillId="3" borderId="1" xfId="0" applyNumberFormat="1" applyFont="1" applyFill="1" applyBorder="1" applyAlignment="1" applyProtection="1">
      <alignment vertical="center"/>
    </xf>
    <xf numFmtId="182" fontId="0" fillId="3" borderId="1" xfId="0" applyNumberFormat="1" applyFont="1" applyFill="1" applyBorder="1" applyAlignment="1" applyProtection="1">
      <alignment vertical="center"/>
    </xf>
    <xf numFmtId="0" fontId="0" fillId="0" borderId="1" xfId="0" applyNumberFormat="1" applyFont="1" applyFill="1" applyBorder="1" applyAlignment="1" applyProtection="1">
      <alignment vertical="center"/>
    </xf>
    <xf numFmtId="181" fontId="0" fillId="0" borderId="1" xfId="0" applyNumberFormat="1" applyFont="1" applyFill="1" applyBorder="1" applyAlignment="1" applyProtection="1">
      <alignment vertical="center"/>
    </xf>
    <xf numFmtId="182" fontId="0" fillId="0" borderId="1" xfId="0" applyNumberFormat="1" applyFont="1" applyFill="1" applyBorder="1" applyAlignment="1" applyProtection="1">
      <alignment vertical="center"/>
    </xf>
    <xf numFmtId="182" fontId="0" fillId="0" borderId="0" xfId="0" applyNumberFormat="1">
      <alignment vertical="center"/>
    </xf>
    <xf numFmtId="0" fontId="4" fillId="4" borderId="1" xfId="0" applyFont="1" applyFill="1" applyBorder="1">
      <alignment vertical="center"/>
    </xf>
    <xf numFmtId="182" fontId="0" fillId="4" borderId="1" xfId="0" applyNumberFormat="1" applyFill="1" applyBorder="1">
      <alignment vertical="center"/>
    </xf>
    <xf numFmtId="10" fontId="0" fillId="0" borderId="0" xfId="0" applyNumberFormat="1">
      <alignment vertical="center"/>
    </xf>
    <xf numFmtId="0" fontId="0" fillId="0" borderId="0" xfId="0" applyAlignment="1">
      <alignment vertical="center" wrapText="1"/>
    </xf>
    <xf numFmtId="0" fontId="0" fillId="4" borderId="1" xfId="0" applyFill="1" applyBorder="1">
      <alignment vertical="center"/>
    </xf>
    <xf numFmtId="10" fontId="0" fillId="4" borderId="1" xfId="0" applyNumberFormat="1" applyFill="1" applyBorder="1">
      <alignment vertical="center"/>
    </xf>
    <xf numFmtId="0" fontId="0" fillId="4" borderId="1" xfId="0" applyFill="1" applyBorder="1" applyAlignment="1">
      <alignment vertical="center" wrapText="1"/>
    </xf>
    <xf numFmtId="176" fontId="0" fillId="4" borderId="1" xfId="0" applyNumberFormat="1" applyFill="1" applyBorder="1" applyAlignment="1">
      <alignment vertical="center" wrapText="1"/>
    </xf>
    <xf numFmtId="182" fontId="2" fillId="3" borderId="1" xfId="0" applyNumberFormat="1" applyFont="1" applyFill="1" applyBorder="1" applyAlignment="1" applyProtection="1">
      <alignment vertical="center"/>
    </xf>
    <xf numFmtId="182" fontId="2" fillId="0" borderId="1" xfId="0" applyNumberFormat="1" applyFont="1" applyFill="1" applyBorder="1" applyAlignment="1" applyProtection="1">
      <alignment vertical="center"/>
    </xf>
    <xf numFmtId="9" fontId="0" fillId="0" borderId="1" xfId="0" applyNumberFormat="1" applyFont="1" applyFill="1" applyBorder="1" applyAlignment="1" applyProtection="1">
      <alignment vertical="center"/>
    </xf>
    <xf numFmtId="178" fontId="0" fillId="0" borderId="1" xfId="0" applyNumberFormat="1" applyFont="1" applyFill="1" applyBorder="1" applyAlignment="1" applyProtection="1">
      <alignment vertical="center"/>
    </xf>
    <xf numFmtId="178" fontId="0" fillId="0" borderId="0" xfId="0" applyNumberFormat="1">
      <alignment vertical="center"/>
    </xf>
    <xf numFmtId="9" fontId="0" fillId="0" borderId="0" xfId="0" applyNumberFormat="1">
      <alignment vertical="center"/>
    </xf>
    <xf numFmtId="183" fontId="0" fillId="0" borderId="0" xfId="0" applyNumberFormat="1">
      <alignment vertical="center"/>
    </xf>
    <xf numFmtId="0" fontId="2" fillId="3" borderId="1" xfId="0" applyNumberFormat="1" applyFont="1" applyFill="1" applyBorder="1" applyAlignment="1" applyProtection="1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microsoft.com/office/2007/relationships/slicerCache" Target="slicerCaches/slicerCache1.xml"/><Relationship Id="rId8" Type="http://schemas.openxmlformats.org/officeDocument/2006/relationships/pivotCacheDefinition" Target="pivotCache/pivotCacheDefinition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9" Type="http://schemas.openxmlformats.org/officeDocument/2006/relationships/styles" Target="styles.xml"/><Relationship Id="rId18" Type="http://schemas.openxmlformats.org/officeDocument/2006/relationships/sheetMetadata" Target="metadata.xml"/><Relationship Id="rId17" Type="http://schemas.openxmlformats.org/officeDocument/2006/relationships/sharedStrings" Target="sharedStrings.xml"/><Relationship Id="rId16" Type="http://schemas.openxmlformats.org/officeDocument/2006/relationships/theme" Target="theme/theme1.xml"/><Relationship Id="rId15" Type="http://schemas.microsoft.com/office/2007/relationships/slicerCache" Target="slicerCaches/slicerCache7.xml"/><Relationship Id="rId14" Type="http://schemas.microsoft.com/office/2007/relationships/slicerCache" Target="slicerCaches/slicerCache6.xml"/><Relationship Id="rId13" Type="http://schemas.microsoft.com/office/2007/relationships/slicerCache" Target="slicerCaches/slicerCache5.xml"/><Relationship Id="rId12" Type="http://schemas.microsoft.com/office/2007/relationships/slicerCache" Target="slicerCaches/slicerCache4.xml"/><Relationship Id="rId11" Type="http://schemas.microsoft.com/office/2007/relationships/slicerCache" Target="slicerCaches/slicerCache3.xml"/><Relationship Id="rId10" Type="http://schemas.microsoft.com/office/2007/relationships/slicerCache" Target="slicerCaches/slicerCache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[Copy of Dhanush.R(23106011)(Superstores sales dataset).xlsx]segment!PivotTable2</c:name>
    <c:fmtId val="2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segment!$B$3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segment!$A$4:$A$7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segment!$B$4:$B$7</c:f>
              <c:numCache>
                <c:formatCode>General</c:formatCode>
                <c:ptCount val="3"/>
                <c:pt idx="0">
                  <c:v>26</c:v>
                </c:pt>
                <c:pt idx="1">
                  <c:v>48</c:v>
                </c:pt>
                <c:pt idx="2">
                  <c:v>13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34901db-b717-43d8-a48c-2c857c866d50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[Copy of Dhanush.R(23106011)(Superstores sales dataset).xlsx]category!PivotTable3</c:name>
    <c:fmtId val="2"/>
  </c:pivotSource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category!$B$3</c:f>
              <c:strCache>
                <c:ptCount val="1"/>
                <c:pt idx="0">
                  <c:v>Sum of    Sales  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category!$A$4:$A$5</c:f>
              <c:strCache>
                <c:ptCount val="1"/>
                <c:pt idx="0">
                  <c:v>First Class</c:v>
                </c:pt>
              </c:strCache>
            </c:strRef>
          </c:cat>
          <c:val>
            <c:numRef>
              <c:f>category!$B$4:$B$5</c:f>
              <c:numCache>
                <c:formatCode>[$₹-4009]#,##0_);\([$₹-4009]#,##0\)</c:formatCode>
                <c:ptCount val="1"/>
                <c:pt idx="0">
                  <c:v>3113.569</c:v>
                </c:pt>
              </c:numCache>
            </c:numRef>
          </c:val>
        </c:ser>
        <c:ser>
          <c:idx val="1"/>
          <c:order val="1"/>
          <c:tx>
            <c:strRef>
              <c:f>category!$C$3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category!$A$4:$A$5</c:f>
              <c:strCache>
                <c:ptCount val="1"/>
                <c:pt idx="0">
                  <c:v>First Class</c:v>
                </c:pt>
              </c:strCache>
            </c:strRef>
          </c:cat>
          <c:val>
            <c:numRef>
              <c:f>category!$C$4:$C$5</c:f>
              <c:numCache>
                <c:formatCode>[$₹-4009]#,##0_);\([$₹-4009]#,##0\)</c:formatCode>
                <c:ptCount val="1"/>
                <c:pt idx="0">
                  <c:v>777.3104</c:v>
                </c:pt>
              </c:numCache>
            </c:numRef>
          </c:val>
        </c:ser>
        <c:ser>
          <c:idx val="2"/>
          <c:order val="2"/>
          <c:tx>
            <c:strRef>
              <c:f>category!$D$3</c:f>
              <c:strCache>
                <c:ptCount val="1"/>
                <c:pt idx="0">
                  <c:v>Sum of Adujested sales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category!$A$4:$A$5</c:f>
              <c:strCache>
                <c:ptCount val="1"/>
                <c:pt idx="0">
                  <c:v>First Class</c:v>
                </c:pt>
              </c:strCache>
            </c:strRef>
          </c:cat>
          <c:val>
            <c:numRef>
              <c:f>category!$D$4:$D$5</c:f>
              <c:numCache>
                <c:formatCode>[$₹-4009]#,##0_);\([$₹-4009]#,##0\)</c:formatCode>
                <c:ptCount val="1"/>
                <c:pt idx="0">
                  <c:v>2445.9267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1"/>
        </c:dLbls>
        <c:gapWidth val="219"/>
        <c:overlap val="-27"/>
        <c:axId val="665266984"/>
        <c:axId val="857721256"/>
      </c:barChart>
      <c:catAx>
        <c:axId val="6652669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57721256"/>
        <c:crosses val="autoZero"/>
        <c:auto val="1"/>
        <c:lblAlgn val="ctr"/>
        <c:lblOffset val="100"/>
        <c:noMultiLvlLbl val="0"/>
      </c:catAx>
      <c:valAx>
        <c:axId val="857721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₹-4009]#,##0_);\([$₹-4009]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65266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04591f6-7bbb-4dde-9097-01e5c3c0b2b6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[Copy of Dhanush.R(23106011)(Superstores sales dataset).xlsx]Ship mode!PivotTable1</c:name>
    <c:fmtId val="2"/>
  </c:pivotSource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'Ship mode'!$B$3</c:f>
              <c:strCache>
                <c:ptCount val="1"/>
                <c:pt idx="0">
                  <c:v>Sum of    Sales  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'Ship mode'!$A$4:$A$5</c:f>
              <c:strCache>
                <c:ptCount val="1"/>
                <c:pt idx="0">
                  <c:v>Standard Class</c:v>
                </c:pt>
              </c:strCache>
            </c:strRef>
          </c:cat>
          <c:val>
            <c:numRef>
              <c:f>'Ship mode'!$B$4:$B$5</c:f>
              <c:numCache>
                <c:formatCode>[$₹-4009]#,##0_);\([$₹-4009]#,##0\)</c:formatCode>
                <c:ptCount val="1"/>
                <c:pt idx="0">
                  <c:v>205.3328</c:v>
                </c:pt>
              </c:numCache>
            </c:numRef>
          </c:val>
        </c:ser>
        <c:ser>
          <c:idx val="1"/>
          <c:order val="1"/>
          <c:tx>
            <c:strRef>
              <c:f>'Ship mode'!$C$3</c:f>
              <c:strCache>
                <c:ptCount val="1"/>
                <c:pt idx="0">
                  <c:v>Sum of Discount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'Ship mode'!$A$4:$A$5</c:f>
              <c:strCache>
                <c:ptCount val="1"/>
                <c:pt idx="0">
                  <c:v>Standard Class</c:v>
                </c:pt>
              </c:strCache>
            </c:strRef>
          </c:cat>
          <c:val>
            <c:numRef>
              <c:f>'Ship mode'!$C$4:$C$5</c:f>
              <c:numCache>
                <c:formatCode>0%</c:formatCode>
                <c:ptCount val="1"/>
                <c:pt idx="0">
                  <c:v>0.32</c:v>
                </c:pt>
              </c:numCache>
            </c:numRef>
          </c:val>
        </c:ser>
        <c:ser>
          <c:idx val="2"/>
          <c:order val="2"/>
          <c:tx>
            <c:strRef>
              <c:f>'Ship mode'!$D$3</c:f>
              <c:strCache>
                <c:ptCount val="1"/>
                <c:pt idx="0">
                  <c:v>Average of    Sales  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'Ship mode'!$A$4:$A$5</c:f>
              <c:strCache>
                <c:ptCount val="1"/>
                <c:pt idx="0">
                  <c:v>Standard Class</c:v>
                </c:pt>
              </c:strCache>
            </c:strRef>
          </c:cat>
          <c:val>
            <c:numRef>
              <c:f>'Ship mode'!$D$4:$D$5</c:f>
              <c:numCache>
                <c:formatCode>[$₹-4009]#,##0.00_);\([$₹-4009]#,##0.00\)</c:formatCode>
                <c:ptCount val="1"/>
                <c:pt idx="0">
                  <c:v>205.3328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1"/>
        </c:dLbls>
        <c:gapWidth val="219"/>
        <c:overlap val="-27"/>
        <c:axId val="475856345"/>
        <c:axId val="514811694"/>
      </c:barChart>
      <c:catAx>
        <c:axId val="47585634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14811694"/>
        <c:crosses val="autoZero"/>
        <c:auto val="1"/>
        <c:lblAlgn val="ctr"/>
        <c:lblOffset val="100"/>
        <c:noMultiLvlLbl val="0"/>
      </c:catAx>
      <c:valAx>
        <c:axId val="51481169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₹-4009]#,##0_);\([$₹-4009]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7585634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266a879-7949-4461-9786-f842311b25c9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[Copy of Dhanush.R(23106011)(Superstores sales dataset).xlsx]SALES!PivotTable4</c:name>
    <c:fmtId val="2"/>
  </c:pivotSource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SALES!$C$4</c:f>
              <c:strCache>
                <c:ptCount val="1"/>
                <c:pt idx="0">
                  <c:v>Sum of Adujested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multiLvlStrRef>
              <c:f>SALES!$A$5:$B$95</c:f>
              <c:multiLvlStrCache>
                <c:ptCount val="45"/>
                <c:lvl>
                  <c:pt idx="0">
                    <c:v>OFF-AR-10001573</c:v>
                  </c:pt>
                  <c:pt idx="1">
                    <c:v>OFF-AR-10003478</c:v>
                  </c:pt>
                  <c:pt idx="2">
                    <c:v>OFF-AR-10000034</c:v>
                  </c:pt>
                  <c:pt idx="3">
                    <c:v>OFF-AR-10004441</c:v>
                  </c:pt>
                  <c:pt idx="4">
                    <c:v>OFF-AR-10004685</c:v>
                  </c:pt>
                  <c:pt idx="5">
                    <c:v>OFF-AR-10001118</c:v>
                  </c:pt>
                  <c:pt idx="6">
                    <c:v>OFF-AR-10004027</c:v>
                  </c:pt>
                  <c:pt idx="7">
                    <c:v>OFF-AR-10002956</c:v>
                  </c:pt>
                  <c:pt idx="8">
                    <c:v>OFF-AR-10004648</c:v>
                  </c:pt>
                  <c:pt idx="9">
                    <c:v>OFF-AR-10003373</c:v>
                  </c:pt>
                  <c:pt idx="10">
                    <c:v>OFF-AR-10004344</c:v>
                  </c:pt>
                  <c:pt idx="11">
                    <c:v>OFF-AR-10004757</c:v>
                  </c:pt>
                  <c:pt idx="12">
                    <c:v>OFF-AR-10000369</c:v>
                  </c:pt>
                  <c:pt idx="13">
                    <c:v>OFF-AR-10003405</c:v>
                  </c:pt>
                  <c:pt idx="14">
                    <c:v>OFF-AR-10002335</c:v>
                  </c:pt>
                  <c:pt idx="15">
                    <c:v>OFF-AR-10003179</c:v>
                  </c:pt>
                  <c:pt idx="16">
                    <c:v>OFF-AR-10002804</c:v>
                  </c:pt>
                  <c:pt idx="17">
                    <c:v>OFF-AR-10002671</c:v>
                  </c:pt>
                  <c:pt idx="18">
                    <c:v>OFF-AR-10000380</c:v>
                  </c:pt>
                  <c:pt idx="19">
                    <c:v>OFF-AR-10001683</c:v>
                  </c:pt>
                  <c:pt idx="20">
                    <c:v>OFF-AR-10001897</c:v>
                  </c:pt>
                  <c:pt idx="21">
                    <c:v>OFF-AR-10001547</c:v>
                  </c:pt>
                  <c:pt idx="22">
                    <c:v>OFF-AR-10004078</c:v>
                  </c:pt>
                  <c:pt idx="23">
                    <c:v>OFF-AR-10000122</c:v>
                  </c:pt>
                  <c:pt idx="24">
                    <c:v>OFF-AR-10000246</c:v>
                  </c:pt>
                  <c:pt idx="25">
                    <c:v>OFF-AR-10003190</c:v>
                  </c:pt>
                  <c:pt idx="26">
                    <c:v>OFF-AR-10000658</c:v>
                  </c:pt>
                  <c:pt idx="27">
                    <c:v>OFF-AR-10003811</c:v>
                  </c:pt>
                  <c:pt idx="28">
                    <c:v>OFF-AR-10001954</c:v>
                  </c:pt>
                  <c:pt idx="29">
                    <c:v>OFF-AR-10003394</c:v>
                  </c:pt>
                  <c:pt idx="30">
                    <c:v>OFF-AR-10000203</c:v>
                  </c:pt>
                  <c:pt idx="31">
                    <c:v>OFF-AR-10003056</c:v>
                  </c:pt>
                  <c:pt idx="32">
                    <c:v>OFF-AR-10000940</c:v>
                  </c:pt>
                  <c:pt idx="33">
                    <c:v>OFF-AR-10000588</c:v>
                  </c:pt>
                  <c:pt idx="34">
                    <c:v>OFF-AR-10003651</c:v>
                  </c:pt>
                  <c:pt idx="35">
                    <c:v>OFF-AR-10003045</c:v>
                  </c:pt>
                  <c:pt idx="36">
                    <c:v>OFF-AR-10002053</c:v>
                  </c:pt>
                  <c:pt idx="37">
                    <c:v>OFF-AR-10003602</c:v>
                  </c:pt>
                  <c:pt idx="38">
                    <c:v>OFF-AR-10001662</c:v>
                  </c:pt>
                  <c:pt idx="39">
                    <c:v>OFF-AR-10001940</c:v>
                  </c:pt>
                  <c:pt idx="40">
                    <c:v>OFF-AR-10001026</c:v>
                  </c:pt>
                  <c:pt idx="41">
                    <c:v>OFF-AR-10001958</c:v>
                  </c:pt>
                  <c:pt idx="42">
                    <c:v>OFF-AR-10001166</c:v>
                  </c:pt>
                  <c:pt idx="43">
                    <c:v>OFF-AR-10004930</c:v>
                  </c:pt>
                  <c:pt idx="44">
                    <c:v>OFF-AR-10003560</c:v>
                  </c:pt>
                </c:lvl>
                <c:lvl>
                  <c:pt idx="0">
                    <c:v>American Pencil</c:v>
                  </c:pt>
                  <c:pt idx="1">
                    <c:v>Avery Hi-Liter EverBold Pen Style Fluorescent Highlighters, 4/Pack</c:v>
                  </c:pt>
                  <c:pt idx="2">
                    <c:v>BIC Brite Liner Grip Highlighters, Assorted, 5/Pack</c:v>
                  </c:pt>
                  <c:pt idx="3">
                    <c:v>BIC Brite Liner Highlighters</c:v>
                  </c:pt>
                  <c:pt idx="4">
                    <c:v>Binney &amp; Smith Crayola Metallic Colored Pencils, 8-Color Set</c:v>
                  </c:pt>
                  <c:pt idx="5">
                    <c:v>Binney &amp; Smith Crayola Metallic Crayons, 16-Color Pack</c:v>
                  </c:pt>
                  <c:pt idx="6">
                    <c:v>Binney &amp; Smith inkTank Erasable Desk Highlighter, Chisel Tip, Yellow, 12/Box</c:v>
                  </c:pt>
                  <c:pt idx="7">
                    <c:v>Boston 16801 Nautilus Battery Pencil Sharpener</c:v>
                  </c:pt>
                  <c:pt idx="8">
                    <c:v>Boston 19500 Mighty Mite Electric Pencil Sharpener</c:v>
                  </c:pt>
                  <c:pt idx="9">
                    <c:v>Boston School Pro Electric Pencil Sharpener, 1670</c:v>
                  </c:pt>
                  <c:pt idx="10">
                    <c:v>Bulldog Vacuum Base Pencil Sharpener</c:v>
                  </c:pt>
                  <c:pt idx="11">
                    <c:v>Crayola Colored Pencils</c:v>
                  </c:pt>
                  <c:pt idx="12">
                    <c:v>Design Ebony Sketching Pencil</c:v>
                  </c:pt>
                  <c:pt idx="13">
                    <c:v>Dixon My First Ticonderoga Pencil, #2</c:v>
                  </c:pt>
                  <c:pt idx="14">
                    <c:v>DIXON Oriole Pencils</c:v>
                  </c:pt>
                  <c:pt idx="15">
                    <c:v>Dixon Ticonderoga Core-Lock Colored Pencils</c:v>
                  </c:pt>
                  <c:pt idx="16">
                    <c:v>Faber Castell Col-Erase Pencils</c:v>
                  </c:pt>
                  <c:pt idx="17">
                    <c:v>Hunt BOSTON Model 1606 High-Volume Electric Pencil Sharpener, Beige</c:v>
                  </c:pt>
                  <c:pt idx="18">
                    <c:v>Hunt PowerHouse Electric Pencil Sharpener, Blue</c:v>
                  </c:pt>
                  <c:pt idx="19">
                    <c:v>Lumber Crayons</c:v>
                  </c:pt>
                  <c:pt idx="20">
                    <c:v>Model L Table or Wall-Mount Pencil Sharpener</c:v>
                  </c:pt>
                  <c:pt idx="21">
                    <c:v>Newell 311</c:v>
                  </c:pt>
                  <c:pt idx="22">
                    <c:v>Newell 312</c:v>
                  </c:pt>
                  <c:pt idx="23">
                    <c:v>Newell 314</c:v>
                  </c:pt>
                  <c:pt idx="24">
                    <c:v>Newell 318</c:v>
                  </c:pt>
                  <c:pt idx="25">
                    <c:v>Newell 32</c:v>
                  </c:pt>
                  <c:pt idx="26">
                    <c:v>Newell 324</c:v>
                  </c:pt>
                  <c:pt idx="27">
                    <c:v>Newell 327</c:v>
                  </c:pt>
                  <c:pt idx="28">
                    <c:v>Newell 331</c:v>
                  </c:pt>
                  <c:pt idx="29">
                    <c:v>Newell 332</c:v>
                  </c:pt>
                  <c:pt idx="30">
                    <c:v>Newell 336</c:v>
                  </c:pt>
                  <c:pt idx="31">
                    <c:v>Newell 341</c:v>
                  </c:pt>
                  <c:pt idx="32">
                    <c:v>Newell 343</c:v>
                  </c:pt>
                  <c:pt idx="33">
                    <c:v>Newell 345</c:v>
                  </c:pt>
                  <c:pt idx="34">
                    <c:v>Newell 350</c:v>
                  </c:pt>
                  <c:pt idx="35">
                    <c:v>Prang Colored Pencils</c:v>
                  </c:pt>
                  <c:pt idx="36">
                    <c:v>Premium Writing Pencils, Soft, #2 by Central Association for the Blind</c:v>
                  </c:pt>
                  <c:pt idx="37">
                    <c:v>Quartet Omega Colored Chalk, 12/Pack</c:v>
                  </c:pt>
                  <c:pt idx="38">
                    <c:v>Rogers Handheld Barrel Pencil Sharpener</c:v>
                  </c:pt>
                  <c:pt idx="39">
                    <c:v>Sanford Colorific Eraseable Coloring Pencils, 12 Count</c:v>
                  </c:pt>
                  <c:pt idx="40">
                    <c:v>Sanford Uni-Blazer View Highlighters, Chisel Tip, Yellow</c:v>
                  </c:pt>
                  <c:pt idx="41">
                    <c:v>Stanley Bostitch Contemporary Electric Pencil Sharpeners</c:v>
                  </c:pt>
                  <c:pt idx="42">
                    <c:v>Staples in misc. colors</c:v>
                  </c:pt>
                  <c:pt idx="43">
                    <c:v>Turquoise Lead Holder with Pocket Clip</c:v>
                  </c:pt>
                  <c:pt idx="44">
                    <c:v>Zebra Zazzle Fluorescent Highlighters</c:v>
                  </c:pt>
                </c:lvl>
              </c:multiLvlStrCache>
            </c:multiLvlStrRef>
          </c:cat>
          <c:val>
            <c:numRef>
              <c:f>SALES!$C$5:$C$95</c:f>
              <c:numCache>
                <c:formatCode>[$₹-4009]#,##0_);\([$₹-4009]#,##0\)</c:formatCode>
                <c:ptCount val="45"/>
                <c:pt idx="0">
                  <c:v>9.32</c:v>
                </c:pt>
                <c:pt idx="1">
                  <c:v>31.2576</c:v>
                </c:pt>
                <c:pt idx="2">
                  <c:v>2.7136</c:v>
                </c:pt>
                <c:pt idx="3">
                  <c:v>16.2288</c:v>
                </c:pt>
                <c:pt idx="4">
                  <c:v>5.9264</c:v>
                </c:pt>
                <c:pt idx="5">
                  <c:v>13.48</c:v>
                </c:pt>
                <c:pt idx="6">
                  <c:v>7.56</c:v>
                </c:pt>
                <c:pt idx="7">
                  <c:v>72.1928</c:v>
                </c:pt>
                <c:pt idx="8">
                  <c:v>60.45</c:v>
                </c:pt>
                <c:pt idx="9">
                  <c:v>423.8064</c:v>
                </c:pt>
                <c:pt idx="10">
                  <c:v>95.92</c:v>
                </c:pt>
                <c:pt idx="11">
                  <c:v>2.0992</c:v>
                </c:pt>
                <c:pt idx="12">
                  <c:v>5.3376</c:v>
                </c:pt>
                <c:pt idx="13">
                  <c:v>26.208</c:v>
                </c:pt>
                <c:pt idx="14">
                  <c:v>5.16</c:v>
                </c:pt>
                <c:pt idx="15">
                  <c:v>11.6608</c:v>
                </c:pt>
                <c:pt idx="16">
                  <c:v>4.89</c:v>
                </c:pt>
                <c:pt idx="17">
                  <c:v>890.4192</c:v>
                </c:pt>
                <c:pt idx="18">
                  <c:v>75.96</c:v>
                </c:pt>
                <c:pt idx="19">
                  <c:v>18.912</c:v>
                </c:pt>
                <c:pt idx="20">
                  <c:v>34.5408</c:v>
                </c:pt>
                <c:pt idx="21">
                  <c:v>6.63</c:v>
                </c:pt>
                <c:pt idx="22">
                  <c:v>7.4752</c:v>
                </c:pt>
                <c:pt idx="23">
                  <c:v>14.2848</c:v>
                </c:pt>
                <c:pt idx="24">
                  <c:v>19.46</c:v>
                </c:pt>
                <c:pt idx="25">
                  <c:v>11.52</c:v>
                </c:pt>
                <c:pt idx="26">
                  <c:v>46.2</c:v>
                </c:pt>
                <c:pt idx="27">
                  <c:v>6.63</c:v>
                </c:pt>
                <c:pt idx="28">
                  <c:v>15.648</c:v>
                </c:pt>
                <c:pt idx="29">
                  <c:v>8.82</c:v>
                </c:pt>
                <c:pt idx="30">
                  <c:v>19.1744</c:v>
                </c:pt>
                <c:pt idx="31">
                  <c:v>8.56</c:v>
                </c:pt>
                <c:pt idx="32">
                  <c:v>8.82</c:v>
                </c:pt>
                <c:pt idx="33">
                  <c:v>59.52</c:v>
                </c:pt>
                <c:pt idx="34">
                  <c:v>9.84</c:v>
                </c:pt>
                <c:pt idx="35">
                  <c:v>14.7</c:v>
                </c:pt>
                <c:pt idx="36">
                  <c:v>26.5816</c:v>
                </c:pt>
                <c:pt idx="37">
                  <c:v>11.2128</c:v>
                </c:pt>
                <c:pt idx="38">
                  <c:v>2.74</c:v>
                </c:pt>
                <c:pt idx="39">
                  <c:v>3.28</c:v>
                </c:pt>
                <c:pt idx="40">
                  <c:v>2.2</c:v>
                </c:pt>
                <c:pt idx="41">
                  <c:v>21.7344</c:v>
                </c:pt>
                <c:pt idx="42">
                  <c:v>22.74</c:v>
                </c:pt>
                <c:pt idx="43">
                  <c:v>20.1</c:v>
                </c:pt>
                <c:pt idx="44">
                  <c:v>27.2384</c:v>
                </c:pt>
              </c:numCache>
            </c:numRef>
          </c:val>
        </c:ser>
        <c:ser>
          <c:idx val="1"/>
          <c:order val="1"/>
          <c:tx>
            <c:strRef>
              <c:f>SALES!$D$4</c:f>
              <c:strCache>
                <c:ptCount val="1"/>
                <c:pt idx="0">
                  <c:v>Sum of Quantity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multiLvlStrRef>
              <c:f>SALES!$A$5:$B$95</c:f>
              <c:multiLvlStrCache>
                <c:ptCount val="45"/>
                <c:lvl>
                  <c:pt idx="0">
                    <c:v>OFF-AR-10001573</c:v>
                  </c:pt>
                  <c:pt idx="1">
                    <c:v>OFF-AR-10003478</c:v>
                  </c:pt>
                  <c:pt idx="2">
                    <c:v>OFF-AR-10000034</c:v>
                  </c:pt>
                  <c:pt idx="3">
                    <c:v>OFF-AR-10004441</c:v>
                  </c:pt>
                  <c:pt idx="4">
                    <c:v>OFF-AR-10004685</c:v>
                  </c:pt>
                  <c:pt idx="5">
                    <c:v>OFF-AR-10001118</c:v>
                  </c:pt>
                  <c:pt idx="6">
                    <c:v>OFF-AR-10004027</c:v>
                  </c:pt>
                  <c:pt idx="7">
                    <c:v>OFF-AR-10002956</c:v>
                  </c:pt>
                  <c:pt idx="8">
                    <c:v>OFF-AR-10004648</c:v>
                  </c:pt>
                  <c:pt idx="9">
                    <c:v>OFF-AR-10003373</c:v>
                  </c:pt>
                  <c:pt idx="10">
                    <c:v>OFF-AR-10004344</c:v>
                  </c:pt>
                  <c:pt idx="11">
                    <c:v>OFF-AR-10004757</c:v>
                  </c:pt>
                  <c:pt idx="12">
                    <c:v>OFF-AR-10000369</c:v>
                  </c:pt>
                  <c:pt idx="13">
                    <c:v>OFF-AR-10003405</c:v>
                  </c:pt>
                  <c:pt idx="14">
                    <c:v>OFF-AR-10002335</c:v>
                  </c:pt>
                  <c:pt idx="15">
                    <c:v>OFF-AR-10003179</c:v>
                  </c:pt>
                  <c:pt idx="16">
                    <c:v>OFF-AR-10002804</c:v>
                  </c:pt>
                  <c:pt idx="17">
                    <c:v>OFF-AR-10002671</c:v>
                  </c:pt>
                  <c:pt idx="18">
                    <c:v>OFF-AR-10000380</c:v>
                  </c:pt>
                  <c:pt idx="19">
                    <c:v>OFF-AR-10001683</c:v>
                  </c:pt>
                  <c:pt idx="20">
                    <c:v>OFF-AR-10001897</c:v>
                  </c:pt>
                  <c:pt idx="21">
                    <c:v>OFF-AR-10001547</c:v>
                  </c:pt>
                  <c:pt idx="22">
                    <c:v>OFF-AR-10004078</c:v>
                  </c:pt>
                  <c:pt idx="23">
                    <c:v>OFF-AR-10000122</c:v>
                  </c:pt>
                  <c:pt idx="24">
                    <c:v>OFF-AR-10000246</c:v>
                  </c:pt>
                  <c:pt idx="25">
                    <c:v>OFF-AR-10003190</c:v>
                  </c:pt>
                  <c:pt idx="26">
                    <c:v>OFF-AR-10000658</c:v>
                  </c:pt>
                  <c:pt idx="27">
                    <c:v>OFF-AR-10003811</c:v>
                  </c:pt>
                  <c:pt idx="28">
                    <c:v>OFF-AR-10001954</c:v>
                  </c:pt>
                  <c:pt idx="29">
                    <c:v>OFF-AR-10003394</c:v>
                  </c:pt>
                  <c:pt idx="30">
                    <c:v>OFF-AR-10000203</c:v>
                  </c:pt>
                  <c:pt idx="31">
                    <c:v>OFF-AR-10003056</c:v>
                  </c:pt>
                  <c:pt idx="32">
                    <c:v>OFF-AR-10000940</c:v>
                  </c:pt>
                  <c:pt idx="33">
                    <c:v>OFF-AR-10000588</c:v>
                  </c:pt>
                  <c:pt idx="34">
                    <c:v>OFF-AR-10003651</c:v>
                  </c:pt>
                  <c:pt idx="35">
                    <c:v>OFF-AR-10003045</c:v>
                  </c:pt>
                  <c:pt idx="36">
                    <c:v>OFF-AR-10002053</c:v>
                  </c:pt>
                  <c:pt idx="37">
                    <c:v>OFF-AR-10003602</c:v>
                  </c:pt>
                  <c:pt idx="38">
                    <c:v>OFF-AR-10001662</c:v>
                  </c:pt>
                  <c:pt idx="39">
                    <c:v>OFF-AR-10001940</c:v>
                  </c:pt>
                  <c:pt idx="40">
                    <c:v>OFF-AR-10001026</c:v>
                  </c:pt>
                  <c:pt idx="41">
                    <c:v>OFF-AR-10001958</c:v>
                  </c:pt>
                  <c:pt idx="42">
                    <c:v>OFF-AR-10001166</c:v>
                  </c:pt>
                  <c:pt idx="43">
                    <c:v>OFF-AR-10004930</c:v>
                  </c:pt>
                  <c:pt idx="44">
                    <c:v>OFF-AR-10003560</c:v>
                  </c:pt>
                </c:lvl>
                <c:lvl>
                  <c:pt idx="0">
                    <c:v>American Pencil</c:v>
                  </c:pt>
                  <c:pt idx="1">
                    <c:v>Avery Hi-Liter EverBold Pen Style Fluorescent Highlighters, 4/Pack</c:v>
                  </c:pt>
                  <c:pt idx="2">
                    <c:v>BIC Brite Liner Grip Highlighters, Assorted, 5/Pack</c:v>
                  </c:pt>
                  <c:pt idx="3">
                    <c:v>BIC Brite Liner Highlighters</c:v>
                  </c:pt>
                  <c:pt idx="4">
                    <c:v>Binney &amp; Smith Crayola Metallic Colored Pencils, 8-Color Set</c:v>
                  </c:pt>
                  <c:pt idx="5">
                    <c:v>Binney &amp; Smith Crayola Metallic Crayons, 16-Color Pack</c:v>
                  </c:pt>
                  <c:pt idx="6">
                    <c:v>Binney &amp; Smith inkTank Erasable Desk Highlighter, Chisel Tip, Yellow, 12/Box</c:v>
                  </c:pt>
                  <c:pt idx="7">
                    <c:v>Boston 16801 Nautilus Battery Pencil Sharpener</c:v>
                  </c:pt>
                  <c:pt idx="8">
                    <c:v>Boston 19500 Mighty Mite Electric Pencil Sharpener</c:v>
                  </c:pt>
                  <c:pt idx="9">
                    <c:v>Boston School Pro Electric Pencil Sharpener, 1670</c:v>
                  </c:pt>
                  <c:pt idx="10">
                    <c:v>Bulldog Vacuum Base Pencil Sharpener</c:v>
                  </c:pt>
                  <c:pt idx="11">
                    <c:v>Crayola Colored Pencils</c:v>
                  </c:pt>
                  <c:pt idx="12">
                    <c:v>Design Ebony Sketching Pencil</c:v>
                  </c:pt>
                  <c:pt idx="13">
                    <c:v>Dixon My First Ticonderoga Pencil, #2</c:v>
                  </c:pt>
                  <c:pt idx="14">
                    <c:v>DIXON Oriole Pencils</c:v>
                  </c:pt>
                  <c:pt idx="15">
                    <c:v>Dixon Ticonderoga Core-Lock Colored Pencils</c:v>
                  </c:pt>
                  <c:pt idx="16">
                    <c:v>Faber Castell Col-Erase Pencils</c:v>
                  </c:pt>
                  <c:pt idx="17">
                    <c:v>Hunt BOSTON Model 1606 High-Volume Electric Pencil Sharpener, Beige</c:v>
                  </c:pt>
                  <c:pt idx="18">
                    <c:v>Hunt PowerHouse Electric Pencil Sharpener, Blue</c:v>
                  </c:pt>
                  <c:pt idx="19">
                    <c:v>Lumber Crayons</c:v>
                  </c:pt>
                  <c:pt idx="20">
                    <c:v>Model L Table or Wall-Mount Pencil Sharpener</c:v>
                  </c:pt>
                  <c:pt idx="21">
                    <c:v>Newell 311</c:v>
                  </c:pt>
                  <c:pt idx="22">
                    <c:v>Newell 312</c:v>
                  </c:pt>
                  <c:pt idx="23">
                    <c:v>Newell 314</c:v>
                  </c:pt>
                  <c:pt idx="24">
                    <c:v>Newell 318</c:v>
                  </c:pt>
                  <c:pt idx="25">
                    <c:v>Newell 32</c:v>
                  </c:pt>
                  <c:pt idx="26">
                    <c:v>Newell 324</c:v>
                  </c:pt>
                  <c:pt idx="27">
                    <c:v>Newell 327</c:v>
                  </c:pt>
                  <c:pt idx="28">
                    <c:v>Newell 331</c:v>
                  </c:pt>
                  <c:pt idx="29">
                    <c:v>Newell 332</c:v>
                  </c:pt>
                  <c:pt idx="30">
                    <c:v>Newell 336</c:v>
                  </c:pt>
                  <c:pt idx="31">
                    <c:v>Newell 341</c:v>
                  </c:pt>
                  <c:pt idx="32">
                    <c:v>Newell 343</c:v>
                  </c:pt>
                  <c:pt idx="33">
                    <c:v>Newell 345</c:v>
                  </c:pt>
                  <c:pt idx="34">
                    <c:v>Newell 350</c:v>
                  </c:pt>
                  <c:pt idx="35">
                    <c:v>Prang Colored Pencils</c:v>
                  </c:pt>
                  <c:pt idx="36">
                    <c:v>Premium Writing Pencils, Soft, #2 by Central Association for the Blind</c:v>
                  </c:pt>
                  <c:pt idx="37">
                    <c:v>Quartet Omega Colored Chalk, 12/Pack</c:v>
                  </c:pt>
                  <c:pt idx="38">
                    <c:v>Rogers Handheld Barrel Pencil Sharpener</c:v>
                  </c:pt>
                  <c:pt idx="39">
                    <c:v>Sanford Colorific Eraseable Coloring Pencils, 12 Count</c:v>
                  </c:pt>
                  <c:pt idx="40">
                    <c:v>Sanford Uni-Blazer View Highlighters, Chisel Tip, Yellow</c:v>
                  </c:pt>
                  <c:pt idx="41">
                    <c:v>Stanley Bostitch Contemporary Electric Pencil Sharpeners</c:v>
                  </c:pt>
                  <c:pt idx="42">
                    <c:v>Staples in misc. colors</c:v>
                  </c:pt>
                  <c:pt idx="43">
                    <c:v>Turquoise Lead Holder with Pocket Clip</c:v>
                  </c:pt>
                  <c:pt idx="44">
                    <c:v>Zebra Zazzle Fluorescent Highlighters</c:v>
                  </c:pt>
                </c:lvl>
              </c:multiLvlStrCache>
            </c:multiLvlStrRef>
          </c:cat>
          <c:val>
            <c:numRef>
              <c:f>SALES!$D$5:$D$95</c:f>
              <c:numCache>
                <c:formatCode>General</c:formatCode>
                <c:ptCount val="45"/>
                <c:pt idx="0">
                  <c:v>4</c:v>
                </c:pt>
                <c:pt idx="1">
                  <c:v>6</c:v>
                </c:pt>
                <c:pt idx="2">
                  <c:v>1</c:v>
                </c:pt>
                <c:pt idx="3">
                  <c:v>5</c:v>
                </c:pt>
                <c:pt idx="4">
                  <c:v>2</c:v>
                </c:pt>
                <c:pt idx="5">
                  <c:v>4</c:v>
                </c:pt>
                <c:pt idx="6">
                  <c:v>3</c:v>
                </c:pt>
                <c:pt idx="7">
                  <c:v>4</c:v>
                </c:pt>
                <c:pt idx="8">
                  <c:v>3</c:v>
                </c:pt>
                <c:pt idx="9">
                  <c:v>18</c:v>
                </c:pt>
                <c:pt idx="10">
                  <c:v>8</c:v>
                </c:pt>
                <c:pt idx="11">
                  <c:v>1</c:v>
                </c:pt>
                <c:pt idx="12">
                  <c:v>6</c:v>
                </c:pt>
                <c:pt idx="13">
                  <c:v>7</c:v>
                </c:pt>
                <c:pt idx="14">
                  <c:v>2</c:v>
                </c:pt>
                <c:pt idx="15">
                  <c:v>2</c:v>
                </c:pt>
                <c:pt idx="16">
                  <c:v>1</c:v>
                </c:pt>
                <c:pt idx="17">
                  <c:v>8</c:v>
                </c:pt>
                <c:pt idx="18">
                  <c:v>2</c:v>
                </c:pt>
                <c:pt idx="19">
                  <c:v>3</c:v>
                </c:pt>
                <c:pt idx="20">
                  <c:v>3</c:v>
                </c:pt>
                <c:pt idx="21">
                  <c:v>3</c:v>
                </c:pt>
                <c:pt idx="22">
                  <c:v>2</c:v>
                </c:pt>
                <c:pt idx="23">
                  <c:v>4</c:v>
                </c:pt>
                <c:pt idx="24">
                  <c:v>7</c:v>
                </c:pt>
                <c:pt idx="25">
                  <c:v>4</c:v>
                </c:pt>
                <c:pt idx="26">
                  <c:v>4</c:v>
                </c:pt>
                <c:pt idx="27">
                  <c:v>3</c:v>
                </c:pt>
                <c:pt idx="28">
                  <c:v>5</c:v>
                </c:pt>
                <c:pt idx="29">
                  <c:v>3</c:v>
                </c:pt>
                <c:pt idx="30">
                  <c:v>7</c:v>
                </c:pt>
                <c:pt idx="31">
                  <c:v>2</c:v>
                </c:pt>
                <c:pt idx="32">
                  <c:v>3</c:v>
                </c:pt>
                <c:pt idx="33">
                  <c:v>3</c:v>
                </c:pt>
                <c:pt idx="34">
                  <c:v>3</c:v>
                </c:pt>
                <c:pt idx="35">
                  <c:v>5</c:v>
                </c:pt>
                <c:pt idx="36">
                  <c:v>10</c:v>
                </c:pt>
                <c:pt idx="37">
                  <c:v>3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2</c:v>
                </c:pt>
                <c:pt idx="42">
                  <c:v>3</c:v>
                </c:pt>
                <c:pt idx="43">
                  <c:v>3</c:v>
                </c:pt>
                <c:pt idx="44">
                  <c:v>7</c:v>
                </c:pt>
              </c:numCache>
            </c:numRef>
          </c:val>
        </c:ser>
        <c:ser>
          <c:idx val="2"/>
          <c:order val="2"/>
          <c:tx>
            <c:strRef>
              <c:f>SALES!$E$4</c:f>
              <c:strCache>
                <c:ptCount val="1"/>
                <c:pt idx="0">
                  <c:v>Sum of    Sales  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multiLvlStrRef>
              <c:f>SALES!$A$5:$B$95</c:f>
              <c:multiLvlStrCache>
                <c:ptCount val="45"/>
                <c:lvl>
                  <c:pt idx="0">
                    <c:v>OFF-AR-10001573</c:v>
                  </c:pt>
                  <c:pt idx="1">
                    <c:v>OFF-AR-10003478</c:v>
                  </c:pt>
                  <c:pt idx="2">
                    <c:v>OFF-AR-10000034</c:v>
                  </c:pt>
                  <c:pt idx="3">
                    <c:v>OFF-AR-10004441</c:v>
                  </c:pt>
                  <c:pt idx="4">
                    <c:v>OFF-AR-10004685</c:v>
                  </c:pt>
                  <c:pt idx="5">
                    <c:v>OFF-AR-10001118</c:v>
                  </c:pt>
                  <c:pt idx="6">
                    <c:v>OFF-AR-10004027</c:v>
                  </c:pt>
                  <c:pt idx="7">
                    <c:v>OFF-AR-10002956</c:v>
                  </c:pt>
                  <c:pt idx="8">
                    <c:v>OFF-AR-10004648</c:v>
                  </c:pt>
                  <c:pt idx="9">
                    <c:v>OFF-AR-10003373</c:v>
                  </c:pt>
                  <c:pt idx="10">
                    <c:v>OFF-AR-10004344</c:v>
                  </c:pt>
                  <c:pt idx="11">
                    <c:v>OFF-AR-10004757</c:v>
                  </c:pt>
                  <c:pt idx="12">
                    <c:v>OFF-AR-10000369</c:v>
                  </c:pt>
                  <c:pt idx="13">
                    <c:v>OFF-AR-10003405</c:v>
                  </c:pt>
                  <c:pt idx="14">
                    <c:v>OFF-AR-10002335</c:v>
                  </c:pt>
                  <c:pt idx="15">
                    <c:v>OFF-AR-10003179</c:v>
                  </c:pt>
                  <c:pt idx="16">
                    <c:v>OFF-AR-10002804</c:v>
                  </c:pt>
                  <c:pt idx="17">
                    <c:v>OFF-AR-10002671</c:v>
                  </c:pt>
                  <c:pt idx="18">
                    <c:v>OFF-AR-10000380</c:v>
                  </c:pt>
                  <c:pt idx="19">
                    <c:v>OFF-AR-10001683</c:v>
                  </c:pt>
                  <c:pt idx="20">
                    <c:v>OFF-AR-10001897</c:v>
                  </c:pt>
                  <c:pt idx="21">
                    <c:v>OFF-AR-10001547</c:v>
                  </c:pt>
                  <c:pt idx="22">
                    <c:v>OFF-AR-10004078</c:v>
                  </c:pt>
                  <c:pt idx="23">
                    <c:v>OFF-AR-10000122</c:v>
                  </c:pt>
                  <c:pt idx="24">
                    <c:v>OFF-AR-10000246</c:v>
                  </c:pt>
                  <c:pt idx="25">
                    <c:v>OFF-AR-10003190</c:v>
                  </c:pt>
                  <c:pt idx="26">
                    <c:v>OFF-AR-10000658</c:v>
                  </c:pt>
                  <c:pt idx="27">
                    <c:v>OFF-AR-10003811</c:v>
                  </c:pt>
                  <c:pt idx="28">
                    <c:v>OFF-AR-10001954</c:v>
                  </c:pt>
                  <c:pt idx="29">
                    <c:v>OFF-AR-10003394</c:v>
                  </c:pt>
                  <c:pt idx="30">
                    <c:v>OFF-AR-10000203</c:v>
                  </c:pt>
                  <c:pt idx="31">
                    <c:v>OFF-AR-10003056</c:v>
                  </c:pt>
                  <c:pt idx="32">
                    <c:v>OFF-AR-10000940</c:v>
                  </c:pt>
                  <c:pt idx="33">
                    <c:v>OFF-AR-10000588</c:v>
                  </c:pt>
                  <c:pt idx="34">
                    <c:v>OFF-AR-10003651</c:v>
                  </c:pt>
                  <c:pt idx="35">
                    <c:v>OFF-AR-10003045</c:v>
                  </c:pt>
                  <c:pt idx="36">
                    <c:v>OFF-AR-10002053</c:v>
                  </c:pt>
                  <c:pt idx="37">
                    <c:v>OFF-AR-10003602</c:v>
                  </c:pt>
                  <c:pt idx="38">
                    <c:v>OFF-AR-10001662</c:v>
                  </c:pt>
                  <c:pt idx="39">
                    <c:v>OFF-AR-10001940</c:v>
                  </c:pt>
                  <c:pt idx="40">
                    <c:v>OFF-AR-10001026</c:v>
                  </c:pt>
                  <c:pt idx="41">
                    <c:v>OFF-AR-10001958</c:v>
                  </c:pt>
                  <c:pt idx="42">
                    <c:v>OFF-AR-10001166</c:v>
                  </c:pt>
                  <c:pt idx="43">
                    <c:v>OFF-AR-10004930</c:v>
                  </c:pt>
                  <c:pt idx="44">
                    <c:v>OFF-AR-10003560</c:v>
                  </c:pt>
                </c:lvl>
                <c:lvl>
                  <c:pt idx="0">
                    <c:v>American Pencil</c:v>
                  </c:pt>
                  <c:pt idx="1">
                    <c:v>Avery Hi-Liter EverBold Pen Style Fluorescent Highlighters, 4/Pack</c:v>
                  </c:pt>
                  <c:pt idx="2">
                    <c:v>BIC Brite Liner Grip Highlighters, Assorted, 5/Pack</c:v>
                  </c:pt>
                  <c:pt idx="3">
                    <c:v>BIC Brite Liner Highlighters</c:v>
                  </c:pt>
                  <c:pt idx="4">
                    <c:v>Binney &amp; Smith Crayola Metallic Colored Pencils, 8-Color Set</c:v>
                  </c:pt>
                  <c:pt idx="5">
                    <c:v>Binney &amp; Smith Crayola Metallic Crayons, 16-Color Pack</c:v>
                  </c:pt>
                  <c:pt idx="6">
                    <c:v>Binney &amp; Smith inkTank Erasable Desk Highlighter, Chisel Tip, Yellow, 12/Box</c:v>
                  </c:pt>
                  <c:pt idx="7">
                    <c:v>Boston 16801 Nautilus Battery Pencil Sharpener</c:v>
                  </c:pt>
                  <c:pt idx="8">
                    <c:v>Boston 19500 Mighty Mite Electric Pencil Sharpener</c:v>
                  </c:pt>
                  <c:pt idx="9">
                    <c:v>Boston School Pro Electric Pencil Sharpener, 1670</c:v>
                  </c:pt>
                  <c:pt idx="10">
                    <c:v>Bulldog Vacuum Base Pencil Sharpener</c:v>
                  </c:pt>
                  <c:pt idx="11">
                    <c:v>Crayola Colored Pencils</c:v>
                  </c:pt>
                  <c:pt idx="12">
                    <c:v>Design Ebony Sketching Pencil</c:v>
                  </c:pt>
                  <c:pt idx="13">
                    <c:v>Dixon My First Ticonderoga Pencil, #2</c:v>
                  </c:pt>
                  <c:pt idx="14">
                    <c:v>DIXON Oriole Pencils</c:v>
                  </c:pt>
                  <c:pt idx="15">
                    <c:v>Dixon Ticonderoga Core-Lock Colored Pencils</c:v>
                  </c:pt>
                  <c:pt idx="16">
                    <c:v>Faber Castell Col-Erase Pencils</c:v>
                  </c:pt>
                  <c:pt idx="17">
                    <c:v>Hunt BOSTON Model 1606 High-Volume Electric Pencil Sharpener, Beige</c:v>
                  </c:pt>
                  <c:pt idx="18">
                    <c:v>Hunt PowerHouse Electric Pencil Sharpener, Blue</c:v>
                  </c:pt>
                  <c:pt idx="19">
                    <c:v>Lumber Crayons</c:v>
                  </c:pt>
                  <c:pt idx="20">
                    <c:v>Model L Table or Wall-Mount Pencil Sharpener</c:v>
                  </c:pt>
                  <c:pt idx="21">
                    <c:v>Newell 311</c:v>
                  </c:pt>
                  <c:pt idx="22">
                    <c:v>Newell 312</c:v>
                  </c:pt>
                  <c:pt idx="23">
                    <c:v>Newell 314</c:v>
                  </c:pt>
                  <c:pt idx="24">
                    <c:v>Newell 318</c:v>
                  </c:pt>
                  <c:pt idx="25">
                    <c:v>Newell 32</c:v>
                  </c:pt>
                  <c:pt idx="26">
                    <c:v>Newell 324</c:v>
                  </c:pt>
                  <c:pt idx="27">
                    <c:v>Newell 327</c:v>
                  </c:pt>
                  <c:pt idx="28">
                    <c:v>Newell 331</c:v>
                  </c:pt>
                  <c:pt idx="29">
                    <c:v>Newell 332</c:v>
                  </c:pt>
                  <c:pt idx="30">
                    <c:v>Newell 336</c:v>
                  </c:pt>
                  <c:pt idx="31">
                    <c:v>Newell 341</c:v>
                  </c:pt>
                  <c:pt idx="32">
                    <c:v>Newell 343</c:v>
                  </c:pt>
                  <c:pt idx="33">
                    <c:v>Newell 345</c:v>
                  </c:pt>
                  <c:pt idx="34">
                    <c:v>Newell 350</c:v>
                  </c:pt>
                  <c:pt idx="35">
                    <c:v>Prang Colored Pencils</c:v>
                  </c:pt>
                  <c:pt idx="36">
                    <c:v>Premium Writing Pencils, Soft, #2 by Central Association for the Blind</c:v>
                  </c:pt>
                  <c:pt idx="37">
                    <c:v>Quartet Omega Colored Chalk, 12/Pack</c:v>
                  </c:pt>
                  <c:pt idx="38">
                    <c:v>Rogers Handheld Barrel Pencil Sharpener</c:v>
                  </c:pt>
                  <c:pt idx="39">
                    <c:v>Sanford Colorific Eraseable Coloring Pencils, 12 Count</c:v>
                  </c:pt>
                  <c:pt idx="40">
                    <c:v>Sanford Uni-Blazer View Highlighters, Chisel Tip, Yellow</c:v>
                  </c:pt>
                  <c:pt idx="41">
                    <c:v>Stanley Bostitch Contemporary Electric Pencil Sharpeners</c:v>
                  </c:pt>
                  <c:pt idx="42">
                    <c:v>Staples in misc. colors</c:v>
                  </c:pt>
                  <c:pt idx="43">
                    <c:v>Turquoise Lead Holder with Pocket Clip</c:v>
                  </c:pt>
                  <c:pt idx="44">
                    <c:v>Zebra Zazzle Fluorescent Highlighters</c:v>
                  </c:pt>
                </c:lvl>
              </c:multiLvlStrCache>
            </c:multiLvlStrRef>
          </c:cat>
          <c:val>
            <c:numRef>
              <c:f>SALES!$E$5:$E$95</c:f>
              <c:numCache>
                <c:formatCode>[$₹-4009]#,##0_);\([$₹-4009]#,##0\)</c:formatCode>
                <c:ptCount val="45"/>
                <c:pt idx="0">
                  <c:v>9.32</c:v>
                </c:pt>
                <c:pt idx="1">
                  <c:v>39.072</c:v>
                </c:pt>
                <c:pt idx="2">
                  <c:v>3.392</c:v>
                </c:pt>
                <c:pt idx="3">
                  <c:v>18.216</c:v>
                </c:pt>
                <c:pt idx="4">
                  <c:v>7.408</c:v>
                </c:pt>
                <c:pt idx="5">
                  <c:v>13.48</c:v>
                </c:pt>
                <c:pt idx="6">
                  <c:v>7.56</c:v>
                </c:pt>
                <c:pt idx="7">
                  <c:v>79.236</c:v>
                </c:pt>
                <c:pt idx="8">
                  <c:v>60.45</c:v>
                </c:pt>
                <c:pt idx="9">
                  <c:v>483.288</c:v>
                </c:pt>
                <c:pt idx="10">
                  <c:v>95.92</c:v>
                </c:pt>
                <c:pt idx="11">
                  <c:v>2.624</c:v>
                </c:pt>
                <c:pt idx="12">
                  <c:v>6.672</c:v>
                </c:pt>
                <c:pt idx="13">
                  <c:v>32.76</c:v>
                </c:pt>
                <c:pt idx="14">
                  <c:v>5.16</c:v>
                </c:pt>
                <c:pt idx="15">
                  <c:v>14.576</c:v>
                </c:pt>
                <c:pt idx="16">
                  <c:v>4.89</c:v>
                </c:pt>
                <c:pt idx="17">
                  <c:v>1113.024</c:v>
                </c:pt>
                <c:pt idx="18">
                  <c:v>75.96</c:v>
                </c:pt>
                <c:pt idx="19">
                  <c:v>23.64</c:v>
                </c:pt>
                <c:pt idx="20">
                  <c:v>43.176</c:v>
                </c:pt>
                <c:pt idx="21">
                  <c:v>6.63</c:v>
                </c:pt>
                <c:pt idx="22">
                  <c:v>9.344</c:v>
                </c:pt>
                <c:pt idx="23">
                  <c:v>17.856</c:v>
                </c:pt>
                <c:pt idx="24">
                  <c:v>19.46</c:v>
                </c:pt>
                <c:pt idx="25">
                  <c:v>11.52</c:v>
                </c:pt>
                <c:pt idx="26">
                  <c:v>46.2</c:v>
                </c:pt>
                <c:pt idx="27">
                  <c:v>6.63</c:v>
                </c:pt>
                <c:pt idx="28">
                  <c:v>19.56</c:v>
                </c:pt>
                <c:pt idx="29">
                  <c:v>8.82</c:v>
                </c:pt>
                <c:pt idx="30">
                  <c:v>23.968</c:v>
                </c:pt>
                <c:pt idx="31">
                  <c:v>8.56</c:v>
                </c:pt>
                <c:pt idx="32">
                  <c:v>8.82</c:v>
                </c:pt>
                <c:pt idx="33">
                  <c:v>59.52</c:v>
                </c:pt>
                <c:pt idx="34">
                  <c:v>9.84</c:v>
                </c:pt>
                <c:pt idx="35">
                  <c:v>14.7</c:v>
                </c:pt>
                <c:pt idx="36">
                  <c:v>28.012</c:v>
                </c:pt>
                <c:pt idx="37">
                  <c:v>14.016</c:v>
                </c:pt>
                <c:pt idx="38">
                  <c:v>2.74</c:v>
                </c:pt>
                <c:pt idx="39">
                  <c:v>3.28</c:v>
                </c:pt>
                <c:pt idx="40">
                  <c:v>2.2</c:v>
                </c:pt>
                <c:pt idx="41">
                  <c:v>27.168</c:v>
                </c:pt>
                <c:pt idx="42">
                  <c:v>22.74</c:v>
                </c:pt>
                <c:pt idx="43">
                  <c:v>20.1</c:v>
                </c:pt>
                <c:pt idx="44">
                  <c:v>34.048</c:v>
                </c:pt>
              </c:numCache>
            </c:numRef>
          </c:val>
        </c:ser>
        <c:ser>
          <c:idx val="3"/>
          <c:order val="3"/>
          <c:tx>
            <c:strRef>
              <c:f>SALES!$F$4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multiLvlStrRef>
              <c:f>SALES!$A$5:$B$95</c:f>
              <c:multiLvlStrCache>
                <c:ptCount val="45"/>
                <c:lvl>
                  <c:pt idx="0">
                    <c:v>OFF-AR-10001573</c:v>
                  </c:pt>
                  <c:pt idx="1">
                    <c:v>OFF-AR-10003478</c:v>
                  </c:pt>
                  <c:pt idx="2">
                    <c:v>OFF-AR-10000034</c:v>
                  </c:pt>
                  <c:pt idx="3">
                    <c:v>OFF-AR-10004441</c:v>
                  </c:pt>
                  <c:pt idx="4">
                    <c:v>OFF-AR-10004685</c:v>
                  </c:pt>
                  <c:pt idx="5">
                    <c:v>OFF-AR-10001118</c:v>
                  </c:pt>
                  <c:pt idx="6">
                    <c:v>OFF-AR-10004027</c:v>
                  </c:pt>
                  <c:pt idx="7">
                    <c:v>OFF-AR-10002956</c:v>
                  </c:pt>
                  <c:pt idx="8">
                    <c:v>OFF-AR-10004648</c:v>
                  </c:pt>
                  <c:pt idx="9">
                    <c:v>OFF-AR-10003373</c:v>
                  </c:pt>
                  <c:pt idx="10">
                    <c:v>OFF-AR-10004344</c:v>
                  </c:pt>
                  <c:pt idx="11">
                    <c:v>OFF-AR-10004757</c:v>
                  </c:pt>
                  <c:pt idx="12">
                    <c:v>OFF-AR-10000369</c:v>
                  </c:pt>
                  <c:pt idx="13">
                    <c:v>OFF-AR-10003405</c:v>
                  </c:pt>
                  <c:pt idx="14">
                    <c:v>OFF-AR-10002335</c:v>
                  </c:pt>
                  <c:pt idx="15">
                    <c:v>OFF-AR-10003179</c:v>
                  </c:pt>
                  <c:pt idx="16">
                    <c:v>OFF-AR-10002804</c:v>
                  </c:pt>
                  <c:pt idx="17">
                    <c:v>OFF-AR-10002671</c:v>
                  </c:pt>
                  <c:pt idx="18">
                    <c:v>OFF-AR-10000380</c:v>
                  </c:pt>
                  <c:pt idx="19">
                    <c:v>OFF-AR-10001683</c:v>
                  </c:pt>
                  <c:pt idx="20">
                    <c:v>OFF-AR-10001897</c:v>
                  </c:pt>
                  <c:pt idx="21">
                    <c:v>OFF-AR-10001547</c:v>
                  </c:pt>
                  <c:pt idx="22">
                    <c:v>OFF-AR-10004078</c:v>
                  </c:pt>
                  <c:pt idx="23">
                    <c:v>OFF-AR-10000122</c:v>
                  </c:pt>
                  <c:pt idx="24">
                    <c:v>OFF-AR-10000246</c:v>
                  </c:pt>
                  <c:pt idx="25">
                    <c:v>OFF-AR-10003190</c:v>
                  </c:pt>
                  <c:pt idx="26">
                    <c:v>OFF-AR-10000658</c:v>
                  </c:pt>
                  <c:pt idx="27">
                    <c:v>OFF-AR-10003811</c:v>
                  </c:pt>
                  <c:pt idx="28">
                    <c:v>OFF-AR-10001954</c:v>
                  </c:pt>
                  <c:pt idx="29">
                    <c:v>OFF-AR-10003394</c:v>
                  </c:pt>
                  <c:pt idx="30">
                    <c:v>OFF-AR-10000203</c:v>
                  </c:pt>
                  <c:pt idx="31">
                    <c:v>OFF-AR-10003056</c:v>
                  </c:pt>
                  <c:pt idx="32">
                    <c:v>OFF-AR-10000940</c:v>
                  </c:pt>
                  <c:pt idx="33">
                    <c:v>OFF-AR-10000588</c:v>
                  </c:pt>
                  <c:pt idx="34">
                    <c:v>OFF-AR-10003651</c:v>
                  </c:pt>
                  <c:pt idx="35">
                    <c:v>OFF-AR-10003045</c:v>
                  </c:pt>
                  <c:pt idx="36">
                    <c:v>OFF-AR-10002053</c:v>
                  </c:pt>
                  <c:pt idx="37">
                    <c:v>OFF-AR-10003602</c:v>
                  </c:pt>
                  <c:pt idx="38">
                    <c:v>OFF-AR-10001662</c:v>
                  </c:pt>
                  <c:pt idx="39">
                    <c:v>OFF-AR-10001940</c:v>
                  </c:pt>
                  <c:pt idx="40">
                    <c:v>OFF-AR-10001026</c:v>
                  </c:pt>
                  <c:pt idx="41">
                    <c:v>OFF-AR-10001958</c:v>
                  </c:pt>
                  <c:pt idx="42">
                    <c:v>OFF-AR-10001166</c:v>
                  </c:pt>
                  <c:pt idx="43">
                    <c:v>OFF-AR-10004930</c:v>
                  </c:pt>
                  <c:pt idx="44">
                    <c:v>OFF-AR-10003560</c:v>
                  </c:pt>
                </c:lvl>
                <c:lvl>
                  <c:pt idx="0">
                    <c:v>American Pencil</c:v>
                  </c:pt>
                  <c:pt idx="1">
                    <c:v>Avery Hi-Liter EverBold Pen Style Fluorescent Highlighters, 4/Pack</c:v>
                  </c:pt>
                  <c:pt idx="2">
                    <c:v>BIC Brite Liner Grip Highlighters, Assorted, 5/Pack</c:v>
                  </c:pt>
                  <c:pt idx="3">
                    <c:v>BIC Brite Liner Highlighters</c:v>
                  </c:pt>
                  <c:pt idx="4">
                    <c:v>Binney &amp; Smith Crayola Metallic Colored Pencils, 8-Color Set</c:v>
                  </c:pt>
                  <c:pt idx="5">
                    <c:v>Binney &amp; Smith Crayola Metallic Crayons, 16-Color Pack</c:v>
                  </c:pt>
                  <c:pt idx="6">
                    <c:v>Binney &amp; Smith inkTank Erasable Desk Highlighter, Chisel Tip, Yellow, 12/Box</c:v>
                  </c:pt>
                  <c:pt idx="7">
                    <c:v>Boston 16801 Nautilus Battery Pencil Sharpener</c:v>
                  </c:pt>
                  <c:pt idx="8">
                    <c:v>Boston 19500 Mighty Mite Electric Pencil Sharpener</c:v>
                  </c:pt>
                  <c:pt idx="9">
                    <c:v>Boston School Pro Electric Pencil Sharpener, 1670</c:v>
                  </c:pt>
                  <c:pt idx="10">
                    <c:v>Bulldog Vacuum Base Pencil Sharpener</c:v>
                  </c:pt>
                  <c:pt idx="11">
                    <c:v>Crayola Colored Pencils</c:v>
                  </c:pt>
                  <c:pt idx="12">
                    <c:v>Design Ebony Sketching Pencil</c:v>
                  </c:pt>
                  <c:pt idx="13">
                    <c:v>Dixon My First Ticonderoga Pencil, #2</c:v>
                  </c:pt>
                  <c:pt idx="14">
                    <c:v>DIXON Oriole Pencils</c:v>
                  </c:pt>
                  <c:pt idx="15">
                    <c:v>Dixon Ticonderoga Core-Lock Colored Pencils</c:v>
                  </c:pt>
                  <c:pt idx="16">
                    <c:v>Faber Castell Col-Erase Pencils</c:v>
                  </c:pt>
                  <c:pt idx="17">
                    <c:v>Hunt BOSTON Model 1606 High-Volume Electric Pencil Sharpener, Beige</c:v>
                  </c:pt>
                  <c:pt idx="18">
                    <c:v>Hunt PowerHouse Electric Pencil Sharpener, Blue</c:v>
                  </c:pt>
                  <c:pt idx="19">
                    <c:v>Lumber Crayons</c:v>
                  </c:pt>
                  <c:pt idx="20">
                    <c:v>Model L Table or Wall-Mount Pencil Sharpener</c:v>
                  </c:pt>
                  <c:pt idx="21">
                    <c:v>Newell 311</c:v>
                  </c:pt>
                  <c:pt idx="22">
                    <c:v>Newell 312</c:v>
                  </c:pt>
                  <c:pt idx="23">
                    <c:v>Newell 314</c:v>
                  </c:pt>
                  <c:pt idx="24">
                    <c:v>Newell 318</c:v>
                  </c:pt>
                  <c:pt idx="25">
                    <c:v>Newell 32</c:v>
                  </c:pt>
                  <c:pt idx="26">
                    <c:v>Newell 324</c:v>
                  </c:pt>
                  <c:pt idx="27">
                    <c:v>Newell 327</c:v>
                  </c:pt>
                  <c:pt idx="28">
                    <c:v>Newell 331</c:v>
                  </c:pt>
                  <c:pt idx="29">
                    <c:v>Newell 332</c:v>
                  </c:pt>
                  <c:pt idx="30">
                    <c:v>Newell 336</c:v>
                  </c:pt>
                  <c:pt idx="31">
                    <c:v>Newell 341</c:v>
                  </c:pt>
                  <c:pt idx="32">
                    <c:v>Newell 343</c:v>
                  </c:pt>
                  <c:pt idx="33">
                    <c:v>Newell 345</c:v>
                  </c:pt>
                  <c:pt idx="34">
                    <c:v>Newell 350</c:v>
                  </c:pt>
                  <c:pt idx="35">
                    <c:v>Prang Colored Pencils</c:v>
                  </c:pt>
                  <c:pt idx="36">
                    <c:v>Premium Writing Pencils, Soft, #2 by Central Association for the Blind</c:v>
                  </c:pt>
                  <c:pt idx="37">
                    <c:v>Quartet Omega Colored Chalk, 12/Pack</c:v>
                  </c:pt>
                  <c:pt idx="38">
                    <c:v>Rogers Handheld Barrel Pencil Sharpener</c:v>
                  </c:pt>
                  <c:pt idx="39">
                    <c:v>Sanford Colorific Eraseable Coloring Pencils, 12 Count</c:v>
                  </c:pt>
                  <c:pt idx="40">
                    <c:v>Sanford Uni-Blazer View Highlighters, Chisel Tip, Yellow</c:v>
                  </c:pt>
                  <c:pt idx="41">
                    <c:v>Stanley Bostitch Contemporary Electric Pencil Sharpeners</c:v>
                  </c:pt>
                  <c:pt idx="42">
                    <c:v>Staples in misc. colors</c:v>
                  </c:pt>
                  <c:pt idx="43">
                    <c:v>Turquoise Lead Holder with Pocket Clip</c:v>
                  </c:pt>
                  <c:pt idx="44">
                    <c:v>Zebra Zazzle Fluorescent Highlighters</c:v>
                  </c:pt>
                </c:lvl>
              </c:multiLvlStrCache>
            </c:multiLvlStrRef>
          </c:cat>
          <c:val>
            <c:numRef>
              <c:f>SALES!$F$5:$F$95</c:f>
              <c:numCache>
                <c:formatCode>[$₹-4009]#,##0_);\([$₹-4009]#,##0\)</c:formatCode>
                <c:ptCount val="45"/>
                <c:pt idx="0">
                  <c:v>2.7028</c:v>
                </c:pt>
                <c:pt idx="1">
                  <c:v>9.768</c:v>
                </c:pt>
                <c:pt idx="2">
                  <c:v>0.8056</c:v>
                </c:pt>
                <c:pt idx="3">
                  <c:v>6.21</c:v>
                </c:pt>
                <c:pt idx="4">
                  <c:v>1.2038</c:v>
                </c:pt>
                <c:pt idx="5">
                  <c:v>5.9312</c:v>
                </c:pt>
                <c:pt idx="6">
                  <c:v>3.0996</c:v>
                </c:pt>
                <c:pt idx="7">
                  <c:v>14.0864</c:v>
                </c:pt>
                <c:pt idx="8">
                  <c:v>16.3215</c:v>
                </c:pt>
                <c:pt idx="9">
                  <c:v>76.2108</c:v>
                </c:pt>
                <c:pt idx="10">
                  <c:v>25.8984</c:v>
                </c:pt>
                <c:pt idx="11">
                  <c:v>0.4264</c:v>
                </c:pt>
                <c:pt idx="12">
                  <c:v>0.5004</c:v>
                </c:pt>
                <c:pt idx="13">
                  <c:v>3.6855</c:v>
                </c:pt>
                <c:pt idx="14">
                  <c:v>1.3416</c:v>
                </c:pt>
                <c:pt idx="15">
                  <c:v>2.3686</c:v>
                </c:pt>
                <c:pt idx="16">
                  <c:v>2.0049</c:v>
                </c:pt>
                <c:pt idx="17">
                  <c:v>111.3024</c:v>
                </c:pt>
                <c:pt idx="18">
                  <c:v>22.788</c:v>
                </c:pt>
                <c:pt idx="19">
                  <c:v>5.319</c:v>
                </c:pt>
                <c:pt idx="20">
                  <c:v>4.3176</c:v>
                </c:pt>
                <c:pt idx="21">
                  <c:v>1.7901</c:v>
                </c:pt>
                <c:pt idx="22">
                  <c:v>1.168</c:v>
                </c:pt>
                <c:pt idx="23">
                  <c:v>1.116</c:v>
                </c:pt>
                <c:pt idx="24">
                  <c:v>5.0596</c:v>
                </c:pt>
                <c:pt idx="25">
                  <c:v>3.2256</c:v>
                </c:pt>
                <c:pt idx="26">
                  <c:v>12.936</c:v>
                </c:pt>
                <c:pt idx="27">
                  <c:v>1.7901</c:v>
                </c:pt>
                <c:pt idx="28">
                  <c:v>1.7115</c:v>
                </c:pt>
                <c:pt idx="29">
                  <c:v>2.3814</c:v>
                </c:pt>
                <c:pt idx="30">
                  <c:v>2.6964</c:v>
                </c:pt>
                <c:pt idx="31">
                  <c:v>2.4824</c:v>
                </c:pt>
                <c:pt idx="32">
                  <c:v>2.3814</c:v>
                </c:pt>
                <c:pt idx="33">
                  <c:v>15.4752</c:v>
                </c:pt>
                <c:pt idx="34">
                  <c:v>2.8536</c:v>
                </c:pt>
                <c:pt idx="35">
                  <c:v>6.615</c:v>
                </c:pt>
                <c:pt idx="36">
                  <c:v>6.556</c:v>
                </c:pt>
                <c:pt idx="37">
                  <c:v>4.7304</c:v>
                </c:pt>
                <c:pt idx="38">
                  <c:v>0.7398</c:v>
                </c:pt>
                <c:pt idx="39">
                  <c:v>1.4104</c:v>
                </c:pt>
                <c:pt idx="40">
                  <c:v>0.968</c:v>
                </c:pt>
                <c:pt idx="41">
                  <c:v>2.7168</c:v>
                </c:pt>
                <c:pt idx="42">
                  <c:v>8.8686</c:v>
                </c:pt>
                <c:pt idx="43">
                  <c:v>6.633</c:v>
                </c:pt>
                <c:pt idx="44">
                  <c:v>5.9584</c:v>
                </c:pt>
              </c:numCache>
            </c:numRef>
          </c:val>
        </c:ser>
        <c:ser>
          <c:idx val="4"/>
          <c:order val="4"/>
          <c:tx>
            <c:strRef>
              <c:f>SALES!$G$4</c:f>
              <c:strCache>
                <c:ptCount val="1"/>
                <c:pt idx="0">
                  <c:v>Sum of Discount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multiLvlStrRef>
              <c:f>SALES!$A$5:$B$95</c:f>
              <c:multiLvlStrCache>
                <c:ptCount val="45"/>
                <c:lvl>
                  <c:pt idx="0">
                    <c:v>OFF-AR-10001573</c:v>
                  </c:pt>
                  <c:pt idx="1">
                    <c:v>OFF-AR-10003478</c:v>
                  </c:pt>
                  <c:pt idx="2">
                    <c:v>OFF-AR-10000034</c:v>
                  </c:pt>
                  <c:pt idx="3">
                    <c:v>OFF-AR-10004441</c:v>
                  </c:pt>
                  <c:pt idx="4">
                    <c:v>OFF-AR-10004685</c:v>
                  </c:pt>
                  <c:pt idx="5">
                    <c:v>OFF-AR-10001118</c:v>
                  </c:pt>
                  <c:pt idx="6">
                    <c:v>OFF-AR-10004027</c:v>
                  </c:pt>
                  <c:pt idx="7">
                    <c:v>OFF-AR-10002956</c:v>
                  </c:pt>
                  <c:pt idx="8">
                    <c:v>OFF-AR-10004648</c:v>
                  </c:pt>
                  <c:pt idx="9">
                    <c:v>OFF-AR-10003373</c:v>
                  </c:pt>
                  <c:pt idx="10">
                    <c:v>OFF-AR-10004344</c:v>
                  </c:pt>
                  <c:pt idx="11">
                    <c:v>OFF-AR-10004757</c:v>
                  </c:pt>
                  <c:pt idx="12">
                    <c:v>OFF-AR-10000369</c:v>
                  </c:pt>
                  <c:pt idx="13">
                    <c:v>OFF-AR-10003405</c:v>
                  </c:pt>
                  <c:pt idx="14">
                    <c:v>OFF-AR-10002335</c:v>
                  </c:pt>
                  <c:pt idx="15">
                    <c:v>OFF-AR-10003179</c:v>
                  </c:pt>
                  <c:pt idx="16">
                    <c:v>OFF-AR-10002804</c:v>
                  </c:pt>
                  <c:pt idx="17">
                    <c:v>OFF-AR-10002671</c:v>
                  </c:pt>
                  <c:pt idx="18">
                    <c:v>OFF-AR-10000380</c:v>
                  </c:pt>
                  <c:pt idx="19">
                    <c:v>OFF-AR-10001683</c:v>
                  </c:pt>
                  <c:pt idx="20">
                    <c:v>OFF-AR-10001897</c:v>
                  </c:pt>
                  <c:pt idx="21">
                    <c:v>OFF-AR-10001547</c:v>
                  </c:pt>
                  <c:pt idx="22">
                    <c:v>OFF-AR-10004078</c:v>
                  </c:pt>
                  <c:pt idx="23">
                    <c:v>OFF-AR-10000122</c:v>
                  </c:pt>
                  <c:pt idx="24">
                    <c:v>OFF-AR-10000246</c:v>
                  </c:pt>
                  <c:pt idx="25">
                    <c:v>OFF-AR-10003190</c:v>
                  </c:pt>
                  <c:pt idx="26">
                    <c:v>OFF-AR-10000658</c:v>
                  </c:pt>
                  <c:pt idx="27">
                    <c:v>OFF-AR-10003811</c:v>
                  </c:pt>
                  <c:pt idx="28">
                    <c:v>OFF-AR-10001954</c:v>
                  </c:pt>
                  <c:pt idx="29">
                    <c:v>OFF-AR-10003394</c:v>
                  </c:pt>
                  <c:pt idx="30">
                    <c:v>OFF-AR-10000203</c:v>
                  </c:pt>
                  <c:pt idx="31">
                    <c:v>OFF-AR-10003056</c:v>
                  </c:pt>
                  <c:pt idx="32">
                    <c:v>OFF-AR-10000940</c:v>
                  </c:pt>
                  <c:pt idx="33">
                    <c:v>OFF-AR-10000588</c:v>
                  </c:pt>
                  <c:pt idx="34">
                    <c:v>OFF-AR-10003651</c:v>
                  </c:pt>
                  <c:pt idx="35">
                    <c:v>OFF-AR-10003045</c:v>
                  </c:pt>
                  <c:pt idx="36">
                    <c:v>OFF-AR-10002053</c:v>
                  </c:pt>
                  <c:pt idx="37">
                    <c:v>OFF-AR-10003602</c:v>
                  </c:pt>
                  <c:pt idx="38">
                    <c:v>OFF-AR-10001662</c:v>
                  </c:pt>
                  <c:pt idx="39">
                    <c:v>OFF-AR-10001940</c:v>
                  </c:pt>
                  <c:pt idx="40">
                    <c:v>OFF-AR-10001026</c:v>
                  </c:pt>
                  <c:pt idx="41">
                    <c:v>OFF-AR-10001958</c:v>
                  </c:pt>
                  <c:pt idx="42">
                    <c:v>OFF-AR-10001166</c:v>
                  </c:pt>
                  <c:pt idx="43">
                    <c:v>OFF-AR-10004930</c:v>
                  </c:pt>
                  <c:pt idx="44">
                    <c:v>OFF-AR-10003560</c:v>
                  </c:pt>
                </c:lvl>
                <c:lvl>
                  <c:pt idx="0">
                    <c:v>American Pencil</c:v>
                  </c:pt>
                  <c:pt idx="1">
                    <c:v>Avery Hi-Liter EverBold Pen Style Fluorescent Highlighters, 4/Pack</c:v>
                  </c:pt>
                  <c:pt idx="2">
                    <c:v>BIC Brite Liner Grip Highlighters, Assorted, 5/Pack</c:v>
                  </c:pt>
                  <c:pt idx="3">
                    <c:v>BIC Brite Liner Highlighters</c:v>
                  </c:pt>
                  <c:pt idx="4">
                    <c:v>Binney &amp; Smith Crayola Metallic Colored Pencils, 8-Color Set</c:v>
                  </c:pt>
                  <c:pt idx="5">
                    <c:v>Binney &amp; Smith Crayola Metallic Crayons, 16-Color Pack</c:v>
                  </c:pt>
                  <c:pt idx="6">
                    <c:v>Binney &amp; Smith inkTank Erasable Desk Highlighter, Chisel Tip, Yellow, 12/Box</c:v>
                  </c:pt>
                  <c:pt idx="7">
                    <c:v>Boston 16801 Nautilus Battery Pencil Sharpener</c:v>
                  </c:pt>
                  <c:pt idx="8">
                    <c:v>Boston 19500 Mighty Mite Electric Pencil Sharpener</c:v>
                  </c:pt>
                  <c:pt idx="9">
                    <c:v>Boston School Pro Electric Pencil Sharpener, 1670</c:v>
                  </c:pt>
                  <c:pt idx="10">
                    <c:v>Bulldog Vacuum Base Pencil Sharpener</c:v>
                  </c:pt>
                  <c:pt idx="11">
                    <c:v>Crayola Colored Pencils</c:v>
                  </c:pt>
                  <c:pt idx="12">
                    <c:v>Design Ebony Sketching Pencil</c:v>
                  </c:pt>
                  <c:pt idx="13">
                    <c:v>Dixon My First Ticonderoga Pencil, #2</c:v>
                  </c:pt>
                  <c:pt idx="14">
                    <c:v>DIXON Oriole Pencils</c:v>
                  </c:pt>
                  <c:pt idx="15">
                    <c:v>Dixon Ticonderoga Core-Lock Colored Pencils</c:v>
                  </c:pt>
                  <c:pt idx="16">
                    <c:v>Faber Castell Col-Erase Pencils</c:v>
                  </c:pt>
                  <c:pt idx="17">
                    <c:v>Hunt BOSTON Model 1606 High-Volume Electric Pencil Sharpener, Beige</c:v>
                  </c:pt>
                  <c:pt idx="18">
                    <c:v>Hunt PowerHouse Electric Pencil Sharpener, Blue</c:v>
                  </c:pt>
                  <c:pt idx="19">
                    <c:v>Lumber Crayons</c:v>
                  </c:pt>
                  <c:pt idx="20">
                    <c:v>Model L Table or Wall-Mount Pencil Sharpener</c:v>
                  </c:pt>
                  <c:pt idx="21">
                    <c:v>Newell 311</c:v>
                  </c:pt>
                  <c:pt idx="22">
                    <c:v>Newell 312</c:v>
                  </c:pt>
                  <c:pt idx="23">
                    <c:v>Newell 314</c:v>
                  </c:pt>
                  <c:pt idx="24">
                    <c:v>Newell 318</c:v>
                  </c:pt>
                  <c:pt idx="25">
                    <c:v>Newell 32</c:v>
                  </c:pt>
                  <c:pt idx="26">
                    <c:v>Newell 324</c:v>
                  </c:pt>
                  <c:pt idx="27">
                    <c:v>Newell 327</c:v>
                  </c:pt>
                  <c:pt idx="28">
                    <c:v>Newell 331</c:v>
                  </c:pt>
                  <c:pt idx="29">
                    <c:v>Newell 332</c:v>
                  </c:pt>
                  <c:pt idx="30">
                    <c:v>Newell 336</c:v>
                  </c:pt>
                  <c:pt idx="31">
                    <c:v>Newell 341</c:v>
                  </c:pt>
                  <c:pt idx="32">
                    <c:v>Newell 343</c:v>
                  </c:pt>
                  <c:pt idx="33">
                    <c:v>Newell 345</c:v>
                  </c:pt>
                  <c:pt idx="34">
                    <c:v>Newell 350</c:v>
                  </c:pt>
                  <c:pt idx="35">
                    <c:v>Prang Colored Pencils</c:v>
                  </c:pt>
                  <c:pt idx="36">
                    <c:v>Premium Writing Pencils, Soft, #2 by Central Association for the Blind</c:v>
                  </c:pt>
                  <c:pt idx="37">
                    <c:v>Quartet Omega Colored Chalk, 12/Pack</c:v>
                  </c:pt>
                  <c:pt idx="38">
                    <c:v>Rogers Handheld Barrel Pencil Sharpener</c:v>
                  </c:pt>
                  <c:pt idx="39">
                    <c:v>Sanford Colorific Eraseable Coloring Pencils, 12 Count</c:v>
                  </c:pt>
                  <c:pt idx="40">
                    <c:v>Sanford Uni-Blazer View Highlighters, Chisel Tip, Yellow</c:v>
                  </c:pt>
                  <c:pt idx="41">
                    <c:v>Stanley Bostitch Contemporary Electric Pencil Sharpeners</c:v>
                  </c:pt>
                  <c:pt idx="42">
                    <c:v>Staples in misc. colors</c:v>
                  </c:pt>
                  <c:pt idx="43">
                    <c:v>Turquoise Lead Holder with Pocket Clip</c:v>
                  </c:pt>
                  <c:pt idx="44">
                    <c:v>Zebra Zazzle Fluorescent Highlighters</c:v>
                  </c:pt>
                </c:lvl>
              </c:multiLvlStrCache>
            </c:multiLvlStrRef>
          </c:cat>
          <c:val>
            <c:numRef>
              <c:f>SALES!$G$5:$G$95</c:f>
              <c:numCache>
                <c:formatCode>0%</c:formatCode>
                <c:ptCount val="45"/>
                <c:pt idx="0">
                  <c:v>0</c:v>
                </c:pt>
                <c:pt idx="1">
                  <c:v>0.2</c:v>
                </c:pt>
                <c:pt idx="2">
                  <c:v>0.2</c:v>
                </c:pt>
                <c:pt idx="3">
                  <c:v>0.2</c:v>
                </c:pt>
                <c:pt idx="4">
                  <c:v>0.2</c:v>
                </c:pt>
                <c:pt idx="5">
                  <c:v>0</c:v>
                </c:pt>
                <c:pt idx="6">
                  <c:v>0</c:v>
                </c:pt>
                <c:pt idx="7">
                  <c:v>0.2</c:v>
                </c:pt>
                <c:pt idx="8">
                  <c:v>0</c:v>
                </c:pt>
                <c:pt idx="9">
                  <c:v>0.4</c:v>
                </c:pt>
                <c:pt idx="10">
                  <c:v>0</c:v>
                </c:pt>
                <c:pt idx="11">
                  <c:v>0.2</c:v>
                </c:pt>
                <c:pt idx="12">
                  <c:v>0.2</c:v>
                </c:pt>
                <c:pt idx="13">
                  <c:v>0.2</c:v>
                </c:pt>
                <c:pt idx="14">
                  <c:v>0</c:v>
                </c:pt>
                <c:pt idx="15">
                  <c:v>0.2</c:v>
                </c:pt>
                <c:pt idx="16">
                  <c:v>0</c:v>
                </c:pt>
                <c:pt idx="17">
                  <c:v>0.2</c:v>
                </c:pt>
                <c:pt idx="18">
                  <c:v>0</c:v>
                </c:pt>
                <c:pt idx="19">
                  <c:v>0.2</c:v>
                </c:pt>
                <c:pt idx="20">
                  <c:v>0.2</c:v>
                </c:pt>
                <c:pt idx="21">
                  <c:v>0</c:v>
                </c:pt>
                <c:pt idx="22">
                  <c:v>0.2</c:v>
                </c:pt>
                <c:pt idx="23">
                  <c:v>0.2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0.2</c:v>
                </c:pt>
                <c:pt idx="29">
                  <c:v>0</c:v>
                </c:pt>
                <c:pt idx="30">
                  <c:v>0.2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0.2</c:v>
                </c:pt>
                <c:pt idx="37">
                  <c:v>0.2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0.2</c:v>
                </c:pt>
                <c:pt idx="42">
                  <c:v>0</c:v>
                </c:pt>
                <c:pt idx="43">
                  <c:v>0</c:v>
                </c:pt>
                <c:pt idx="44">
                  <c:v>0.4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99215838"/>
        <c:axId val="853139394"/>
      </c:barChart>
      <c:catAx>
        <c:axId val="69921583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53139394"/>
        <c:crosses val="autoZero"/>
        <c:auto val="1"/>
        <c:lblAlgn val="ctr"/>
        <c:lblOffset val="100"/>
        <c:noMultiLvlLbl val="0"/>
      </c:catAx>
      <c:valAx>
        <c:axId val="85313939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₹-4009]#,##0_);\([$₹-4009]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9921583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7259258-4b35-48fc-9a61-7d9052779e80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[Copy of Dhanush.R(23106011)(Superstores sales dataset).xlsx]Customer!PivotTable5</c:name>
    <c:fmtId val="2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Customer!$F$5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multiLvlStrRef>
              <c:f>Customer!$A$6:$E$1291</c:f>
              <c:multiLvlStrCache>
                <c:ptCount val="289"/>
                <c:lvl>
                  <c:pt idx="0">
                    <c:v>85204</c:v>
                  </c:pt>
                  <c:pt idx="1">
                    <c:v>68104</c:v>
                  </c:pt>
                  <c:pt idx="2">
                    <c:v>28027</c:v>
                  </c:pt>
                  <c:pt idx="3">
                    <c:v>77041</c:v>
                  </c:pt>
                  <c:pt idx="4">
                    <c:v>90036</c:v>
                  </c:pt>
                  <c:pt idx="5">
                    <c:v>43615</c:v>
                  </c:pt>
                  <c:pt idx="6">
                    <c:v>40214</c:v>
                  </c:pt>
                  <c:pt idx="7">
                    <c:v>84084</c:v>
                  </c:pt>
                  <c:pt idx="8">
                    <c:v>45231</c:v>
                  </c:pt>
                  <c:pt idx="9">
                    <c:v>77036</c:v>
                  </c:pt>
                  <c:pt idx="10">
                    <c:v>54703</c:v>
                  </c:pt>
                  <c:pt idx="11">
                    <c:v>85705</c:v>
                  </c:pt>
                  <c:pt idx="12">
                    <c:v>94513</c:v>
                  </c:pt>
                  <c:pt idx="13">
                    <c:v>40214</c:v>
                  </c:pt>
                  <c:pt idx="14">
                    <c:v>48227</c:v>
                  </c:pt>
                  <c:pt idx="15">
                    <c:v>28403</c:v>
                  </c:pt>
                  <c:pt idx="16">
                    <c:v>14609</c:v>
                  </c:pt>
                  <c:pt idx="17">
                    <c:v>32137</c:v>
                  </c:pt>
                  <c:pt idx="18">
                    <c:v>90004</c:v>
                  </c:pt>
                  <c:pt idx="19">
                    <c:v>19134</c:v>
                  </c:pt>
                  <c:pt idx="20">
                    <c:v>33614</c:v>
                  </c:pt>
                  <c:pt idx="21">
                    <c:v>60653</c:v>
                  </c:pt>
                  <c:pt idx="22">
                    <c:v>98115</c:v>
                  </c:pt>
                  <c:pt idx="23">
                    <c:v>94110</c:v>
                  </c:pt>
                  <c:pt idx="24">
                    <c:v>54302</c:v>
                  </c:pt>
                  <c:pt idx="25">
                    <c:v>1841</c:v>
                  </c:pt>
                  <c:pt idx="26">
                    <c:v>33180</c:v>
                  </c:pt>
                  <c:pt idx="27">
                    <c:v>40475</c:v>
                  </c:pt>
                  <c:pt idx="28">
                    <c:v>90032</c:v>
                  </c:pt>
                  <c:pt idx="29">
                    <c:v>10035</c:v>
                  </c:pt>
                  <c:pt idx="30">
                    <c:v>78207</c:v>
                  </c:pt>
                  <c:pt idx="31">
                    <c:v>60089</c:v>
                  </c:pt>
                  <c:pt idx="32">
                    <c:v>43229</c:v>
                  </c:pt>
                  <c:pt idx="33">
                    <c:v>90049</c:v>
                  </c:pt>
                  <c:pt idx="34">
                    <c:v>80219</c:v>
                  </c:pt>
                  <c:pt idx="35">
                    <c:v>60610</c:v>
                  </c:pt>
                  <c:pt idx="36">
                    <c:v>85204</c:v>
                  </c:pt>
                  <c:pt idx="37">
                    <c:v>19140</c:v>
                  </c:pt>
                  <c:pt idx="38">
                    <c:v>33614</c:v>
                  </c:pt>
                  <c:pt idx="39">
                    <c:v>76017</c:v>
                  </c:pt>
                  <c:pt idx="40">
                    <c:v>45011</c:v>
                  </c:pt>
                  <c:pt idx="41">
                    <c:v>90004</c:v>
                  </c:pt>
                  <c:pt idx="42">
                    <c:v>94122</c:v>
                  </c:pt>
                  <c:pt idx="43">
                    <c:v>60610</c:v>
                  </c:pt>
                  <c:pt idx="44">
                    <c:v>10009</c:v>
                  </c:pt>
                  <c:pt idx="45">
                    <c:v>92530</c:v>
                  </c:pt>
                  <c:pt idx="46">
                    <c:v>75701</c:v>
                  </c:pt>
                  <c:pt idx="47">
                    <c:v>42420</c:v>
                  </c:pt>
                  <c:pt idx="48">
                    <c:v>92646</c:v>
                  </c:pt>
                  <c:pt idx="49">
                    <c:v>19120</c:v>
                  </c:pt>
                  <c:pt idx="50">
                    <c:v>43123</c:v>
                  </c:pt>
                  <c:pt idx="51">
                    <c:v>93534</c:v>
                  </c:pt>
                  <c:pt idx="52">
                    <c:v>50322</c:v>
                  </c:pt>
                  <c:pt idx="53">
                    <c:v>30318</c:v>
                  </c:pt>
                  <c:pt idx="54">
                    <c:v>94122</c:v>
                  </c:pt>
                  <c:pt idx="55">
                    <c:v>43229</c:v>
                  </c:pt>
                  <c:pt idx="56">
                    <c:v>60610</c:v>
                  </c:pt>
                  <c:pt idx="57">
                    <c:v>78745</c:v>
                  </c:pt>
                  <c:pt idx="58">
                    <c:v>90004</c:v>
                  </c:pt>
                  <c:pt idx="59">
                    <c:v>60653</c:v>
                  </c:pt>
                  <c:pt idx="60">
                    <c:v>1852</c:v>
                  </c:pt>
                  <c:pt idx="61">
                    <c:v>98115</c:v>
                  </c:pt>
                  <c:pt idx="62">
                    <c:v>77041</c:v>
                  </c:pt>
                  <c:pt idx="63">
                    <c:v>19140</c:v>
                  </c:pt>
                  <c:pt idx="64">
                    <c:v>90045</c:v>
                  </c:pt>
                  <c:pt idx="65">
                    <c:v>44105</c:v>
                  </c:pt>
                  <c:pt idx="66">
                    <c:v>55016</c:v>
                  </c:pt>
                  <c:pt idx="67">
                    <c:v>10024</c:v>
                  </c:pt>
                  <c:pt idx="68">
                    <c:v>42420</c:v>
                  </c:pt>
                  <c:pt idx="69">
                    <c:v>98103</c:v>
                  </c:pt>
                  <c:pt idx="70">
                    <c:v>22153</c:v>
                  </c:pt>
                  <c:pt idx="71">
                    <c:v>45231</c:v>
                  </c:pt>
                  <c:pt idx="72">
                    <c:v>92054</c:v>
                  </c:pt>
                  <c:pt idx="73">
                    <c:v>10024</c:v>
                  </c:pt>
                  <c:pt idx="74">
                    <c:v>19134</c:v>
                  </c:pt>
                  <c:pt idx="75">
                    <c:v>94122</c:v>
                  </c:pt>
                  <c:pt idx="76">
                    <c:v>33024</c:v>
                  </c:pt>
                  <c:pt idx="77">
                    <c:v>47150</c:v>
                  </c:pt>
                  <c:pt idx="78">
                    <c:v>10035</c:v>
                  </c:pt>
                  <c:pt idx="79">
                    <c:v>80219</c:v>
                  </c:pt>
                  <c:pt idx="80">
                    <c:v>10035</c:v>
                  </c:pt>
                  <c:pt idx="81">
                    <c:v>84057</c:v>
                  </c:pt>
                  <c:pt idx="82">
                    <c:v>33710</c:v>
                  </c:pt>
                  <c:pt idx="83">
                    <c:v>11572</c:v>
                  </c:pt>
                  <c:pt idx="84">
                    <c:v>90049</c:v>
                  </c:pt>
                  <c:pt idx="85">
                    <c:v>19120</c:v>
                  </c:pt>
                  <c:pt idx="86">
                    <c:v>19134</c:v>
                  </c:pt>
                  <c:pt idx="87">
                    <c:v>10024</c:v>
                  </c:pt>
                  <c:pt idx="88">
                    <c:v>60653</c:v>
                  </c:pt>
                  <c:pt idx="89">
                    <c:v>94110</c:v>
                  </c:pt>
                  <c:pt idx="90">
                    <c:v>80013</c:v>
                  </c:pt>
                  <c:pt idx="91">
                    <c:v>90008</c:v>
                  </c:pt>
                  <c:pt idx="92">
                    <c:v>28205</c:v>
                  </c:pt>
                  <c:pt idx="93">
                    <c:v>44052</c:v>
                  </c:pt>
                  <c:pt idx="94">
                    <c:v>78664</c:v>
                  </c:pt>
                  <c:pt idx="95">
                    <c:v>94122</c:v>
                  </c:pt>
                  <c:pt idx="96">
                    <c:v>77070</c:v>
                  </c:pt>
                  <c:pt idx="97">
                    <c:v>55044</c:v>
                  </c:pt>
                  <c:pt idx="98">
                    <c:v>10035</c:v>
                  </c:pt>
                  <c:pt idx="99">
                    <c:v>20016</c:v>
                  </c:pt>
                  <c:pt idx="100">
                    <c:v>78550</c:v>
                  </c:pt>
                  <c:pt idx="101">
                    <c:v>55901</c:v>
                  </c:pt>
                  <c:pt idx="102">
                    <c:v>94109</c:v>
                  </c:pt>
                  <c:pt idx="103">
                    <c:v>94110</c:v>
                  </c:pt>
                  <c:pt idx="104">
                    <c:v>91104</c:v>
                  </c:pt>
                  <c:pt idx="105">
                    <c:v>94109</c:v>
                  </c:pt>
                  <c:pt idx="106">
                    <c:v>77095</c:v>
                  </c:pt>
                  <c:pt idx="107">
                    <c:v>10009</c:v>
                  </c:pt>
                  <c:pt idx="108">
                    <c:v>89115</c:v>
                  </c:pt>
                  <c:pt idx="109">
                    <c:v>98103</c:v>
                  </c:pt>
                  <c:pt idx="110">
                    <c:v>85023</c:v>
                  </c:pt>
                  <c:pt idx="111">
                    <c:v>43017</c:v>
                  </c:pt>
                  <c:pt idx="112">
                    <c:v>90032</c:v>
                  </c:pt>
                  <c:pt idx="113">
                    <c:v>94109</c:v>
                  </c:pt>
                  <c:pt idx="114">
                    <c:v>10801</c:v>
                  </c:pt>
                  <c:pt idx="115">
                    <c:v>12180</c:v>
                  </c:pt>
                  <c:pt idx="116">
                    <c:v>41042</c:v>
                  </c:pt>
                  <c:pt idx="117">
                    <c:v>77070</c:v>
                  </c:pt>
                  <c:pt idx="118">
                    <c:v>80027</c:v>
                  </c:pt>
                  <c:pt idx="119">
                    <c:v>38109</c:v>
                  </c:pt>
                  <c:pt idx="120">
                    <c:v>43055</c:v>
                  </c:pt>
                  <c:pt idx="121">
                    <c:v>78745</c:v>
                  </c:pt>
                  <c:pt idx="122">
                    <c:v>10024</c:v>
                  </c:pt>
                  <c:pt idx="123">
                    <c:v>98105</c:v>
                  </c:pt>
                  <c:pt idx="124">
                    <c:v>98198</c:v>
                  </c:pt>
                  <c:pt idx="125">
                    <c:v>27217</c:v>
                  </c:pt>
                  <c:pt idx="126">
                    <c:v>60623</c:v>
                  </c:pt>
                  <c:pt idx="127">
                    <c:v>90032</c:v>
                  </c:pt>
                  <c:pt idx="128">
                    <c:v>48601</c:v>
                  </c:pt>
                  <c:pt idx="129">
                    <c:v>98115</c:v>
                  </c:pt>
                  <c:pt idx="130">
                    <c:v>90004</c:v>
                  </c:pt>
                  <c:pt idx="131">
                    <c:v>90805</c:v>
                  </c:pt>
                  <c:pt idx="132">
                    <c:v>28806</c:v>
                  </c:pt>
                  <c:pt idx="133">
                    <c:v>28540</c:v>
                  </c:pt>
                  <c:pt idx="134">
                    <c:v>77070</c:v>
                  </c:pt>
                  <c:pt idx="135">
                    <c:v>10035</c:v>
                  </c:pt>
                  <c:pt idx="136">
                    <c:v>92691</c:v>
                  </c:pt>
                  <c:pt idx="137">
                    <c:v>19134</c:v>
                  </c:pt>
                  <c:pt idx="138">
                    <c:v>98105</c:v>
                  </c:pt>
                  <c:pt idx="139">
                    <c:v>28205</c:v>
                  </c:pt>
                  <c:pt idx="140">
                    <c:v>19143</c:v>
                  </c:pt>
                  <c:pt idx="141">
                    <c:v>90004</c:v>
                  </c:pt>
                  <c:pt idx="142">
                    <c:v>94110</c:v>
                  </c:pt>
                  <c:pt idx="143">
                    <c:v>98103</c:v>
                  </c:pt>
                  <c:pt idx="144">
                    <c:v>55407</c:v>
                  </c:pt>
                  <c:pt idx="145">
                    <c:v>43055</c:v>
                  </c:pt>
                  <c:pt idx="146">
                    <c:v>92037</c:v>
                  </c:pt>
                  <c:pt idx="147">
                    <c:v>22153</c:v>
                  </c:pt>
                  <c:pt idx="148">
                    <c:v>94122</c:v>
                  </c:pt>
                  <c:pt idx="149">
                    <c:v>19143</c:v>
                  </c:pt>
                  <c:pt idx="150">
                    <c:v>94110</c:v>
                  </c:pt>
                  <c:pt idx="151">
                    <c:v>60610</c:v>
                  </c:pt>
                  <c:pt idx="152">
                    <c:v>84041</c:v>
                  </c:pt>
                  <c:pt idx="153">
                    <c:v>19140</c:v>
                  </c:pt>
                  <c:pt idx="154">
                    <c:v>85323</c:v>
                  </c:pt>
                  <c:pt idx="155">
                    <c:v>90004</c:v>
                  </c:pt>
                  <c:pt idx="156">
                    <c:v>10009</c:v>
                  </c:pt>
                  <c:pt idx="157">
                    <c:v>80013</c:v>
                  </c:pt>
                  <c:pt idx="158">
                    <c:v>95661</c:v>
                  </c:pt>
                  <c:pt idx="159">
                    <c:v>75220</c:v>
                  </c:pt>
                  <c:pt idx="160">
                    <c:v>90032</c:v>
                  </c:pt>
                  <c:pt idx="161">
                    <c:v>94122</c:v>
                  </c:pt>
                  <c:pt idx="162">
                    <c:v>22204</c:v>
                  </c:pt>
                  <c:pt idx="163">
                    <c:v>90604</c:v>
                  </c:pt>
                  <c:pt idx="164">
                    <c:v>33180</c:v>
                  </c:pt>
                  <c:pt idx="165">
                    <c:v>43055</c:v>
                  </c:pt>
                  <c:pt idx="166">
                    <c:v>19901</c:v>
                  </c:pt>
                  <c:pt idx="167">
                    <c:v>43229</c:v>
                  </c:pt>
                  <c:pt idx="168">
                    <c:v>75701</c:v>
                  </c:pt>
                  <c:pt idx="169">
                    <c:v>90032</c:v>
                  </c:pt>
                  <c:pt idx="170">
                    <c:v>94109</c:v>
                  </c:pt>
                  <c:pt idx="171">
                    <c:v>14609</c:v>
                  </c:pt>
                  <c:pt idx="172">
                    <c:v>45503</c:v>
                  </c:pt>
                  <c:pt idx="173">
                    <c:v>94110</c:v>
                  </c:pt>
                  <c:pt idx="174">
                    <c:v>92024</c:v>
                  </c:pt>
                  <c:pt idx="175">
                    <c:v>64118</c:v>
                  </c:pt>
                  <c:pt idx="176">
                    <c:v>93534</c:v>
                  </c:pt>
                  <c:pt idx="177">
                    <c:v>44312</c:v>
                  </c:pt>
                  <c:pt idx="178">
                    <c:v>39212</c:v>
                  </c:pt>
                  <c:pt idx="179">
                    <c:v>72701</c:v>
                  </c:pt>
                  <c:pt idx="180">
                    <c:v>80013</c:v>
                  </c:pt>
                  <c:pt idx="181">
                    <c:v>60610</c:v>
                  </c:pt>
                  <c:pt idx="182">
                    <c:v>19134</c:v>
                  </c:pt>
                  <c:pt idx="183">
                    <c:v>98115</c:v>
                  </c:pt>
                  <c:pt idx="184">
                    <c:v>32216</c:v>
                  </c:pt>
                  <c:pt idx="185">
                    <c:v>10035</c:v>
                  </c:pt>
                  <c:pt idx="186">
                    <c:v>33433</c:v>
                  </c:pt>
                  <c:pt idx="187">
                    <c:v>48227</c:v>
                  </c:pt>
                  <c:pt idx="188">
                    <c:v>78041</c:v>
                  </c:pt>
                  <c:pt idx="189">
                    <c:v>90036</c:v>
                  </c:pt>
                  <c:pt idx="190">
                    <c:v>85254</c:v>
                  </c:pt>
                  <c:pt idx="191">
                    <c:v>10009</c:v>
                  </c:pt>
                  <c:pt idx="192">
                    <c:v>62521</c:v>
                  </c:pt>
                  <c:pt idx="193">
                    <c:v>39212</c:v>
                  </c:pt>
                  <c:pt idx="194">
                    <c:v>45231</c:v>
                  </c:pt>
                  <c:pt idx="195">
                    <c:v>22980</c:v>
                  </c:pt>
                  <c:pt idx="196">
                    <c:v>73034</c:v>
                  </c:pt>
                  <c:pt idx="197">
                    <c:v>19140</c:v>
                  </c:pt>
                  <c:pt idx="198">
                    <c:v>90045</c:v>
                  </c:pt>
                  <c:pt idx="199">
                    <c:v>92105</c:v>
                  </c:pt>
                  <c:pt idx="200">
                    <c:v>60201</c:v>
                  </c:pt>
                  <c:pt idx="201">
                    <c:v>90004</c:v>
                  </c:pt>
                  <c:pt idx="202">
                    <c:v>19134</c:v>
                  </c:pt>
                  <c:pt idx="203">
                    <c:v>61701</c:v>
                  </c:pt>
                  <c:pt idx="204">
                    <c:v>98502</c:v>
                  </c:pt>
                  <c:pt idx="205">
                    <c:v>94110</c:v>
                  </c:pt>
                  <c:pt idx="206">
                    <c:v>76106</c:v>
                  </c:pt>
                  <c:pt idx="207">
                    <c:v>7960</c:v>
                  </c:pt>
                  <c:pt idx="208">
                    <c:v>55901</c:v>
                  </c:pt>
                  <c:pt idx="209">
                    <c:v>92704</c:v>
                  </c:pt>
                  <c:pt idx="210">
                    <c:v>48227</c:v>
                  </c:pt>
                  <c:pt idx="211">
                    <c:v>53711</c:v>
                  </c:pt>
                  <c:pt idx="212">
                    <c:v>52601</c:v>
                  </c:pt>
                  <c:pt idx="213">
                    <c:v>19143</c:v>
                  </c:pt>
                  <c:pt idx="214">
                    <c:v>29203</c:v>
                  </c:pt>
                  <c:pt idx="215">
                    <c:v>10009</c:v>
                  </c:pt>
                  <c:pt idx="216">
                    <c:v>48185</c:v>
                  </c:pt>
                  <c:pt idx="217">
                    <c:v>94109</c:v>
                  </c:pt>
                  <c:pt idx="218">
                    <c:v>10035</c:v>
                  </c:pt>
                  <c:pt idx="219">
                    <c:v>80219</c:v>
                  </c:pt>
                  <c:pt idx="220">
                    <c:v>77095</c:v>
                  </c:pt>
                  <c:pt idx="221">
                    <c:v>92563</c:v>
                  </c:pt>
                  <c:pt idx="222">
                    <c:v>13021</c:v>
                  </c:pt>
                  <c:pt idx="223">
                    <c:v>47201</c:v>
                  </c:pt>
                  <c:pt idx="224">
                    <c:v>22304</c:v>
                  </c:pt>
                  <c:pt idx="225">
                    <c:v>60610</c:v>
                  </c:pt>
                  <c:pt idx="226">
                    <c:v>40214</c:v>
                  </c:pt>
                  <c:pt idx="227">
                    <c:v>43229</c:v>
                  </c:pt>
                  <c:pt idx="228">
                    <c:v>32216</c:v>
                  </c:pt>
                  <c:pt idx="229">
                    <c:v>89115</c:v>
                  </c:pt>
                  <c:pt idx="230">
                    <c:v>42420</c:v>
                  </c:pt>
                  <c:pt idx="231">
                    <c:v>88220</c:v>
                  </c:pt>
                  <c:pt idx="232">
                    <c:v>95123</c:v>
                  </c:pt>
                  <c:pt idx="233">
                    <c:v>48183</c:v>
                  </c:pt>
                  <c:pt idx="234">
                    <c:v>10024</c:v>
                  </c:pt>
                  <c:pt idx="235">
                    <c:v>10024</c:v>
                  </c:pt>
                  <c:pt idx="236">
                    <c:v>55901</c:v>
                  </c:pt>
                  <c:pt idx="237">
                    <c:v>19140</c:v>
                  </c:pt>
                  <c:pt idx="238">
                    <c:v>36116</c:v>
                  </c:pt>
                  <c:pt idx="239">
                    <c:v>38109</c:v>
                  </c:pt>
                  <c:pt idx="240">
                    <c:v>44105</c:v>
                  </c:pt>
                  <c:pt idx="241">
                    <c:v>28403</c:v>
                  </c:pt>
                  <c:pt idx="242">
                    <c:v>60610</c:v>
                  </c:pt>
                  <c:pt idx="243">
                    <c:v>23223</c:v>
                  </c:pt>
                  <c:pt idx="244">
                    <c:v>94521</c:v>
                  </c:pt>
                  <c:pt idx="245">
                    <c:v>92627</c:v>
                  </c:pt>
                  <c:pt idx="246">
                    <c:v>48307</c:v>
                  </c:pt>
                  <c:pt idx="247">
                    <c:v>77070</c:v>
                  </c:pt>
                  <c:pt idx="248">
                    <c:v>19805</c:v>
                  </c:pt>
                  <c:pt idx="249">
                    <c:v>10009</c:v>
                  </c:pt>
                  <c:pt idx="250">
                    <c:v>19140</c:v>
                  </c:pt>
                  <c:pt idx="251">
                    <c:v>98270</c:v>
                  </c:pt>
                  <c:pt idx="252">
                    <c:v>64055</c:v>
                  </c:pt>
                  <c:pt idx="253">
                    <c:v>22204</c:v>
                  </c:pt>
                  <c:pt idx="254">
                    <c:v>77036</c:v>
                  </c:pt>
                  <c:pt idx="255">
                    <c:v>6824</c:v>
                  </c:pt>
                  <c:pt idx="256">
                    <c:v>10009</c:v>
                  </c:pt>
                  <c:pt idx="257">
                    <c:v>33311</c:v>
                  </c:pt>
                  <c:pt idx="258">
                    <c:v>98115</c:v>
                  </c:pt>
                  <c:pt idx="259">
                    <c:v>75220</c:v>
                  </c:pt>
                  <c:pt idx="260">
                    <c:v>19901</c:v>
                  </c:pt>
                  <c:pt idx="261">
                    <c:v>47401</c:v>
                  </c:pt>
                  <c:pt idx="262">
                    <c:v>39212</c:v>
                  </c:pt>
                  <c:pt idx="263">
                    <c:v>12180</c:v>
                  </c:pt>
                  <c:pt idx="264">
                    <c:v>3301</c:v>
                  </c:pt>
                  <c:pt idx="265">
                    <c:v>49201</c:v>
                  </c:pt>
                  <c:pt idx="266">
                    <c:v>19140</c:v>
                  </c:pt>
                  <c:pt idx="267">
                    <c:v>97206</c:v>
                  </c:pt>
                  <c:pt idx="268">
                    <c:v>47201</c:v>
                  </c:pt>
                  <c:pt idx="269">
                    <c:v>75043</c:v>
                  </c:pt>
                  <c:pt idx="270">
                    <c:v>1852</c:v>
                  </c:pt>
                  <c:pt idx="271">
                    <c:v>97206</c:v>
                  </c:pt>
                  <c:pt idx="272">
                    <c:v>62301</c:v>
                  </c:pt>
                  <c:pt idx="273">
                    <c:v>90805</c:v>
                  </c:pt>
                  <c:pt idx="274">
                    <c:v>60540</c:v>
                  </c:pt>
                  <c:pt idx="275">
                    <c:v>19134</c:v>
                  </c:pt>
                  <c:pt idx="276">
                    <c:v>7109</c:v>
                  </c:pt>
                  <c:pt idx="277">
                    <c:v>77041</c:v>
                  </c:pt>
                  <c:pt idx="278">
                    <c:v>10024</c:v>
                  </c:pt>
                  <c:pt idx="279">
                    <c:v>85023</c:v>
                  </c:pt>
                  <c:pt idx="280">
                    <c:v>90045</c:v>
                  </c:pt>
                  <c:pt idx="281">
                    <c:v>80027</c:v>
                  </c:pt>
                  <c:pt idx="282">
                    <c:v>38401</c:v>
                  </c:pt>
                  <c:pt idx="283">
                    <c:v>39212</c:v>
                  </c:pt>
                  <c:pt idx="284">
                    <c:v>92037</c:v>
                  </c:pt>
                  <c:pt idx="285">
                    <c:v>92024</c:v>
                  </c:pt>
                  <c:pt idx="286">
                    <c:v>98026</c:v>
                  </c:pt>
                  <c:pt idx="287">
                    <c:v>97301</c:v>
                  </c:pt>
                  <c:pt idx="288">
                    <c:v>94109</c:v>
                  </c:pt>
                </c:lvl>
                <c:lvl>
                  <c:pt idx="0">
                    <c:v>Arizona</c:v>
                  </c:pt>
                  <c:pt idx="1">
                    <c:v>Nebraska</c:v>
                  </c:pt>
                  <c:pt idx="2">
                    <c:v>North Carolina</c:v>
                  </c:pt>
                  <c:pt idx="3">
                    <c:v>Texas</c:v>
                  </c:pt>
                  <c:pt idx="4">
                    <c:v>California</c:v>
                  </c:pt>
                  <c:pt idx="5">
                    <c:v>Ohio</c:v>
                  </c:pt>
                  <c:pt idx="6">
                    <c:v>Kentucky</c:v>
                  </c:pt>
                  <c:pt idx="7">
                    <c:v>Utah</c:v>
                  </c:pt>
                  <c:pt idx="8">
                    <c:v>Ohio</c:v>
                  </c:pt>
                  <c:pt idx="9">
                    <c:v>Texas</c:v>
                  </c:pt>
                  <c:pt idx="10">
                    <c:v>Wisconsin</c:v>
                  </c:pt>
                  <c:pt idx="11">
                    <c:v>Arizona</c:v>
                  </c:pt>
                  <c:pt idx="12">
                    <c:v>California</c:v>
                  </c:pt>
                  <c:pt idx="13">
                    <c:v>Kentucky</c:v>
                  </c:pt>
                  <c:pt idx="14">
                    <c:v>Michigan</c:v>
                  </c:pt>
                  <c:pt idx="15">
                    <c:v>North Carolina</c:v>
                  </c:pt>
                  <c:pt idx="16">
                    <c:v>New York</c:v>
                  </c:pt>
                  <c:pt idx="17">
                    <c:v>Florida</c:v>
                  </c:pt>
                  <c:pt idx="18">
                    <c:v>California</c:v>
                  </c:pt>
                  <c:pt idx="19">
                    <c:v>Pennsylvania</c:v>
                  </c:pt>
                  <c:pt idx="20">
                    <c:v>Florida</c:v>
                  </c:pt>
                  <c:pt idx="21">
                    <c:v>Illinois</c:v>
                  </c:pt>
                  <c:pt idx="22">
                    <c:v>Washington</c:v>
                  </c:pt>
                  <c:pt idx="23">
                    <c:v>California</c:v>
                  </c:pt>
                  <c:pt idx="24">
                    <c:v>Wisconsin</c:v>
                  </c:pt>
                  <c:pt idx="25">
                    <c:v>Massachusetts</c:v>
                  </c:pt>
                  <c:pt idx="26">
                    <c:v>Florida</c:v>
                  </c:pt>
                  <c:pt idx="27">
                    <c:v>Kentucky</c:v>
                  </c:pt>
                  <c:pt idx="28">
                    <c:v>California</c:v>
                  </c:pt>
                  <c:pt idx="29">
                    <c:v>New York</c:v>
                  </c:pt>
                  <c:pt idx="30">
                    <c:v>Texas</c:v>
                  </c:pt>
                  <c:pt idx="31">
                    <c:v>Illinois</c:v>
                  </c:pt>
                  <c:pt idx="32">
                    <c:v>Ohio</c:v>
                  </c:pt>
                  <c:pt idx="33">
                    <c:v>California</c:v>
                  </c:pt>
                  <c:pt idx="34">
                    <c:v>Colorado</c:v>
                  </c:pt>
                  <c:pt idx="35">
                    <c:v>Illinois</c:v>
                  </c:pt>
                  <c:pt idx="36">
                    <c:v>Arizona</c:v>
                  </c:pt>
                  <c:pt idx="37">
                    <c:v>Pennsylvania</c:v>
                  </c:pt>
                  <c:pt idx="38">
                    <c:v>Florida</c:v>
                  </c:pt>
                  <c:pt idx="39">
                    <c:v>Texas</c:v>
                  </c:pt>
                  <c:pt idx="40">
                    <c:v>Ohio</c:v>
                  </c:pt>
                  <c:pt idx="41">
                    <c:v>California</c:v>
                  </c:pt>
                  <c:pt idx="42">
                    <c:v>California</c:v>
                  </c:pt>
                  <c:pt idx="43">
                    <c:v>Illinois</c:v>
                  </c:pt>
                  <c:pt idx="44">
                    <c:v>New York</c:v>
                  </c:pt>
                  <c:pt idx="45">
                    <c:v>California</c:v>
                  </c:pt>
                  <c:pt idx="46">
                    <c:v>Texas</c:v>
                  </c:pt>
                  <c:pt idx="47">
                    <c:v>Kentucky</c:v>
                  </c:pt>
                  <c:pt idx="48">
                    <c:v>California</c:v>
                  </c:pt>
                  <c:pt idx="49">
                    <c:v>Pennsylvania</c:v>
                  </c:pt>
                  <c:pt idx="50">
                    <c:v>Ohio</c:v>
                  </c:pt>
                  <c:pt idx="51">
                    <c:v>California</c:v>
                  </c:pt>
                  <c:pt idx="52">
                    <c:v>Iowa</c:v>
                  </c:pt>
                  <c:pt idx="53">
                    <c:v>Georgia</c:v>
                  </c:pt>
                  <c:pt idx="54">
                    <c:v>California</c:v>
                  </c:pt>
                  <c:pt idx="55">
                    <c:v>Ohio</c:v>
                  </c:pt>
                  <c:pt idx="56">
                    <c:v>Illinois</c:v>
                  </c:pt>
                  <c:pt idx="57">
                    <c:v>Texas</c:v>
                  </c:pt>
                  <c:pt idx="58">
                    <c:v>California</c:v>
                  </c:pt>
                  <c:pt idx="59">
                    <c:v>Illinois</c:v>
                  </c:pt>
                  <c:pt idx="60">
                    <c:v>Massachusetts</c:v>
                  </c:pt>
                  <c:pt idx="61">
                    <c:v>Washington</c:v>
                  </c:pt>
                  <c:pt idx="62">
                    <c:v>Texas</c:v>
                  </c:pt>
                  <c:pt idx="63">
                    <c:v>Pennsylvania</c:v>
                  </c:pt>
                  <c:pt idx="64">
                    <c:v>California</c:v>
                  </c:pt>
                  <c:pt idx="65">
                    <c:v>Ohio</c:v>
                  </c:pt>
                  <c:pt idx="66">
                    <c:v>Minnesota</c:v>
                  </c:pt>
                  <c:pt idx="67">
                    <c:v>New York</c:v>
                  </c:pt>
                  <c:pt idx="68">
                    <c:v>Kentucky</c:v>
                  </c:pt>
                  <c:pt idx="69">
                    <c:v>Washington</c:v>
                  </c:pt>
                  <c:pt idx="70">
                    <c:v>Virginia</c:v>
                  </c:pt>
                  <c:pt idx="71">
                    <c:v>Ohio</c:v>
                  </c:pt>
                  <c:pt idx="72">
                    <c:v>California</c:v>
                  </c:pt>
                  <c:pt idx="73">
                    <c:v>New York</c:v>
                  </c:pt>
                  <c:pt idx="74">
                    <c:v>Pennsylvania</c:v>
                  </c:pt>
                  <c:pt idx="75">
                    <c:v>California</c:v>
                  </c:pt>
                  <c:pt idx="76">
                    <c:v>Florida</c:v>
                  </c:pt>
                  <c:pt idx="77">
                    <c:v>Indiana</c:v>
                  </c:pt>
                  <c:pt idx="78">
                    <c:v>New York</c:v>
                  </c:pt>
                  <c:pt idx="79">
                    <c:v>Colorado</c:v>
                  </c:pt>
                  <c:pt idx="80">
                    <c:v>New York</c:v>
                  </c:pt>
                  <c:pt idx="81">
                    <c:v>Utah</c:v>
                  </c:pt>
                  <c:pt idx="82">
                    <c:v>Florida</c:v>
                  </c:pt>
                  <c:pt idx="83">
                    <c:v>New York</c:v>
                  </c:pt>
                  <c:pt idx="84">
                    <c:v>California</c:v>
                  </c:pt>
                  <c:pt idx="85">
                    <c:v>Pennsylvania</c:v>
                  </c:pt>
                  <c:pt idx="86">
                    <c:v>Pennsylvania</c:v>
                  </c:pt>
                  <c:pt idx="87">
                    <c:v>New York</c:v>
                  </c:pt>
                  <c:pt idx="88">
                    <c:v>Illinois</c:v>
                  </c:pt>
                  <c:pt idx="89">
                    <c:v>California</c:v>
                  </c:pt>
                  <c:pt idx="90">
                    <c:v>Colorado</c:v>
                  </c:pt>
                  <c:pt idx="91">
                    <c:v>California</c:v>
                  </c:pt>
                  <c:pt idx="92">
                    <c:v>North Carolina</c:v>
                  </c:pt>
                  <c:pt idx="93">
                    <c:v>Ohio</c:v>
                  </c:pt>
                  <c:pt idx="94">
                    <c:v>Texas</c:v>
                  </c:pt>
                  <c:pt idx="95">
                    <c:v>California</c:v>
                  </c:pt>
                  <c:pt idx="96">
                    <c:v>Texas</c:v>
                  </c:pt>
                  <c:pt idx="97">
                    <c:v>Minnesota</c:v>
                  </c:pt>
                  <c:pt idx="98">
                    <c:v>New York</c:v>
                  </c:pt>
                  <c:pt idx="99">
                    <c:v>District of Columbia</c:v>
                  </c:pt>
                  <c:pt idx="100">
                    <c:v>Texas</c:v>
                  </c:pt>
                  <c:pt idx="101">
                    <c:v>Minnesota</c:v>
                  </c:pt>
                  <c:pt idx="102">
                    <c:v>California</c:v>
                  </c:pt>
                  <c:pt idx="104">
                    <c:v>California</c:v>
                  </c:pt>
                  <c:pt idx="105">
                    <c:v>California</c:v>
                  </c:pt>
                  <c:pt idx="106">
                    <c:v>Texas</c:v>
                  </c:pt>
                  <c:pt idx="107">
                    <c:v>New York</c:v>
                  </c:pt>
                  <c:pt idx="108">
                    <c:v>Nevada</c:v>
                  </c:pt>
                  <c:pt idx="109">
                    <c:v>Washington</c:v>
                  </c:pt>
                  <c:pt idx="110">
                    <c:v>Arizona</c:v>
                  </c:pt>
                  <c:pt idx="111">
                    <c:v>Ohio</c:v>
                  </c:pt>
                  <c:pt idx="112">
                    <c:v>California</c:v>
                  </c:pt>
                  <c:pt idx="113">
                    <c:v>California</c:v>
                  </c:pt>
                  <c:pt idx="114">
                    <c:v>New York</c:v>
                  </c:pt>
                  <c:pt idx="115">
                    <c:v>New York</c:v>
                  </c:pt>
                  <c:pt idx="116">
                    <c:v>Kentucky</c:v>
                  </c:pt>
                  <c:pt idx="117">
                    <c:v>Texas</c:v>
                  </c:pt>
                  <c:pt idx="118">
                    <c:v>Colorado</c:v>
                  </c:pt>
                  <c:pt idx="119">
                    <c:v>Tennessee</c:v>
                  </c:pt>
                  <c:pt idx="120">
                    <c:v>Ohio</c:v>
                  </c:pt>
                  <c:pt idx="121">
                    <c:v>Texas</c:v>
                  </c:pt>
                  <c:pt idx="122">
                    <c:v>New York</c:v>
                  </c:pt>
                  <c:pt idx="123">
                    <c:v>Washington</c:v>
                  </c:pt>
                  <c:pt idx="124">
                    <c:v>Washington</c:v>
                  </c:pt>
                  <c:pt idx="125">
                    <c:v>North Carolina</c:v>
                  </c:pt>
                  <c:pt idx="126">
                    <c:v>Illinois</c:v>
                  </c:pt>
                  <c:pt idx="127">
                    <c:v>California</c:v>
                  </c:pt>
                  <c:pt idx="128">
                    <c:v>Michigan</c:v>
                  </c:pt>
                  <c:pt idx="129">
                    <c:v>Washington</c:v>
                  </c:pt>
                  <c:pt idx="130">
                    <c:v>California</c:v>
                  </c:pt>
                  <c:pt idx="131">
                    <c:v>California</c:v>
                  </c:pt>
                  <c:pt idx="132">
                    <c:v>North Carolina</c:v>
                  </c:pt>
                  <c:pt idx="133">
                    <c:v>North Carolina</c:v>
                  </c:pt>
                  <c:pt idx="134">
                    <c:v>Texas</c:v>
                  </c:pt>
                  <c:pt idx="135">
                    <c:v>New York</c:v>
                  </c:pt>
                  <c:pt idx="136">
                    <c:v>California</c:v>
                  </c:pt>
                  <c:pt idx="137">
                    <c:v>Pennsylvania</c:v>
                  </c:pt>
                  <c:pt idx="138">
                    <c:v>Washington</c:v>
                  </c:pt>
                  <c:pt idx="139">
                    <c:v>North Carolina</c:v>
                  </c:pt>
                  <c:pt idx="140">
                    <c:v>Pennsylvania</c:v>
                  </c:pt>
                  <c:pt idx="141">
                    <c:v>California</c:v>
                  </c:pt>
                  <c:pt idx="142">
                    <c:v>California</c:v>
                  </c:pt>
                  <c:pt idx="143">
                    <c:v>Washington</c:v>
                  </c:pt>
                  <c:pt idx="144">
                    <c:v>Minnesota</c:v>
                  </c:pt>
                  <c:pt idx="145">
                    <c:v>Ohio</c:v>
                  </c:pt>
                  <c:pt idx="146">
                    <c:v>California</c:v>
                  </c:pt>
                  <c:pt idx="147">
                    <c:v>Virginia</c:v>
                  </c:pt>
                  <c:pt idx="148">
                    <c:v>California</c:v>
                  </c:pt>
                  <c:pt idx="149">
                    <c:v>Pennsylvania</c:v>
                  </c:pt>
                  <c:pt idx="150">
                    <c:v>California</c:v>
                  </c:pt>
                  <c:pt idx="151">
                    <c:v>Illinois</c:v>
                  </c:pt>
                  <c:pt idx="152">
                    <c:v>Utah</c:v>
                  </c:pt>
                  <c:pt idx="153">
                    <c:v>Pennsylvania</c:v>
                  </c:pt>
                  <c:pt idx="154">
                    <c:v>Arizona</c:v>
                  </c:pt>
                  <c:pt idx="155">
                    <c:v>California</c:v>
                  </c:pt>
                  <c:pt idx="156">
                    <c:v>New York</c:v>
                  </c:pt>
                  <c:pt idx="157">
                    <c:v>Colorado</c:v>
                  </c:pt>
                  <c:pt idx="158">
                    <c:v>California</c:v>
                  </c:pt>
                  <c:pt idx="159">
                    <c:v>Texas</c:v>
                  </c:pt>
                  <c:pt idx="160">
                    <c:v>California</c:v>
                  </c:pt>
                  <c:pt idx="161">
                    <c:v>California</c:v>
                  </c:pt>
                  <c:pt idx="162">
                    <c:v>Virginia</c:v>
                  </c:pt>
                  <c:pt idx="163">
                    <c:v>California</c:v>
                  </c:pt>
                  <c:pt idx="164">
                    <c:v>Florida</c:v>
                  </c:pt>
                  <c:pt idx="165">
                    <c:v>Ohio</c:v>
                  </c:pt>
                  <c:pt idx="166">
                    <c:v>Delaware</c:v>
                  </c:pt>
                  <c:pt idx="167">
                    <c:v>Ohio</c:v>
                  </c:pt>
                  <c:pt idx="168">
                    <c:v>Texas</c:v>
                  </c:pt>
                  <c:pt idx="169">
                    <c:v>California</c:v>
                  </c:pt>
                  <c:pt idx="170">
                    <c:v>California</c:v>
                  </c:pt>
                  <c:pt idx="171">
                    <c:v>New York</c:v>
                  </c:pt>
                  <c:pt idx="172">
                    <c:v>Ohio</c:v>
                  </c:pt>
                  <c:pt idx="173">
                    <c:v>California</c:v>
                  </c:pt>
                  <c:pt idx="174">
                    <c:v>California</c:v>
                  </c:pt>
                  <c:pt idx="175">
                    <c:v>Missouri</c:v>
                  </c:pt>
                  <c:pt idx="176">
                    <c:v>California</c:v>
                  </c:pt>
                  <c:pt idx="177">
                    <c:v>Ohio</c:v>
                  </c:pt>
                  <c:pt idx="178">
                    <c:v>Mississippi</c:v>
                  </c:pt>
                  <c:pt idx="179">
                    <c:v>Arkansas</c:v>
                  </c:pt>
                  <c:pt idx="180">
                    <c:v>Colorado</c:v>
                  </c:pt>
                  <c:pt idx="181">
                    <c:v>Illinois</c:v>
                  </c:pt>
                  <c:pt idx="182">
                    <c:v>Pennsylvania</c:v>
                  </c:pt>
                  <c:pt idx="183">
                    <c:v>Washington</c:v>
                  </c:pt>
                  <c:pt idx="184">
                    <c:v>Florida</c:v>
                  </c:pt>
                  <c:pt idx="185">
                    <c:v>New York</c:v>
                  </c:pt>
                  <c:pt idx="186">
                    <c:v>Florida</c:v>
                  </c:pt>
                  <c:pt idx="187">
                    <c:v>Michigan</c:v>
                  </c:pt>
                  <c:pt idx="188">
                    <c:v>Texas</c:v>
                  </c:pt>
                  <c:pt idx="189">
                    <c:v>California</c:v>
                  </c:pt>
                  <c:pt idx="190">
                    <c:v>Arizona</c:v>
                  </c:pt>
                  <c:pt idx="191">
                    <c:v>New York</c:v>
                  </c:pt>
                  <c:pt idx="192">
                    <c:v>Illinois</c:v>
                  </c:pt>
                  <c:pt idx="193">
                    <c:v>Mississippi</c:v>
                  </c:pt>
                  <c:pt idx="194">
                    <c:v>Ohio</c:v>
                  </c:pt>
                  <c:pt idx="195">
                    <c:v>Virginia</c:v>
                  </c:pt>
                  <c:pt idx="196">
                    <c:v>Oklahoma</c:v>
                  </c:pt>
                  <c:pt idx="197">
                    <c:v>Pennsylvania</c:v>
                  </c:pt>
                  <c:pt idx="198">
                    <c:v>California</c:v>
                  </c:pt>
                  <c:pt idx="199">
                    <c:v>California</c:v>
                  </c:pt>
                  <c:pt idx="200">
                    <c:v>Illinois</c:v>
                  </c:pt>
                  <c:pt idx="201">
                    <c:v>California</c:v>
                  </c:pt>
                  <c:pt idx="202">
                    <c:v>Pennsylvania</c:v>
                  </c:pt>
                  <c:pt idx="203">
                    <c:v>Illinois</c:v>
                  </c:pt>
                  <c:pt idx="204">
                    <c:v>Washington</c:v>
                  </c:pt>
                  <c:pt idx="205">
                    <c:v>California</c:v>
                  </c:pt>
                  <c:pt idx="206">
                    <c:v>Texas</c:v>
                  </c:pt>
                  <c:pt idx="207">
                    <c:v>New Jersey</c:v>
                  </c:pt>
                  <c:pt idx="208">
                    <c:v>Minnesota</c:v>
                  </c:pt>
                  <c:pt idx="209">
                    <c:v>California</c:v>
                  </c:pt>
                  <c:pt idx="210">
                    <c:v>Michigan</c:v>
                  </c:pt>
                  <c:pt idx="211">
                    <c:v>Wisconsin</c:v>
                  </c:pt>
                  <c:pt idx="212">
                    <c:v>Iowa</c:v>
                  </c:pt>
                  <c:pt idx="213">
                    <c:v>Pennsylvania</c:v>
                  </c:pt>
                  <c:pt idx="214">
                    <c:v>South Carolina</c:v>
                  </c:pt>
                  <c:pt idx="215">
                    <c:v>New York</c:v>
                  </c:pt>
                  <c:pt idx="216">
                    <c:v>Michigan</c:v>
                  </c:pt>
                  <c:pt idx="217">
                    <c:v>California</c:v>
                  </c:pt>
                  <c:pt idx="218">
                    <c:v>New York</c:v>
                  </c:pt>
                  <c:pt idx="219">
                    <c:v>Colorado</c:v>
                  </c:pt>
                  <c:pt idx="220">
                    <c:v>Texas</c:v>
                  </c:pt>
                  <c:pt idx="221">
                    <c:v>California</c:v>
                  </c:pt>
                  <c:pt idx="222">
                    <c:v>New York</c:v>
                  </c:pt>
                  <c:pt idx="223">
                    <c:v>Indiana</c:v>
                  </c:pt>
                  <c:pt idx="224">
                    <c:v>Virginia</c:v>
                  </c:pt>
                  <c:pt idx="225">
                    <c:v>Illinois</c:v>
                  </c:pt>
                  <c:pt idx="226">
                    <c:v>Kentucky</c:v>
                  </c:pt>
                  <c:pt idx="227">
                    <c:v>Ohio</c:v>
                  </c:pt>
                  <c:pt idx="228">
                    <c:v>Florida</c:v>
                  </c:pt>
                  <c:pt idx="229">
                    <c:v>Nevada</c:v>
                  </c:pt>
                  <c:pt idx="230">
                    <c:v>Kentucky</c:v>
                  </c:pt>
                  <c:pt idx="231">
                    <c:v>New Mexico</c:v>
                  </c:pt>
                  <c:pt idx="232">
                    <c:v>California</c:v>
                  </c:pt>
                  <c:pt idx="233">
                    <c:v>Michigan</c:v>
                  </c:pt>
                  <c:pt idx="234">
                    <c:v>New York</c:v>
                  </c:pt>
                  <c:pt idx="235">
                    <c:v>New York</c:v>
                  </c:pt>
                  <c:pt idx="236">
                    <c:v>Minnesota</c:v>
                  </c:pt>
                  <c:pt idx="237">
                    <c:v>Pennsylvania</c:v>
                  </c:pt>
                  <c:pt idx="238">
                    <c:v>Alabama</c:v>
                  </c:pt>
                  <c:pt idx="239">
                    <c:v>Tennessee</c:v>
                  </c:pt>
                  <c:pt idx="240">
                    <c:v>Ohio</c:v>
                  </c:pt>
                  <c:pt idx="241">
                    <c:v>North Carolina</c:v>
                  </c:pt>
                  <c:pt idx="242">
                    <c:v>Illinois</c:v>
                  </c:pt>
                  <c:pt idx="243">
                    <c:v>Virginia</c:v>
                  </c:pt>
                  <c:pt idx="244">
                    <c:v>California</c:v>
                  </c:pt>
                  <c:pt idx="245">
                    <c:v>California</c:v>
                  </c:pt>
                  <c:pt idx="246">
                    <c:v>Michigan</c:v>
                  </c:pt>
                  <c:pt idx="247">
                    <c:v>Texas</c:v>
                  </c:pt>
                  <c:pt idx="248">
                    <c:v>Delaware</c:v>
                  </c:pt>
                  <c:pt idx="249">
                    <c:v>New York</c:v>
                  </c:pt>
                  <c:pt idx="250">
                    <c:v>Pennsylvania</c:v>
                  </c:pt>
                  <c:pt idx="251">
                    <c:v>Washington</c:v>
                  </c:pt>
                  <c:pt idx="252">
                    <c:v>Missouri</c:v>
                  </c:pt>
                  <c:pt idx="253">
                    <c:v>Virginia</c:v>
                  </c:pt>
                  <c:pt idx="254">
                    <c:v>Texas</c:v>
                  </c:pt>
                  <c:pt idx="255">
                    <c:v>Connecticut</c:v>
                  </c:pt>
                  <c:pt idx="256">
                    <c:v>New York</c:v>
                  </c:pt>
                  <c:pt idx="257">
                    <c:v>Florida</c:v>
                  </c:pt>
                  <c:pt idx="258">
                    <c:v>Washington</c:v>
                  </c:pt>
                  <c:pt idx="259">
                    <c:v>Texas</c:v>
                  </c:pt>
                  <c:pt idx="260">
                    <c:v>Delaware</c:v>
                  </c:pt>
                  <c:pt idx="261">
                    <c:v>Indiana</c:v>
                  </c:pt>
                  <c:pt idx="262">
                    <c:v>Mississippi</c:v>
                  </c:pt>
                  <c:pt idx="263">
                    <c:v>New York</c:v>
                  </c:pt>
                  <c:pt idx="264">
                    <c:v>New Hampshire</c:v>
                  </c:pt>
                  <c:pt idx="265">
                    <c:v>Michigan</c:v>
                  </c:pt>
                  <c:pt idx="266">
                    <c:v>Pennsylvania</c:v>
                  </c:pt>
                  <c:pt idx="267">
                    <c:v>Oregon</c:v>
                  </c:pt>
                  <c:pt idx="268">
                    <c:v>Indiana</c:v>
                  </c:pt>
                  <c:pt idx="269">
                    <c:v>Texas</c:v>
                  </c:pt>
                  <c:pt idx="270">
                    <c:v>Massachusetts</c:v>
                  </c:pt>
                  <c:pt idx="271">
                    <c:v>Oregon</c:v>
                  </c:pt>
                  <c:pt idx="272">
                    <c:v>Illinois</c:v>
                  </c:pt>
                  <c:pt idx="273">
                    <c:v>California</c:v>
                  </c:pt>
                  <c:pt idx="274">
                    <c:v>Illinois</c:v>
                  </c:pt>
                  <c:pt idx="275">
                    <c:v>Pennsylvania</c:v>
                  </c:pt>
                  <c:pt idx="276">
                    <c:v>New Jersey</c:v>
                  </c:pt>
                  <c:pt idx="277">
                    <c:v>Texas</c:v>
                  </c:pt>
                  <c:pt idx="278">
                    <c:v>New York</c:v>
                  </c:pt>
                  <c:pt idx="279">
                    <c:v>Arizona</c:v>
                  </c:pt>
                  <c:pt idx="280">
                    <c:v>California</c:v>
                  </c:pt>
                  <c:pt idx="281">
                    <c:v>Colorado</c:v>
                  </c:pt>
                  <c:pt idx="282">
                    <c:v>Tennessee</c:v>
                  </c:pt>
                  <c:pt idx="283">
                    <c:v>Mississippi</c:v>
                  </c:pt>
                  <c:pt idx="284">
                    <c:v>California</c:v>
                  </c:pt>
                  <c:pt idx="285">
                    <c:v>California</c:v>
                  </c:pt>
                  <c:pt idx="286">
                    <c:v>Washington</c:v>
                  </c:pt>
                  <c:pt idx="287">
                    <c:v>Oregon</c:v>
                  </c:pt>
                  <c:pt idx="288">
                    <c:v>California</c:v>
                  </c:pt>
                </c:lvl>
                <c:lvl>
                  <c:pt idx="0">
                    <c:v>Mesa</c:v>
                  </c:pt>
                  <c:pt idx="1">
                    <c:v>Omaha</c:v>
                  </c:pt>
                  <c:pt idx="2">
                    <c:v>Concord</c:v>
                  </c:pt>
                  <c:pt idx="3">
                    <c:v>Houston</c:v>
                  </c:pt>
                  <c:pt idx="4">
                    <c:v>Los Angeles</c:v>
                  </c:pt>
                  <c:pt idx="5">
                    <c:v>Toledo</c:v>
                  </c:pt>
                  <c:pt idx="6">
                    <c:v>Louisville</c:v>
                  </c:pt>
                  <c:pt idx="7">
                    <c:v>West Jordan</c:v>
                  </c:pt>
                  <c:pt idx="8">
                    <c:v>Cincinnati</c:v>
                  </c:pt>
                  <c:pt idx="9">
                    <c:v>Houston</c:v>
                  </c:pt>
                  <c:pt idx="10">
                    <c:v>Eau Claire</c:v>
                  </c:pt>
                  <c:pt idx="11">
                    <c:v>Tucson</c:v>
                  </c:pt>
                  <c:pt idx="12">
                    <c:v>Brentwood</c:v>
                  </c:pt>
                  <c:pt idx="13">
                    <c:v>Louisville</c:v>
                  </c:pt>
                  <c:pt idx="14">
                    <c:v>Detroit</c:v>
                  </c:pt>
                  <c:pt idx="15">
                    <c:v>Wilmington</c:v>
                  </c:pt>
                  <c:pt idx="16">
                    <c:v>Rochester</c:v>
                  </c:pt>
                  <c:pt idx="17">
                    <c:v>Palm Coast</c:v>
                  </c:pt>
                  <c:pt idx="18">
                    <c:v>Los Angeles</c:v>
                  </c:pt>
                  <c:pt idx="19">
                    <c:v>Philadelphia</c:v>
                  </c:pt>
                  <c:pt idx="20">
                    <c:v>Tampa</c:v>
                  </c:pt>
                  <c:pt idx="21">
                    <c:v>Chicago</c:v>
                  </c:pt>
                  <c:pt idx="22">
                    <c:v>Seattle</c:v>
                  </c:pt>
                  <c:pt idx="23">
                    <c:v>San Francisco</c:v>
                  </c:pt>
                  <c:pt idx="24">
                    <c:v>Green Bay</c:v>
                  </c:pt>
                  <c:pt idx="25">
                    <c:v>Lawrence</c:v>
                  </c:pt>
                  <c:pt idx="26">
                    <c:v>Miami</c:v>
                  </c:pt>
                  <c:pt idx="27">
                    <c:v>Richmond</c:v>
                  </c:pt>
                  <c:pt idx="28">
                    <c:v>Los Angeles</c:v>
                  </c:pt>
                  <c:pt idx="29">
                    <c:v>New York City</c:v>
                  </c:pt>
                  <c:pt idx="30">
                    <c:v>San Antonio</c:v>
                  </c:pt>
                  <c:pt idx="31">
                    <c:v>Buffalo Grove</c:v>
                  </c:pt>
                  <c:pt idx="32">
                    <c:v>Columbus</c:v>
                  </c:pt>
                  <c:pt idx="33">
                    <c:v>Los Angeles</c:v>
                  </c:pt>
                  <c:pt idx="34">
                    <c:v>Denver</c:v>
                  </c:pt>
                  <c:pt idx="35">
                    <c:v>Chicago</c:v>
                  </c:pt>
                  <c:pt idx="36">
                    <c:v>Mesa</c:v>
                  </c:pt>
                  <c:pt idx="37">
                    <c:v>Philadelphia</c:v>
                  </c:pt>
                  <c:pt idx="38">
                    <c:v>Tampa</c:v>
                  </c:pt>
                  <c:pt idx="39">
                    <c:v>Arlington</c:v>
                  </c:pt>
                  <c:pt idx="40">
                    <c:v>Hamilton</c:v>
                  </c:pt>
                  <c:pt idx="41">
                    <c:v>Los Angeles</c:v>
                  </c:pt>
                  <c:pt idx="42">
                    <c:v>San Francisco</c:v>
                  </c:pt>
                  <c:pt idx="43">
                    <c:v>Chicago</c:v>
                  </c:pt>
                  <c:pt idx="44">
                    <c:v>New York City</c:v>
                  </c:pt>
                  <c:pt idx="45">
                    <c:v>Lake Elsinore</c:v>
                  </c:pt>
                  <c:pt idx="46">
                    <c:v>Tyler</c:v>
                  </c:pt>
                  <c:pt idx="47">
                    <c:v>Henderson</c:v>
                  </c:pt>
                  <c:pt idx="48">
                    <c:v>Huntington Beach</c:v>
                  </c:pt>
                  <c:pt idx="49">
                    <c:v>Philadelphia</c:v>
                  </c:pt>
                  <c:pt idx="50">
                    <c:v>Grove City</c:v>
                  </c:pt>
                  <c:pt idx="51">
                    <c:v>Lancaster</c:v>
                  </c:pt>
                  <c:pt idx="52">
                    <c:v>Urbandale</c:v>
                  </c:pt>
                  <c:pt idx="53">
                    <c:v>Atlanta</c:v>
                  </c:pt>
                  <c:pt idx="54">
                    <c:v>San Francisco</c:v>
                  </c:pt>
                  <c:pt idx="55">
                    <c:v>Columbus</c:v>
                  </c:pt>
                  <c:pt idx="56">
                    <c:v>Chicago</c:v>
                  </c:pt>
                  <c:pt idx="57">
                    <c:v>Austin</c:v>
                  </c:pt>
                  <c:pt idx="58">
                    <c:v>Los Angeles</c:v>
                  </c:pt>
                  <c:pt idx="59">
                    <c:v>Chicago</c:v>
                  </c:pt>
                  <c:pt idx="60">
                    <c:v>Lowell</c:v>
                  </c:pt>
                  <c:pt idx="61">
                    <c:v>Seattle</c:v>
                  </c:pt>
                  <c:pt idx="62">
                    <c:v>Houston</c:v>
                  </c:pt>
                  <c:pt idx="63">
                    <c:v>Philadelphia</c:v>
                  </c:pt>
                  <c:pt idx="64">
                    <c:v>Los Angeles</c:v>
                  </c:pt>
                  <c:pt idx="65">
                    <c:v>Cleveland</c:v>
                  </c:pt>
                  <c:pt idx="66">
                    <c:v>Cottage Grove</c:v>
                  </c:pt>
                  <c:pt idx="67">
                    <c:v>New York City</c:v>
                  </c:pt>
                  <c:pt idx="68">
                    <c:v>Henderson</c:v>
                  </c:pt>
                  <c:pt idx="69">
                    <c:v>Seattle</c:v>
                  </c:pt>
                  <c:pt idx="70">
                    <c:v>Springfield</c:v>
                  </c:pt>
                  <c:pt idx="71">
                    <c:v>Cincinnati</c:v>
                  </c:pt>
                  <c:pt idx="72">
                    <c:v>Oceanside</c:v>
                  </c:pt>
                  <c:pt idx="73">
                    <c:v>New York City</c:v>
                  </c:pt>
                  <c:pt idx="74">
                    <c:v>Philadelphia</c:v>
                  </c:pt>
                  <c:pt idx="75">
                    <c:v>San Francisco</c:v>
                  </c:pt>
                  <c:pt idx="76">
                    <c:v>Pembroke Pines</c:v>
                  </c:pt>
                  <c:pt idx="77">
                    <c:v>New Albany</c:v>
                  </c:pt>
                  <c:pt idx="78">
                    <c:v>New York City</c:v>
                  </c:pt>
                  <c:pt idx="79">
                    <c:v>Denver</c:v>
                  </c:pt>
                  <c:pt idx="80">
                    <c:v>New York City</c:v>
                  </c:pt>
                  <c:pt idx="81">
                    <c:v>Orem</c:v>
                  </c:pt>
                  <c:pt idx="82">
                    <c:v>Saint Petersburg</c:v>
                  </c:pt>
                  <c:pt idx="83">
                    <c:v>Oceanside</c:v>
                  </c:pt>
                  <c:pt idx="84">
                    <c:v>Los Angeles</c:v>
                  </c:pt>
                  <c:pt idx="85">
                    <c:v>Philadelphia</c:v>
                  </c:pt>
                  <c:pt idx="86">
                    <c:v>Philadelphia</c:v>
                  </c:pt>
                  <c:pt idx="87">
                    <c:v>New York City</c:v>
                  </c:pt>
                  <c:pt idx="88">
                    <c:v>Chicago</c:v>
                  </c:pt>
                  <c:pt idx="89">
                    <c:v>San Francisco</c:v>
                  </c:pt>
                  <c:pt idx="90">
                    <c:v>Aurora</c:v>
                  </c:pt>
                  <c:pt idx="91">
                    <c:v>Los Angeles</c:v>
                  </c:pt>
                  <c:pt idx="92">
                    <c:v>Charlotte</c:v>
                  </c:pt>
                  <c:pt idx="93">
                    <c:v>Lorain</c:v>
                  </c:pt>
                  <c:pt idx="94">
                    <c:v>Round Rock</c:v>
                  </c:pt>
                  <c:pt idx="95">
                    <c:v>San Francisco</c:v>
                  </c:pt>
                  <c:pt idx="96">
                    <c:v>Houston</c:v>
                  </c:pt>
                  <c:pt idx="97">
                    <c:v>Lakeville</c:v>
                  </c:pt>
                  <c:pt idx="98">
                    <c:v>New York City</c:v>
                  </c:pt>
                  <c:pt idx="99">
                    <c:v>Washington</c:v>
                  </c:pt>
                  <c:pt idx="100">
                    <c:v>Harlingen</c:v>
                  </c:pt>
                  <c:pt idx="101">
                    <c:v>Rochester</c:v>
                  </c:pt>
                  <c:pt idx="102">
                    <c:v>San Francisco</c:v>
                  </c:pt>
                  <c:pt idx="104">
                    <c:v>Pasadena</c:v>
                  </c:pt>
                  <c:pt idx="105">
                    <c:v>San Francisco</c:v>
                  </c:pt>
                  <c:pt idx="106">
                    <c:v>Houston</c:v>
                  </c:pt>
                  <c:pt idx="107">
                    <c:v>New York City</c:v>
                  </c:pt>
                  <c:pt idx="108">
                    <c:v>Las Vegas</c:v>
                  </c:pt>
                  <c:pt idx="109">
                    <c:v>Seattle</c:v>
                  </c:pt>
                  <c:pt idx="110">
                    <c:v>Phoenix</c:v>
                  </c:pt>
                  <c:pt idx="111">
                    <c:v>Dublin</c:v>
                  </c:pt>
                  <c:pt idx="112">
                    <c:v>Los Angeles</c:v>
                  </c:pt>
                  <c:pt idx="113">
                    <c:v>San Francisco</c:v>
                  </c:pt>
                  <c:pt idx="114">
                    <c:v>New Rochelle</c:v>
                  </c:pt>
                  <c:pt idx="115">
                    <c:v>Troy</c:v>
                  </c:pt>
                  <c:pt idx="116">
                    <c:v>Florence</c:v>
                  </c:pt>
                  <c:pt idx="117">
                    <c:v>Houston</c:v>
                  </c:pt>
                  <c:pt idx="118">
                    <c:v>Louisville</c:v>
                  </c:pt>
                  <c:pt idx="119">
                    <c:v>Memphis</c:v>
                  </c:pt>
                  <c:pt idx="120">
                    <c:v>Newark</c:v>
                  </c:pt>
                  <c:pt idx="121">
                    <c:v>Austin</c:v>
                  </c:pt>
                  <c:pt idx="122">
                    <c:v>New York City</c:v>
                  </c:pt>
                  <c:pt idx="123">
                    <c:v>Seattle</c:v>
                  </c:pt>
                  <c:pt idx="124">
                    <c:v>Des Moines</c:v>
                  </c:pt>
                  <c:pt idx="125">
                    <c:v>Burlington</c:v>
                  </c:pt>
                  <c:pt idx="126">
                    <c:v>Chicago</c:v>
                  </c:pt>
                  <c:pt idx="127">
                    <c:v>Los Angeles</c:v>
                  </c:pt>
                  <c:pt idx="128">
                    <c:v>Saginaw</c:v>
                  </c:pt>
                  <c:pt idx="129">
                    <c:v>Seattle</c:v>
                  </c:pt>
                  <c:pt idx="130">
                    <c:v>Los Angeles</c:v>
                  </c:pt>
                  <c:pt idx="131">
                    <c:v>Long Beach</c:v>
                  </c:pt>
                  <c:pt idx="132">
                    <c:v>Asheville</c:v>
                  </c:pt>
                  <c:pt idx="133">
                    <c:v>Jacksonville</c:v>
                  </c:pt>
                  <c:pt idx="134">
                    <c:v>Houston</c:v>
                  </c:pt>
                  <c:pt idx="135">
                    <c:v>New York City</c:v>
                  </c:pt>
                  <c:pt idx="136">
                    <c:v>Mission Viejo</c:v>
                  </c:pt>
                  <c:pt idx="137">
                    <c:v>Philadelphia</c:v>
                  </c:pt>
                  <c:pt idx="138">
                    <c:v>Seattle</c:v>
                  </c:pt>
                  <c:pt idx="139">
                    <c:v>Charlotte</c:v>
                  </c:pt>
                  <c:pt idx="140">
                    <c:v>Philadelphia</c:v>
                  </c:pt>
                  <c:pt idx="141">
                    <c:v>Los Angeles</c:v>
                  </c:pt>
                  <c:pt idx="142">
                    <c:v>San Francisco</c:v>
                  </c:pt>
                  <c:pt idx="143">
                    <c:v>Seattle</c:v>
                  </c:pt>
                  <c:pt idx="144">
                    <c:v>Minneapolis</c:v>
                  </c:pt>
                  <c:pt idx="145">
                    <c:v>Newark</c:v>
                  </c:pt>
                  <c:pt idx="146">
                    <c:v>San Diego</c:v>
                  </c:pt>
                  <c:pt idx="147">
                    <c:v>Springfield</c:v>
                  </c:pt>
                  <c:pt idx="148">
                    <c:v>San Francisco</c:v>
                  </c:pt>
                  <c:pt idx="149">
                    <c:v>Philadelphia</c:v>
                  </c:pt>
                  <c:pt idx="150">
                    <c:v>San Francisco</c:v>
                  </c:pt>
                  <c:pt idx="151">
                    <c:v>Chicago</c:v>
                  </c:pt>
                  <c:pt idx="152">
                    <c:v>Layton</c:v>
                  </c:pt>
                  <c:pt idx="153">
                    <c:v>Philadelphia</c:v>
                  </c:pt>
                  <c:pt idx="154">
                    <c:v>Avondale</c:v>
                  </c:pt>
                  <c:pt idx="155">
                    <c:v>Los Angeles</c:v>
                  </c:pt>
                  <c:pt idx="156">
                    <c:v>New York City</c:v>
                  </c:pt>
                  <c:pt idx="157">
                    <c:v>Aurora</c:v>
                  </c:pt>
                  <c:pt idx="158">
                    <c:v>Roseville</c:v>
                  </c:pt>
                  <c:pt idx="159">
                    <c:v>Dallas</c:v>
                  </c:pt>
                  <c:pt idx="160">
                    <c:v>Los Angeles</c:v>
                  </c:pt>
                  <c:pt idx="161">
                    <c:v>San Francisco</c:v>
                  </c:pt>
                  <c:pt idx="162">
                    <c:v>Arlington</c:v>
                  </c:pt>
                  <c:pt idx="163">
                    <c:v>Whittier</c:v>
                  </c:pt>
                  <c:pt idx="164">
                    <c:v>Miami</c:v>
                  </c:pt>
                  <c:pt idx="165">
                    <c:v>Newark</c:v>
                  </c:pt>
                  <c:pt idx="166">
                    <c:v>Dover</c:v>
                  </c:pt>
                  <c:pt idx="167">
                    <c:v>Columbus</c:v>
                  </c:pt>
                  <c:pt idx="168">
                    <c:v>Tyler</c:v>
                  </c:pt>
                  <c:pt idx="169">
                    <c:v>Los Angeles</c:v>
                  </c:pt>
                  <c:pt idx="170">
                    <c:v>San Francisco</c:v>
                  </c:pt>
                  <c:pt idx="171">
                    <c:v>Rochester</c:v>
                  </c:pt>
                  <c:pt idx="172">
                    <c:v>Springfield</c:v>
                  </c:pt>
                  <c:pt idx="173">
                    <c:v>San Francisco</c:v>
                  </c:pt>
                  <c:pt idx="174">
                    <c:v>San Diego</c:v>
                  </c:pt>
                  <c:pt idx="175">
                    <c:v>Gladstone</c:v>
                  </c:pt>
                  <c:pt idx="176">
                    <c:v>Lancaster</c:v>
                  </c:pt>
                  <c:pt idx="177">
                    <c:v>Akron</c:v>
                  </c:pt>
                  <c:pt idx="178">
                    <c:v>Jackson</c:v>
                  </c:pt>
                  <c:pt idx="179">
                    <c:v>Fayetteville</c:v>
                  </c:pt>
                  <c:pt idx="180">
                    <c:v>Aurora</c:v>
                  </c:pt>
                  <c:pt idx="181">
                    <c:v>Chicago</c:v>
                  </c:pt>
                  <c:pt idx="182">
                    <c:v>Philadelphia</c:v>
                  </c:pt>
                  <c:pt idx="183">
                    <c:v>Seattle</c:v>
                  </c:pt>
                  <c:pt idx="184">
                    <c:v>Jacksonville</c:v>
                  </c:pt>
                  <c:pt idx="185">
                    <c:v>New York City</c:v>
                  </c:pt>
                  <c:pt idx="186">
                    <c:v>Boca Raton</c:v>
                  </c:pt>
                  <c:pt idx="187">
                    <c:v>Detroit</c:v>
                  </c:pt>
                  <c:pt idx="188">
                    <c:v>Laredo</c:v>
                  </c:pt>
                  <c:pt idx="189">
                    <c:v>Los Angeles</c:v>
                  </c:pt>
                  <c:pt idx="190">
                    <c:v>Scottsdale</c:v>
                  </c:pt>
                  <c:pt idx="191">
                    <c:v>New York City</c:v>
                  </c:pt>
                  <c:pt idx="192">
                    <c:v>Decatur</c:v>
                  </c:pt>
                  <c:pt idx="193">
                    <c:v>Jackson</c:v>
                  </c:pt>
                  <c:pt idx="194">
                    <c:v>Cincinnati</c:v>
                  </c:pt>
                  <c:pt idx="195">
                    <c:v>Waynesboro</c:v>
                  </c:pt>
                  <c:pt idx="196">
                    <c:v>Edmond</c:v>
                  </c:pt>
                  <c:pt idx="197">
                    <c:v>Philadelphia</c:v>
                  </c:pt>
                  <c:pt idx="198">
                    <c:v>Los Angeles</c:v>
                  </c:pt>
                  <c:pt idx="199">
                    <c:v>San Diego</c:v>
                  </c:pt>
                  <c:pt idx="200">
                    <c:v>Evanston</c:v>
                  </c:pt>
                  <c:pt idx="201">
                    <c:v>Los Angeles</c:v>
                  </c:pt>
                  <c:pt idx="202">
                    <c:v>Philadelphia</c:v>
                  </c:pt>
                  <c:pt idx="203">
                    <c:v>Bloomington</c:v>
                  </c:pt>
                  <c:pt idx="204">
                    <c:v>Olympia</c:v>
                  </c:pt>
                  <c:pt idx="205">
                    <c:v>San Francisco</c:v>
                  </c:pt>
                  <c:pt idx="206">
                    <c:v>Fort Worth</c:v>
                  </c:pt>
                  <c:pt idx="207">
                    <c:v>Morristown</c:v>
                  </c:pt>
                  <c:pt idx="208">
                    <c:v>Rochester</c:v>
                  </c:pt>
                  <c:pt idx="209">
                    <c:v>Santa Ana</c:v>
                  </c:pt>
                  <c:pt idx="210">
                    <c:v>Detroit</c:v>
                  </c:pt>
                  <c:pt idx="211">
                    <c:v>Madison</c:v>
                  </c:pt>
                  <c:pt idx="212">
                    <c:v>Burlington</c:v>
                  </c:pt>
                  <c:pt idx="213">
                    <c:v>Philadelphia</c:v>
                  </c:pt>
                  <c:pt idx="214">
                    <c:v>Columbia</c:v>
                  </c:pt>
                  <c:pt idx="215">
                    <c:v>New York City</c:v>
                  </c:pt>
                  <c:pt idx="216">
                    <c:v>Westland</c:v>
                  </c:pt>
                  <c:pt idx="217">
                    <c:v>San Francisco</c:v>
                  </c:pt>
                  <c:pt idx="218">
                    <c:v>New York City</c:v>
                  </c:pt>
                  <c:pt idx="219">
                    <c:v>Denver</c:v>
                  </c:pt>
                  <c:pt idx="220">
                    <c:v>Houston</c:v>
                  </c:pt>
                  <c:pt idx="221">
                    <c:v>Murrieta</c:v>
                  </c:pt>
                  <c:pt idx="222">
                    <c:v>Auburn</c:v>
                  </c:pt>
                  <c:pt idx="223">
                    <c:v>Columbus</c:v>
                  </c:pt>
                  <c:pt idx="224">
                    <c:v>Alexandria</c:v>
                  </c:pt>
                  <c:pt idx="225">
                    <c:v>Chicago</c:v>
                  </c:pt>
                  <c:pt idx="226">
                    <c:v>Louisville</c:v>
                  </c:pt>
                  <c:pt idx="227">
                    <c:v>Columbus</c:v>
                  </c:pt>
                  <c:pt idx="228">
                    <c:v>Jacksonville</c:v>
                  </c:pt>
                  <c:pt idx="229">
                    <c:v>Las Vegas</c:v>
                  </c:pt>
                  <c:pt idx="230">
                    <c:v>Henderson</c:v>
                  </c:pt>
                  <c:pt idx="231">
                    <c:v>Carlsbad</c:v>
                  </c:pt>
                  <c:pt idx="232">
                    <c:v>San Jose</c:v>
                  </c:pt>
                  <c:pt idx="233">
                    <c:v>Trenton</c:v>
                  </c:pt>
                  <c:pt idx="234">
                    <c:v>New York City</c:v>
                  </c:pt>
                  <c:pt idx="235">
                    <c:v>New York City</c:v>
                  </c:pt>
                  <c:pt idx="236">
                    <c:v>Rochester</c:v>
                  </c:pt>
                  <c:pt idx="237">
                    <c:v>Philadelphia</c:v>
                  </c:pt>
                  <c:pt idx="238">
                    <c:v>Montgomery</c:v>
                  </c:pt>
                  <c:pt idx="239">
                    <c:v>Memphis</c:v>
                  </c:pt>
                  <c:pt idx="240">
                    <c:v>Cleveland</c:v>
                  </c:pt>
                  <c:pt idx="241">
                    <c:v>Wilmington</c:v>
                  </c:pt>
                  <c:pt idx="242">
                    <c:v>Chicago</c:v>
                  </c:pt>
                  <c:pt idx="243">
                    <c:v>Richmond</c:v>
                  </c:pt>
                  <c:pt idx="244">
                    <c:v>Concord</c:v>
                  </c:pt>
                  <c:pt idx="245">
                    <c:v>Costa Mesa</c:v>
                  </c:pt>
                  <c:pt idx="246">
                    <c:v>Rochester Hills</c:v>
                  </c:pt>
                  <c:pt idx="247">
                    <c:v>Houston</c:v>
                  </c:pt>
                  <c:pt idx="248">
                    <c:v>Wilmington</c:v>
                  </c:pt>
                  <c:pt idx="249">
                    <c:v>New York City</c:v>
                  </c:pt>
                  <c:pt idx="250">
                    <c:v>Philadelphia</c:v>
                  </c:pt>
                  <c:pt idx="251">
                    <c:v>Marysville</c:v>
                  </c:pt>
                  <c:pt idx="252">
                    <c:v>Independence</c:v>
                  </c:pt>
                  <c:pt idx="253">
                    <c:v>Arlington</c:v>
                  </c:pt>
                  <c:pt idx="254">
                    <c:v>Houston</c:v>
                  </c:pt>
                  <c:pt idx="255">
                    <c:v>Fairfield</c:v>
                  </c:pt>
                  <c:pt idx="256">
                    <c:v>New York City</c:v>
                  </c:pt>
                  <c:pt idx="257">
                    <c:v>Fort Lauderdale</c:v>
                  </c:pt>
                  <c:pt idx="258">
                    <c:v>Seattle</c:v>
                  </c:pt>
                  <c:pt idx="259">
                    <c:v>Dallas</c:v>
                  </c:pt>
                  <c:pt idx="260">
                    <c:v>Dover</c:v>
                  </c:pt>
                  <c:pt idx="261">
                    <c:v>Bloomington</c:v>
                  </c:pt>
                  <c:pt idx="262">
                    <c:v>Jackson</c:v>
                  </c:pt>
                  <c:pt idx="263">
                    <c:v>Troy</c:v>
                  </c:pt>
                  <c:pt idx="264">
                    <c:v>Concord</c:v>
                  </c:pt>
                  <c:pt idx="265">
                    <c:v>Jackson</c:v>
                  </c:pt>
                  <c:pt idx="266">
                    <c:v>Philadelphia</c:v>
                  </c:pt>
                  <c:pt idx="267">
                    <c:v>Portland</c:v>
                  </c:pt>
                  <c:pt idx="268">
                    <c:v>Columbus</c:v>
                  </c:pt>
                  <c:pt idx="269">
                    <c:v>Garland</c:v>
                  </c:pt>
                  <c:pt idx="270">
                    <c:v>Lowell</c:v>
                  </c:pt>
                  <c:pt idx="271">
                    <c:v>Portland</c:v>
                  </c:pt>
                  <c:pt idx="272">
                    <c:v>Quincy</c:v>
                  </c:pt>
                  <c:pt idx="273">
                    <c:v>Long Beach</c:v>
                  </c:pt>
                  <c:pt idx="274">
                    <c:v>Naperville</c:v>
                  </c:pt>
                  <c:pt idx="275">
                    <c:v>Philadelphia</c:v>
                  </c:pt>
                  <c:pt idx="276">
                    <c:v>Belleville</c:v>
                  </c:pt>
                  <c:pt idx="277">
                    <c:v>Houston</c:v>
                  </c:pt>
                  <c:pt idx="278">
                    <c:v>New York City</c:v>
                  </c:pt>
                  <c:pt idx="279">
                    <c:v>Phoenix</c:v>
                  </c:pt>
                  <c:pt idx="280">
                    <c:v>Los Angeles</c:v>
                  </c:pt>
                  <c:pt idx="281">
                    <c:v>Louisville</c:v>
                  </c:pt>
                  <c:pt idx="282">
                    <c:v>Columbia</c:v>
                  </c:pt>
                  <c:pt idx="283">
                    <c:v>Jackson</c:v>
                  </c:pt>
                  <c:pt idx="284">
                    <c:v>San Diego</c:v>
                  </c:pt>
                  <c:pt idx="285">
                    <c:v>San Diego</c:v>
                  </c:pt>
                  <c:pt idx="286">
                    <c:v>Edmonds</c:v>
                  </c:pt>
                  <c:pt idx="287">
                    <c:v>Salem</c:v>
                  </c:pt>
                  <c:pt idx="288">
                    <c:v>San Francisco</c:v>
                  </c:pt>
                </c:lvl>
                <c:lvl>
                  <c:pt idx="0">
                    <c:v>Allen Armold</c:v>
                  </c:pt>
                  <c:pt idx="2">
                    <c:v>Andrew Allen</c:v>
                  </c:pt>
                  <c:pt idx="3">
                    <c:v>Adrian Barton</c:v>
                  </c:pt>
                  <c:pt idx="4">
                    <c:v>Alan Barnes</c:v>
                  </c:pt>
                  <c:pt idx="6">
                    <c:v>Art Foster</c:v>
                  </c:pt>
                  <c:pt idx="7">
                    <c:v>Alejandro Grove</c:v>
                  </c:pt>
                  <c:pt idx="8">
                    <c:v>Allen Goldenen</c:v>
                  </c:pt>
                  <c:pt idx="9">
                    <c:v>Anna Gayman</c:v>
                  </c:pt>
                  <c:pt idx="10">
                    <c:v>Arthur Gainer</c:v>
                  </c:pt>
                  <c:pt idx="12">
                    <c:v>Alan Hwang</c:v>
                  </c:pt>
                  <c:pt idx="14">
                    <c:v>Ashley Jarboe</c:v>
                  </c:pt>
                  <c:pt idx="16">
                    <c:v>Astrea Jones</c:v>
                  </c:pt>
                  <c:pt idx="17">
                    <c:v>Arthur Prichep</c:v>
                  </c:pt>
                  <c:pt idx="18">
                    <c:v>Andrew Roberts</c:v>
                  </c:pt>
                  <c:pt idx="20">
                    <c:v>Alan Shonely</c:v>
                  </c:pt>
                  <c:pt idx="21">
                    <c:v>Annie Thurman</c:v>
                  </c:pt>
                  <c:pt idx="23">
                    <c:v>Bill Donatelli</c:v>
                  </c:pt>
                  <c:pt idx="24">
                    <c:v>Bradley Drucker</c:v>
                  </c:pt>
                  <c:pt idx="25">
                    <c:v>Brian Dahlen</c:v>
                  </c:pt>
                  <c:pt idx="27">
                    <c:v>Bruce Degenhardt</c:v>
                  </c:pt>
                  <c:pt idx="28">
                    <c:v>Brosina Hoffman</c:v>
                  </c:pt>
                  <c:pt idx="29">
                    <c:v>Berenike Kampe</c:v>
                  </c:pt>
                  <c:pt idx="30">
                    <c:v>Becky Martin</c:v>
                  </c:pt>
                  <c:pt idx="31">
                    <c:v>Bryan Mills</c:v>
                  </c:pt>
                  <c:pt idx="33">
                    <c:v>Bradley Nguyen</c:v>
                  </c:pt>
                  <c:pt idx="34">
                    <c:v>Bruce Stewart</c:v>
                  </c:pt>
                  <c:pt idx="35">
                    <c:v>Christina Anderson</c:v>
                  </c:pt>
                  <c:pt idx="36">
                    <c:v>Cynthia Arntzen</c:v>
                  </c:pt>
                  <c:pt idx="39">
                    <c:v>Cassandra Brandow</c:v>
                  </c:pt>
                  <c:pt idx="41">
                    <c:v>Charles Crestani</c:v>
                  </c:pt>
                  <c:pt idx="42">
                    <c:v>Clay Cheatham</c:v>
                  </c:pt>
                  <c:pt idx="43">
                    <c:v>Craig Carreira</c:v>
                  </c:pt>
                  <c:pt idx="45">
                    <c:v>Carlos Daly</c:v>
                  </c:pt>
                  <c:pt idx="46">
                    <c:v>Carol Darley</c:v>
                  </c:pt>
                  <c:pt idx="47">
                    <c:v>Claire Gute</c:v>
                  </c:pt>
                  <c:pt idx="48">
                    <c:v>Caroline Jumper</c:v>
                  </c:pt>
                  <c:pt idx="49">
                    <c:v>Chloris Kastensmidt</c:v>
                  </c:pt>
                  <c:pt idx="50">
                    <c:v>Clytie Kelty</c:v>
                  </c:pt>
                  <c:pt idx="51">
                    <c:v>Clay Ludtke</c:v>
                  </c:pt>
                  <c:pt idx="53">
                    <c:v>Christopher Martinez</c:v>
                  </c:pt>
                  <c:pt idx="54">
                    <c:v>Chuck Magee</c:v>
                  </c:pt>
                  <c:pt idx="55">
                    <c:v>Craig Reiter</c:v>
                  </c:pt>
                  <c:pt idx="56">
                    <c:v>Carlos Soltero</c:v>
                  </c:pt>
                  <c:pt idx="57">
                    <c:v>Chad Sievert</c:v>
                  </c:pt>
                  <c:pt idx="59">
                    <c:v>Dave Brooks</c:v>
                  </c:pt>
                  <c:pt idx="62">
                    <c:v>Dean Braden</c:v>
                  </c:pt>
                  <c:pt idx="64">
                    <c:v>Doug Bickford</c:v>
                  </c:pt>
                  <c:pt idx="65">
                    <c:v>Dan Campbell</c:v>
                  </c:pt>
                  <c:pt idx="66">
                    <c:v>Debra Catini</c:v>
                  </c:pt>
                  <c:pt idx="67">
                    <c:v>Doug Jacobs</c:v>
                  </c:pt>
                  <c:pt idx="68">
                    <c:v>Darren Koutras</c:v>
                  </c:pt>
                  <c:pt idx="69">
                    <c:v>Dave Kipp</c:v>
                  </c:pt>
                  <c:pt idx="71">
                    <c:v>Dan Lawera</c:v>
                  </c:pt>
                  <c:pt idx="72">
                    <c:v>Daniel Lacy</c:v>
                  </c:pt>
                  <c:pt idx="73">
                    <c:v>Delfina Latchford</c:v>
                  </c:pt>
                  <c:pt idx="75">
                    <c:v>Duane Noonan</c:v>
                  </c:pt>
                  <c:pt idx="76">
                    <c:v>Denny Ordway</c:v>
                  </c:pt>
                  <c:pt idx="77">
                    <c:v>Darren Powers</c:v>
                  </c:pt>
                  <c:pt idx="78">
                    <c:v>David Philippe</c:v>
                  </c:pt>
                  <c:pt idx="79">
                    <c:v>Dianna Vittorini</c:v>
                  </c:pt>
                  <c:pt idx="80">
                    <c:v>Emily Burns</c:v>
                  </c:pt>
                  <c:pt idx="82">
                    <c:v>Eric Barreto</c:v>
                  </c:pt>
                  <c:pt idx="83">
                    <c:v>Emily Grady</c:v>
                  </c:pt>
                  <c:pt idx="84">
                    <c:v>Eric Hoffmann</c:v>
                  </c:pt>
                  <c:pt idx="86">
                    <c:v>Eric Murdock</c:v>
                  </c:pt>
                  <c:pt idx="87">
                    <c:v>Erin Mull</c:v>
                  </c:pt>
                  <c:pt idx="88">
                    <c:v>Emily Phan</c:v>
                  </c:pt>
                  <c:pt idx="89">
                    <c:v>Erica Smith</c:v>
                  </c:pt>
                  <c:pt idx="90">
                    <c:v>Fred McMath</c:v>
                  </c:pt>
                  <c:pt idx="91">
                    <c:v>Frank Preis</c:v>
                  </c:pt>
                  <c:pt idx="92">
                    <c:v>Guy Armstrong</c:v>
                  </c:pt>
                  <c:pt idx="94">
                    <c:v>Greg Hansen</c:v>
                  </c:pt>
                  <c:pt idx="95">
                    <c:v>Gary McGarr</c:v>
                  </c:pt>
                  <c:pt idx="96">
                    <c:v>Greg Tran</c:v>
                  </c:pt>
                  <c:pt idx="100">
                    <c:v>Guy Thornton</c:v>
                  </c:pt>
                  <c:pt idx="101">
                    <c:v>Gary Zandusky</c:v>
                  </c:pt>
                  <c:pt idx="104">
                    <c:v>Helen Andreada</c:v>
                  </c:pt>
                  <c:pt idx="106">
                    <c:v>Hunter Lopez</c:v>
                  </c:pt>
                  <c:pt idx="107">
                    <c:v>Henry MacAllister</c:v>
                  </c:pt>
                  <c:pt idx="108">
                    <c:v>Ionia McGrath</c:v>
                  </c:pt>
                  <c:pt idx="109">
                    <c:v>Irene Maddox</c:v>
                  </c:pt>
                  <c:pt idx="110">
                    <c:v>Joseph Airdo</c:v>
                  </c:pt>
                  <c:pt idx="111">
                    <c:v>Joni Blumstein</c:v>
                  </c:pt>
                  <c:pt idx="112">
                    <c:v>Jasper Cacioppo</c:v>
                  </c:pt>
                  <c:pt idx="113">
                    <c:v>Julia Dunbar</c:v>
                  </c:pt>
                  <c:pt idx="114">
                    <c:v>Jeremy Ellison</c:v>
                  </c:pt>
                  <c:pt idx="116">
                    <c:v>Joel Eaton</c:v>
                  </c:pt>
                  <c:pt idx="121">
                    <c:v>Jay Fein</c:v>
                  </c:pt>
                  <c:pt idx="122">
                    <c:v>Jennifer Ferguson</c:v>
                  </c:pt>
                  <c:pt idx="123">
                    <c:v>Jeremy Farry</c:v>
                  </c:pt>
                  <c:pt idx="124">
                    <c:v>Jack Garza</c:v>
                  </c:pt>
                  <c:pt idx="125">
                    <c:v>Jennifer Halladay</c:v>
                  </c:pt>
                  <c:pt idx="126">
                    <c:v>Jonathan Howell</c:v>
                  </c:pt>
                  <c:pt idx="128">
                    <c:v>Joseph Holt</c:v>
                  </c:pt>
                  <c:pt idx="130">
                    <c:v>Jennifer Jackson</c:v>
                  </c:pt>
                  <c:pt idx="131">
                    <c:v>Jay Kimmel</c:v>
                  </c:pt>
                  <c:pt idx="132">
                    <c:v>Joe Kamberova</c:v>
                  </c:pt>
                  <c:pt idx="134">
                    <c:v>Jeremy Lonsdale</c:v>
                  </c:pt>
                  <c:pt idx="136">
                    <c:v>John Lee</c:v>
                  </c:pt>
                  <c:pt idx="137">
                    <c:v>John Lucas</c:v>
                  </c:pt>
                  <c:pt idx="139">
                    <c:v>Janet Martin</c:v>
                  </c:pt>
                  <c:pt idx="140">
                    <c:v>Jessica Myrick</c:v>
                  </c:pt>
                  <c:pt idx="141">
                    <c:v>Jas O'Carroll</c:v>
                  </c:pt>
                  <c:pt idx="142">
                    <c:v>Jeremy Pistek</c:v>
                  </c:pt>
                  <c:pt idx="143">
                    <c:v>John Stevenson</c:v>
                  </c:pt>
                  <c:pt idx="144">
                    <c:v>Karl Braun</c:v>
                  </c:pt>
                  <c:pt idx="145">
                    <c:v>Kelly Collister</c:v>
                  </c:pt>
                  <c:pt idx="147">
                    <c:v>Karen Daniels</c:v>
                  </c:pt>
                  <c:pt idx="148">
                    <c:v>Katherine Ducich</c:v>
                  </c:pt>
                  <c:pt idx="149">
                    <c:v>Katherine Hughes</c:v>
                  </c:pt>
                  <c:pt idx="150">
                    <c:v>Keith Herrera</c:v>
                  </c:pt>
                  <c:pt idx="151">
                    <c:v>Ken Lonsdale</c:v>
                  </c:pt>
                  <c:pt idx="153">
                    <c:v>Khloe Miller</c:v>
                  </c:pt>
                  <c:pt idx="154">
                    <c:v>Kunst Miller</c:v>
                  </c:pt>
                  <c:pt idx="156">
                    <c:v>Katrina Willman</c:v>
                  </c:pt>
                  <c:pt idx="157">
                    <c:v>Lena Cacioppo</c:v>
                  </c:pt>
                  <c:pt idx="158">
                    <c:v>Lena Creighton</c:v>
                  </c:pt>
                  <c:pt idx="159">
                    <c:v>Logan Currie</c:v>
                  </c:pt>
                  <c:pt idx="162">
                    <c:v>Laurel Elliston</c:v>
                  </c:pt>
                  <c:pt idx="164">
                    <c:v>Luke Foster</c:v>
                  </c:pt>
                  <c:pt idx="166">
                    <c:v>Lena Hernandez</c:v>
                  </c:pt>
                  <c:pt idx="167">
                    <c:v>Lisa Hazard</c:v>
                  </c:pt>
                  <c:pt idx="169">
                    <c:v>Logan Haushalter</c:v>
                  </c:pt>
                  <c:pt idx="171">
                    <c:v>Lauren Leatherbury</c:v>
                  </c:pt>
                  <c:pt idx="172">
                    <c:v>Liz MacKendrick</c:v>
                  </c:pt>
                  <c:pt idx="173">
                    <c:v>Liz Pelletier</c:v>
                  </c:pt>
                  <c:pt idx="174">
                    <c:v>Lena Radford</c:v>
                  </c:pt>
                  <c:pt idx="175">
                    <c:v>Lynn Smith</c:v>
                  </c:pt>
                  <c:pt idx="176">
                    <c:v>Liz Thompson</c:v>
                  </c:pt>
                  <c:pt idx="177">
                    <c:v>Maria Bertelson</c:v>
                  </c:pt>
                  <c:pt idx="178">
                    <c:v>Michael Chen</c:v>
                  </c:pt>
                  <c:pt idx="179">
                    <c:v>Maribeth Dona</c:v>
                  </c:pt>
                  <c:pt idx="180">
                    <c:v>Max Engle</c:v>
                  </c:pt>
                  <c:pt idx="181">
                    <c:v>Maureen Gnade</c:v>
                  </c:pt>
                  <c:pt idx="182">
                    <c:v>Mike Gockenbach</c:v>
                  </c:pt>
                  <c:pt idx="183">
                    <c:v>Max Jones</c:v>
                  </c:pt>
                  <c:pt idx="184">
                    <c:v>Mike Kennedy</c:v>
                  </c:pt>
                  <c:pt idx="185">
                    <c:v>Mary O'Rourke</c:v>
                  </c:pt>
                  <c:pt idx="186">
                    <c:v>Maribeth Schnelling</c:v>
                  </c:pt>
                  <c:pt idx="188">
                    <c:v>Melanie Seite</c:v>
                  </c:pt>
                  <c:pt idx="190">
                    <c:v>Meg Tillman</c:v>
                  </c:pt>
                  <c:pt idx="191">
                    <c:v>Mike Vittorini</c:v>
                  </c:pt>
                  <c:pt idx="192">
                    <c:v>Natalie Fritzler</c:v>
                  </c:pt>
                  <c:pt idx="194">
                    <c:v>Nathan Gelder</c:v>
                  </c:pt>
                  <c:pt idx="195">
                    <c:v>Naresj Patel</c:v>
                  </c:pt>
                  <c:pt idx="196">
                    <c:v>Nora Paige</c:v>
                  </c:pt>
                  <c:pt idx="197">
                    <c:v>Neola Schneider</c:v>
                  </c:pt>
                  <c:pt idx="198">
                    <c:v>Olvera Toch</c:v>
                  </c:pt>
                  <c:pt idx="200">
                    <c:v>Peter Bhler</c:v>
                  </c:pt>
                  <c:pt idx="201">
                    <c:v>Philip Brown</c:v>
                  </c:pt>
                  <c:pt idx="203">
                    <c:v>Philip Fox</c:v>
                  </c:pt>
                  <c:pt idx="205">
                    <c:v>Patrick Gardner</c:v>
                  </c:pt>
                  <c:pt idx="206">
                    <c:v>Paul Gonzalez</c:v>
                  </c:pt>
                  <c:pt idx="209">
                    <c:v>Pauline Johnson</c:v>
                  </c:pt>
                  <c:pt idx="210">
                    <c:v>Pete Kriz</c:v>
                  </c:pt>
                  <c:pt idx="212">
                    <c:v>Patrick O'Brill</c:v>
                  </c:pt>
                  <c:pt idx="214">
                    <c:v>Patrick O'Donnell</c:v>
                  </c:pt>
                  <c:pt idx="217">
                    <c:v>Patrick Ryan</c:v>
                  </c:pt>
                  <c:pt idx="218">
                    <c:v>Ralph Arnett</c:v>
                  </c:pt>
                  <c:pt idx="219">
                    <c:v>Russell Applegate</c:v>
                  </c:pt>
                  <c:pt idx="221">
                    <c:v>Ryan Akin</c:v>
                  </c:pt>
                  <c:pt idx="222">
                    <c:v>Raymond Buch</c:v>
                  </c:pt>
                  <c:pt idx="223">
                    <c:v>Rob Beeghly</c:v>
                  </c:pt>
                  <c:pt idx="224">
                    <c:v>Roy Collins</c:v>
                  </c:pt>
                  <c:pt idx="227">
                    <c:v>Ryan Crowe</c:v>
                  </c:pt>
                  <c:pt idx="229">
                    <c:v>Rick Duston</c:v>
                  </c:pt>
                  <c:pt idx="230">
                    <c:v>Rob Dowd</c:v>
                  </c:pt>
                  <c:pt idx="231">
                    <c:v>Ruben Dartt</c:v>
                  </c:pt>
                  <c:pt idx="232">
                    <c:v>Roland Fjeld</c:v>
                  </c:pt>
                  <c:pt idx="234">
                    <c:v>Roy Franzsisch</c:v>
                  </c:pt>
                  <c:pt idx="235">
                    <c:v>Rick Hansen</c:v>
                  </c:pt>
                  <c:pt idx="237">
                    <c:v>Ralph Kennedy</c:v>
                  </c:pt>
                  <c:pt idx="238">
                    <c:v>Rob Lucas</c:v>
                  </c:pt>
                  <c:pt idx="239">
                    <c:v>Rose O'Brian</c:v>
                  </c:pt>
                  <c:pt idx="240">
                    <c:v>Resi Plking</c:v>
                  </c:pt>
                  <c:pt idx="241">
                    <c:v>Robert Waldorf</c:v>
                  </c:pt>
                  <c:pt idx="242">
                    <c:v>Sue Ann Reed</c:v>
                  </c:pt>
                  <c:pt idx="244">
                    <c:v>Sanjit Chand</c:v>
                  </c:pt>
                  <c:pt idx="246">
                    <c:v>Sean Christensen</c:v>
                  </c:pt>
                  <c:pt idx="247">
                    <c:v>Steven Cartwright</c:v>
                  </c:pt>
                  <c:pt idx="249">
                    <c:v>Sanjit Engle</c:v>
                  </c:pt>
                  <c:pt idx="250">
                    <c:v>Sandra Flanagan</c:v>
                  </c:pt>
                  <c:pt idx="251">
                    <c:v>Sarah Foster</c:v>
                  </c:pt>
                  <c:pt idx="252">
                    <c:v>Sandra Glassco</c:v>
                  </c:pt>
                  <c:pt idx="253">
                    <c:v>Shahid Hopkins</c:v>
                  </c:pt>
                  <c:pt idx="254">
                    <c:v>Shirley Jackson</c:v>
                  </c:pt>
                  <c:pt idx="255">
                    <c:v>Sally Knutson</c:v>
                  </c:pt>
                  <c:pt idx="256">
                    <c:v>Sally Matthias</c:v>
                  </c:pt>
                  <c:pt idx="257">
                    <c:v>Sean O'Donnell</c:v>
                  </c:pt>
                  <c:pt idx="258">
                    <c:v>Sonia Sunley</c:v>
                  </c:pt>
                  <c:pt idx="259">
                    <c:v>Sung Shariari</c:v>
                  </c:pt>
                  <c:pt idx="260">
                    <c:v>Seth Vernon</c:v>
                  </c:pt>
                  <c:pt idx="261">
                    <c:v>Stewart Visinsky</c:v>
                  </c:pt>
                  <c:pt idx="262">
                    <c:v>Scott Williamson</c:v>
                  </c:pt>
                  <c:pt idx="263">
                    <c:v>Ted Butterfield</c:v>
                  </c:pt>
                  <c:pt idx="264">
                    <c:v>Tracy Blumstein</c:v>
                  </c:pt>
                  <c:pt idx="268">
                    <c:v>Troy Blackwell</c:v>
                  </c:pt>
                  <c:pt idx="269">
                    <c:v>Tamara Dahlen</c:v>
                  </c:pt>
                  <c:pt idx="273">
                    <c:v>Trudy Glocke</c:v>
                  </c:pt>
                  <c:pt idx="274">
                    <c:v>Theone Pippenger</c:v>
                  </c:pt>
                  <c:pt idx="276">
                    <c:v>Toby Ritter</c:v>
                  </c:pt>
                  <c:pt idx="277">
                    <c:v>Toby Swindell</c:v>
                  </c:pt>
                  <c:pt idx="278">
                    <c:v>Troy Staebel</c:v>
                  </c:pt>
                  <c:pt idx="280">
                    <c:v>Ted Trevino</c:v>
                  </c:pt>
                  <c:pt idx="281">
                    <c:v>Tracy Zic</c:v>
                  </c:pt>
                  <c:pt idx="282">
                    <c:v>Valerie Dominguez</c:v>
                  </c:pt>
                  <c:pt idx="284">
                    <c:v>Vivek Gonzalez</c:v>
                  </c:pt>
                  <c:pt idx="285">
                    <c:v>Xylona Preis</c:v>
                  </c:pt>
                  <c:pt idx="286">
                    <c:v>Zuschuss Carroll</c:v>
                  </c:pt>
                  <c:pt idx="288">
                    <c:v>Zuschuss Donatelli</c:v>
                  </c:pt>
                </c:lvl>
                <c:lvl>
                  <c:pt idx="0">
                    <c:v>AA-10375</c:v>
                  </c:pt>
                  <c:pt idx="2">
                    <c:v>AA-10480</c:v>
                  </c:pt>
                  <c:pt idx="3">
                    <c:v>AB-10105</c:v>
                  </c:pt>
                  <c:pt idx="4">
                    <c:v>AB-10165</c:v>
                  </c:pt>
                  <c:pt idx="6">
                    <c:v>AF-10885</c:v>
                  </c:pt>
                  <c:pt idx="7">
                    <c:v>AG-10270</c:v>
                  </c:pt>
                  <c:pt idx="8">
                    <c:v>AG-10390</c:v>
                  </c:pt>
                  <c:pt idx="9">
                    <c:v>AG-10675</c:v>
                  </c:pt>
                  <c:pt idx="10">
                    <c:v>AG-10900</c:v>
                  </c:pt>
                  <c:pt idx="12">
                    <c:v>AH-10210</c:v>
                  </c:pt>
                  <c:pt idx="14">
                    <c:v>AJ-10945</c:v>
                  </c:pt>
                  <c:pt idx="16">
                    <c:v>AJ-10960</c:v>
                  </c:pt>
                  <c:pt idx="17">
                    <c:v>AP-10915</c:v>
                  </c:pt>
                  <c:pt idx="18">
                    <c:v>AR-10510</c:v>
                  </c:pt>
                  <c:pt idx="20">
                    <c:v>AS-10240</c:v>
                  </c:pt>
                  <c:pt idx="21">
                    <c:v>AT-10735</c:v>
                  </c:pt>
                  <c:pt idx="23">
                    <c:v>BD-11320</c:v>
                  </c:pt>
                  <c:pt idx="24">
                    <c:v>BD-11500</c:v>
                  </c:pt>
                  <c:pt idx="25">
                    <c:v>BD-11605</c:v>
                  </c:pt>
                  <c:pt idx="27">
                    <c:v>BD-11725</c:v>
                  </c:pt>
                  <c:pt idx="28">
                    <c:v>BH-11710</c:v>
                  </c:pt>
                  <c:pt idx="29">
                    <c:v>BK-11260</c:v>
                  </c:pt>
                  <c:pt idx="30">
                    <c:v>BM-11140</c:v>
                  </c:pt>
                  <c:pt idx="31">
                    <c:v>BM-11785</c:v>
                  </c:pt>
                  <c:pt idx="33">
                    <c:v>BN-11515</c:v>
                  </c:pt>
                  <c:pt idx="34">
                    <c:v>BS-11755</c:v>
                  </c:pt>
                  <c:pt idx="35">
                    <c:v>CA-12265</c:v>
                  </c:pt>
                  <c:pt idx="36">
                    <c:v>CA-12775</c:v>
                  </c:pt>
                  <c:pt idx="39">
                    <c:v>CB-12025</c:v>
                  </c:pt>
                  <c:pt idx="41">
                    <c:v>CC-12145</c:v>
                  </c:pt>
                  <c:pt idx="42">
                    <c:v>CC-12550</c:v>
                  </c:pt>
                  <c:pt idx="43">
                    <c:v>CC-12670</c:v>
                  </c:pt>
                  <c:pt idx="45">
                    <c:v>CD-11920</c:v>
                  </c:pt>
                  <c:pt idx="46">
                    <c:v>CD-11980</c:v>
                  </c:pt>
                  <c:pt idx="47">
                    <c:v>CG-12520</c:v>
                  </c:pt>
                  <c:pt idx="48">
                    <c:v>CJ-12010</c:v>
                  </c:pt>
                  <c:pt idx="49">
                    <c:v>CK-12205</c:v>
                  </c:pt>
                  <c:pt idx="50">
                    <c:v>CK-12595</c:v>
                  </c:pt>
                  <c:pt idx="51">
                    <c:v>CL-12565</c:v>
                  </c:pt>
                  <c:pt idx="53">
                    <c:v>CM-12385</c:v>
                  </c:pt>
                  <c:pt idx="54">
                    <c:v>CM-12445</c:v>
                  </c:pt>
                  <c:pt idx="55">
                    <c:v>CR-12730</c:v>
                  </c:pt>
                  <c:pt idx="56">
                    <c:v>CS-11950</c:v>
                  </c:pt>
                  <c:pt idx="57">
                    <c:v>CS-12130</c:v>
                  </c:pt>
                  <c:pt idx="59">
                    <c:v>DB-13060</c:v>
                  </c:pt>
                  <c:pt idx="62">
                    <c:v>DB-13210</c:v>
                  </c:pt>
                  <c:pt idx="64">
                    <c:v>DB-13615</c:v>
                  </c:pt>
                  <c:pt idx="65">
                    <c:v>DC-12850</c:v>
                  </c:pt>
                  <c:pt idx="66">
                    <c:v>DC-13285</c:v>
                  </c:pt>
                  <c:pt idx="67">
                    <c:v>DJ-13630</c:v>
                  </c:pt>
                  <c:pt idx="68">
                    <c:v>DK-12985</c:v>
                  </c:pt>
                  <c:pt idx="69">
                    <c:v>DK-13090</c:v>
                  </c:pt>
                  <c:pt idx="71">
                    <c:v>DL-12865</c:v>
                  </c:pt>
                  <c:pt idx="72">
                    <c:v>DL-12925</c:v>
                  </c:pt>
                  <c:pt idx="73">
                    <c:v>DL-13315</c:v>
                  </c:pt>
                  <c:pt idx="75">
                    <c:v>DN-13690</c:v>
                  </c:pt>
                  <c:pt idx="76">
                    <c:v>DO-13435</c:v>
                  </c:pt>
                  <c:pt idx="77">
                    <c:v>DP-13000</c:v>
                  </c:pt>
                  <c:pt idx="78">
                    <c:v>DP-13165</c:v>
                  </c:pt>
                  <c:pt idx="79">
                    <c:v>DV-13465</c:v>
                  </c:pt>
                  <c:pt idx="80">
                    <c:v>EB-13870</c:v>
                  </c:pt>
                  <c:pt idx="82">
                    <c:v>EB-13930</c:v>
                  </c:pt>
                  <c:pt idx="83">
                    <c:v>EG-13900</c:v>
                  </c:pt>
                  <c:pt idx="84">
                    <c:v>EH-13945</c:v>
                  </c:pt>
                  <c:pt idx="86">
                    <c:v>EM-13960</c:v>
                  </c:pt>
                  <c:pt idx="87">
                    <c:v>EM-14065</c:v>
                  </c:pt>
                  <c:pt idx="88">
                    <c:v>EP-13915</c:v>
                  </c:pt>
                  <c:pt idx="89">
                    <c:v>ES-14020</c:v>
                  </c:pt>
                  <c:pt idx="90">
                    <c:v>FM-14380</c:v>
                  </c:pt>
                  <c:pt idx="91">
                    <c:v>FP-14320</c:v>
                  </c:pt>
                  <c:pt idx="92">
                    <c:v>GA-14725</c:v>
                  </c:pt>
                  <c:pt idx="94">
                    <c:v>GH-14665</c:v>
                  </c:pt>
                  <c:pt idx="95">
                    <c:v>GM-14440</c:v>
                  </c:pt>
                  <c:pt idx="96">
                    <c:v>GT-14710</c:v>
                  </c:pt>
                  <c:pt idx="100">
                    <c:v>GT-14755</c:v>
                  </c:pt>
                  <c:pt idx="101">
                    <c:v>GZ-14470</c:v>
                  </c:pt>
                  <c:pt idx="104">
                    <c:v>HA-14920</c:v>
                  </c:pt>
                  <c:pt idx="106">
                    <c:v>HL-15040</c:v>
                  </c:pt>
                  <c:pt idx="107">
                    <c:v>HM-14980</c:v>
                  </c:pt>
                  <c:pt idx="108">
                    <c:v>IM-15055</c:v>
                  </c:pt>
                  <c:pt idx="109">
                    <c:v>IM-15070</c:v>
                  </c:pt>
                  <c:pt idx="110">
                    <c:v>JA-15970</c:v>
                  </c:pt>
                  <c:pt idx="111">
                    <c:v>JB-15925</c:v>
                  </c:pt>
                  <c:pt idx="112">
                    <c:v>JC-15340</c:v>
                  </c:pt>
                  <c:pt idx="113">
                    <c:v>JD-16060</c:v>
                  </c:pt>
                  <c:pt idx="114">
                    <c:v>JE-15475</c:v>
                  </c:pt>
                  <c:pt idx="116">
                    <c:v>JE-15745</c:v>
                  </c:pt>
                  <c:pt idx="121">
                    <c:v>JF-15355</c:v>
                  </c:pt>
                  <c:pt idx="122">
                    <c:v>JF-15415</c:v>
                  </c:pt>
                  <c:pt idx="123">
                    <c:v>JF-15490</c:v>
                  </c:pt>
                  <c:pt idx="124">
                    <c:v>JG-15115</c:v>
                  </c:pt>
                  <c:pt idx="125">
                    <c:v>JH-15430</c:v>
                  </c:pt>
                  <c:pt idx="126">
                    <c:v>JH-15910</c:v>
                  </c:pt>
                  <c:pt idx="128">
                    <c:v>JH-15985</c:v>
                  </c:pt>
                  <c:pt idx="130">
                    <c:v>JJ-15445</c:v>
                  </c:pt>
                  <c:pt idx="131">
                    <c:v>JK-15370</c:v>
                  </c:pt>
                  <c:pt idx="132">
                    <c:v>JK-15730</c:v>
                  </c:pt>
                  <c:pt idx="134">
                    <c:v>JL-15505</c:v>
                  </c:pt>
                  <c:pt idx="136">
                    <c:v>JL-15835</c:v>
                  </c:pt>
                  <c:pt idx="137">
                    <c:v>JL-15850</c:v>
                  </c:pt>
                  <c:pt idx="139">
                    <c:v>JM-15250</c:v>
                  </c:pt>
                  <c:pt idx="140">
                    <c:v>JM-15535</c:v>
                  </c:pt>
                  <c:pt idx="141">
                    <c:v>JO-15280</c:v>
                  </c:pt>
                  <c:pt idx="142">
                    <c:v>JP-15520</c:v>
                  </c:pt>
                  <c:pt idx="143">
                    <c:v>JS-15880</c:v>
                  </c:pt>
                  <c:pt idx="144">
                    <c:v>KB-16315</c:v>
                  </c:pt>
                  <c:pt idx="145">
                    <c:v>KC-16540</c:v>
                  </c:pt>
                  <c:pt idx="147">
                    <c:v>KD-16270</c:v>
                  </c:pt>
                  <c:pt idx="148">
                    <c:v>KD-16345</c:v>
                  </c:pt>
                  <c:pt idx="149">
                    <c:v>KH-16360</c:v>
                  </c:pt>
                  <c:pt idx="150">
                    <c:v>KH-16510</c:v>
                  </c:pt>
                  <c:pt idx="151">
                    <c:v>KL-16645</c:v>
                  </c:pt>
                  <c:pt idx="153">
                    <c:v>KM-16660</c:v>
                  </c:pt>
                  <c:pt idx="154">
                    <c:v>KM-16720</c:v>
                  </c:pt>
                  <c:pt idx="156">
                    <c:v>KW-16435</c:v>
                  </c:pt>
                  <c:pt idx="157">
                    <c:v>LC-16870</c:v>
                  </c:pt>
                  <c:pt idx="158">
                    <c:v>LC-16885</c:v>
                  </c:pt>
                  <c:pt idx="159">
                    <c:v>LC-17140</c:v>
                  </c:pt>
                  <c:pt idx="162">
                    <c:v>LE-16810</c:v>
                  </c:pt>
                  <c:pt idx="164">
                    <c:v>LF-17185</c:v>
                  </c:pt>
                  <c:pt idx="166">
                    <c:v>LH-16900</c:v>
                  </c:pt>
                  <c:pt idx="167">
                    <c:v>LH-17020</c:v>
                  </c:pt>
                  <c:pt idx="169">
                    <c:v>LH-17155</c:v>
                  </c:pt>
                  <c:pt idx="171">
                    <c:v>LL-16840</c:v>
                  </c:pt>
                  <c:pt idx="172">
                    <c:v>LM-17065</c:v>
                  </c:pt>
                  <c:pt idx="173">
                    <c:v>LP-17080</c:v>
                  </c:pt>
                  <c:pt idx="174">
                    <c:v>LR-16915</c:v>
                  </c:pt>
                  <c:pt idx="175">
                    <c:v>LS-17245</c:v>
                  </c:pt>
                  <c:pt idx="176">
                    <c:v>LT-17110</c:v>
                  </c:pt>
                  <c:pt idx="177">
                    <c:v>MB-17305</c:v>
                  </c:pt>
                  <c:pt idx="178">
                    <c:v>MC-17845</c:v>
                  </c:pt>
                  <c:pt idx="179">
                    <c:v>MD-17350</c:v>
                  </c:pt>
                  <c:pt idx="180">
                    <c:v>ME-17725</c:v>
                  </c:pt>
                  <c:pt idx="181">
                    <c:v>MG-17695</c:v>
                  </c:pt>
                  <c:pt idx="182">
                    <c:v>MG-18145</c:v>
                  </c:pt>
                  <c:pt idx="183">
                    <c:v>MJ-17740</c:v>
                  </c:pt>
                  <c:pt idx="184">
                    <c:v>MK-18160</c:v>
                  </c:pt>
                  <c:pt idx="185">
                    <c:v>MO-17500</c:v>
                  </c:pt>
                  <c:pt idx="186">
                    <c:v>MS-17365</c:v>
                  </c:pt>
                  <c:pt idx="188">
                    <c:v>MS-17830</c:v>
                  </c:pt>
                  <c:pt idx="190">
                    <c:v>MT-17815</c:v>
                  </c:pt>
                  <c:pt idx="191">
                    <c:v>MV-18190</c:v>
                  </c:pt>
                  <c:pt idx="192">
                    <c:v>NF-18385</c:v>
                  </c:pt>
                  <c:pt idx="194">
                    <c:v>NG-18430</c:v>
                  </c:pt>
                  <c:pt idx="195">
                    <c:v>NP-18325</c:v>
                  </c:pt>
                  <c:pt idx="196">
                    <c:v>NP-18670</c:v>
                  </c:pt>
                  <c:pt idx="197">
                    <c:v>NS-18505</c:v>
                  </c:pt>
                  <c:pt idx="198">
                    <c:v>OT-18730</c:v>
                  </c:pt>
                  <c:pt idx="200">
                    <c:v>PB-19105</c:v>
                  </c:pt>
                  <c:pt idx="201">
                    <c:v>PB-19150</c:v>
                  </c:pt>
                  <c:pt idx="203">
                    <c:v>PF-19165</c:v>
                  </c:pt>
                  <c:pt idx="205">
                    <c:v>PG-18820</c:v>
                  </c:pt>
                  <c:pt idx="206">
                    <c:v>PG-18895</c:v>
                  </c:pt>
                  <c:pt idx="209">
                    <c:v>PJ-19015</c:v>
                  </c:pt>
                  <c:pt idx="210">
                    <c:v>PK-19075</c:v>
                  </c:pt>
                  <c:pt idx="212">
                    <c:v>PO-18850</c:v>
                  </c:pt>
                  <c:pt idx="214">
                    <c:v>PO-18865</c:v>
                  </c:pt>
                  <c:pt idx="217">
                    <c:v>PR-18880</c:v>
                  </c:pt>
                  <c:pt idx="218">
                    <c:v>RA-19285</c:v>
                  </c:pt>
                  <c:pt idx="219">
                    <c:v>RA-19915</c:v>
                  </c:pt>
                  <c:pt idx="221">
                    <c:v>RA-19945</c:v>
                  </c:pt>
                  <c:pt idx="222">
                    <c:v>RB-19360</c:v>
                  </c:pt>
                  <c:pt idx="223">
                    <c:v>RB-19570</c:v>
                  </c:pt>
                  <c:pt idx="224">
                    <c:v>RC-19825</c:v>
                  </c:pt>
                  <c:pt idx="227">
                    <c:v>RC-19960</c:v>
                  </c:pt>
                  <c:pt idx="229">
                    <c:v>RD-19480</c:v>
                  </c:pt>
                  <c:pt idx="230">
                    <c:v>RD-19585</c:v>
                  </c:pt>
                  <c:pt idx="231">
                    <c:v>RD-19900</c:v>
                  </c:pt>
                  <c:pt idx="232">
                    <c:v>RF-19735</c:v>
                  </c:pt>
                  <c:pt idx="234">
                    <c:v>RF-19840</c:v>
                  </c:pt>
                  <c:pt idx="235">
                    <c:v>RH-19495</c:v>
                  </c:pt>
                  <c:pt idx="237">
                    <c:v>RK-19300</c:v>
                  </c:pt>
                  <c:pt idx="238">
                    <c:v>RL-19615</c:v>
                  </c:pt>
                  <c:pt idx="239">
                    <c:v>RO-19780</c:v>
                  </c:pt>
                  <c:pt idx="240">
                    <c:v>RP-19390</c:v>
                  </c:pt>
                  <c:pt idx="241">
                    <c:v>RW-19690</c:v>
                  </c:pt>
                  <c:pt idx="242">
                    <c:v>SA-20830</c:v>
                  </c:pt>
                  <c:pt idx="244">
                    <c:v>SC-20095</c:v>
                  </c:pt>
                  <c:pt idx="246">
                    <c:v>SC-20305</c:v>
                  </c:pt>
                  <c:pt idx="247">
                    <c:v>SC-20725</c:v>
                  </c:pt>
                  <c:pt idx="249">
                    <c:v>SE-20110</c:v>
                  </c:pt>
                  <c:pt idx="250">
                    <c:v>SF-20065</c:v>
                  </c:pt>
                  <c:pt idx="251">
                    <c:v>SF-20200</c:v>
                  </c:pt>
                  <c:pt idx="252">
                    <c:v>SG-20080</c:v>
                  </c:pt>
                  <c:pt idx="253">
                    <c:v>SH-20395</c:v>
                  </c:pt>
                  <c:pt idx="254">
                    <c:v>SJ-20500</c:v>
                  </c:pt>
                  <c:pt idx="255">
                    <c:v>SK-19990</c:v>
                  </c:pt>
                  <c:pt idx="256">
                    <c:v>SM-20005</c:v>
                  </c:pt>
                  <c:pt idx="257">
                    <c:v>SO-20335</c:v>
                  </c:pt>
                  <c:pt idx="258">
                    <c:v>SS-20590</c:v>
                  </c:pt>
                  <c:pt idx="259">
                    <c:v>SS-20875</c:v>
                  </c:pt>
                  <c:pt idx="260">
                    <c:v>SV-20365</c:v>
                  </c:pt>
                  <c:pt idx="261">
                    <c:v>SV-20785</c:v>
                  </c:pt>
                  <c:pt idx="262">
                    <c:v>SW-20275</c:v>
                  </c:pt>
                  <c:pt idx="263">
                    <c:v>TB-21055</c:v>
                  </c:pt>
                  <c:pt idx="264">
                    <c:v>TB-21520</c:v>
                  </c:pt>
                  <c:pt idx="268">
                    <c:v>TB-21595</c:v>
                  </c:pt>
                  <c:pt idx="269">
                    <c:v>TD-20995</c:v>
                  </c:pt>
                  <c:pt idx="273">
                    <c:v>TG-21640</c:v>
                  </c:pt>
                  <c:pt idx="274">
                    <c:v>TP-21130</c:v>
                  </c:pt>
                  <c:pt idx="276">
                    <c:v>TR-21325</c:v>
                  </c:pt>
                  <c:pt idx="277">
                    <c:v>TS-21340</c:v>
                  </c:pt>
                  <c:pt idx="278">
                    <c:v>TS-21610</c:v>
                  </c:pt>
                  <c:pt idx="280">
                    <c:v>TT-21070</c:v>
                  </c:pt>
                  <c:pt idx="281">
                    <c:v>TZ-21580</c:v>
                  </c:pt>
                  <c:pt idx="282">
                    <c:v>VD-21670</c:v>
                  </c:pt>
                  <c:pt idx="284">
                    <c:v>VG-21790</c:v>
                  </c:pt>
                  <c:pt idx="285">
                    <c:v>XP-21865</c:v>
                  </c:pt>
                  <c:pt idx="286">
                    <c:v>ZC-21910</c:v>
                  </c:pt>
                  <c:pt idx="288">
                    <c:v>ZD-21925</c:v>
                  </c:pt>
                </c:lvl>
              </c:multiLvlStrCache>
            </c:multiLvlStrRef>
          </c:cat>
          <c:val>
            <c:numRef>
              <c:f>Customer!$F$6:$F$1291</c:f>
              <c:numCache>
                <c:formatCode>General</c:formatCode>
                <c:ptCount val="289"/>
                <c:pt idx="0">
                  <c:v>16.768</c:v>
                </c:pt>
                <c:pt idx="1">
                  <c:v>28.4</c:v>
                </c:pt>
                <c:pt idx="2">
                  <c:v>15.552</c:v>
                </c:pt>
                <c:pt idx="3">
                  <c:v>23.64</c:v>
                </c:pt>
                <c:pt idx="4">
                  <c:v>166.24</c:v>
                </c:pt>
                <c:pt idx="5">
                  <c:v>14.592</c:v>
                </c:pt>
                <c:pt idx="6">
                  <c:v>83.72</c:v>
                </c:pt>
                <c:pt idx="7">
                  <c:v>55.5</c:v>
                </c:pt>
                <c:pt idx="8">
                  <c:v>15.696</c:v>
                </c:pt>
                <c:pt idx="9">
                  <c:v>35.952</c:v>
                </c:pt>
                <c:pt idx="10">
                  <c:v>405.86</c:v>
                </c:pt>
                <c:pt idx="11">
                  <c:v>8.16</c:v>
                </c:pt>
                <c:pt idx="12">
                  <c:v>79.9</c:v>
                </c:pt>
                <c:pt idx="13">
                  <c:v>348.56</c:v>
                </c:pt>
                <c:pt idx="14">
                  <c:v>299.98</c:v>
                </c:pt>
                <c:pt idx="15">
                  <c:v>19.456</c:v>
                </c:pt>
                <c:pt idx="16">
                  <c:v>449.15</c:v>
                </c:pt>
                <c:pt idx="17">
                  <c:v>24.448</c:v>
                </c:pt>
                <c:pt idx="18">
                  <c:v>58.32</c:v>
                </c:pt>
                <c:pt idx="19">
                  <c:v>3.282</c:v>
                </c:pt>
                <c:pt idx="20">
                  <c:v>142.776</c:v>
                </c:pt>
                <c:pt idx="21">
                  <c:v>95.984</c:v>
                </c:pt>
                <c:pt idx="22">
                  <c:v>97.16</c:v>
                </c:pt>
                <c:pt idx="23">
                  <c:v>1121.568</c:v>
                </c:pt>
                <c:pt idx="24">
                  <c:v>468.9</c:v>
                </c:pt>
                <c:pt idx="25">
                  <c:v>22.2</c:v>
                </c:pt>
                <c:pt idx="26">
                  <c:v>17.88</c:v>
                </c:pt>
                <c:pt idx="27">
                  <c:v>70.98</c:v>
                </c:pt>
                <c:pt idx="28">
                  <c:v>48.86</c:v>
                </c:pt>
                <c:pt idx="29">
                  <c:v>39.96</c:v>
                </c:pt>
                <c:pt idx="30">
                  <c:v>9.936</c:v>
                </c:pt>
                <c:pt idx="31">
                  <c:v>475.944</c:v>
                </c:pt>
                <c:pt idx="32">
                  <c:v>32.07</c:v>
                </c:pt>
                <c:pt idx="33">
                  <c:v>6.63</c:v>
                </c:pt>
                <c:pt idx="34">
                  <c:v>218.75</c:v>
                </c:pt>
                <c:pt idx="35">
                  <c:v>8.69</c:v>
                </c:pt>
                <c:pt idx="36">
                  <c:v>393.165</c:v>
                </c:pt>
                <c:pt idx="37">
                  <c:v>41.472</c:v>
                </c:pt>
                <c:pt idx="38">
                  <c:v>13</c:v>
                </c:pt>
                <c:pt idx="39">
                  <c:v>999.432</c:v>
                </c:pt>
                <c:pt idx="40">
                  <c:v>7.408</c:v>
                </c:pt>
                <c:pt idx="41">
                  <c:v>51.52</c:v>
                </c:pt>
                <c:pt idx="42">
                  <c:v>47.976</c:v>
                </c:pt>
                <c:pt idx="43">
                  <c:v>4.788</c:v>
                </c:pt>
                <c:pt idx="44">
                  <c:v>20.37</c:v>
                </c:pt>
                <c:pt idx="45">
                  <c:v>283.92</c:v>
                </c:pt>
                <c:pt idx="46">
                  <c:v>2.688</c:v>
                </c:pt>
                <c:pt idx="47">
                  <c:v>261.96</c:v>
                </c:pt>
                <c:pt idx="48">
                  <c:v>95.92</c:v>
                </c:pt>
                <c:pt idx="49">
                  <c:v>143.982</c:v>
                </c:pt>
                <c:pt idx="50">
                  <c:v>119.94</c:v>
                </c:pt>
                <c:pt idx="51">
                  <c:v>17.456</c:v>
                </c:pt>
                <c:pt idx="52">
                  <c:v>75.96</c:v>
                </c:pt>
                <c:pt idx="53">
                  <c:v>2.74</c:v>
                </c:pt>
                <c:pt idx="54">
                  <c:v>7.36</c:v>
                </c:pt>
                <c:pt idx="55">
                  <c:v>113.552</c:v>
                </c:pt>
                <c:pt idx="56">
                  <c:v>69.712</c:v>
                </c:pt>
                <c:pt idx="57">
                  <c:v>88.8</c:v>
                </c:pt>
                <c:pt idx="58">
                  <c:v>20.94</c:v>
                </c:pt>
                <c:pt idx="59">
                  <c:v>323.976</c:v>
                </c:pt>
                <c:pt idx="60">
                  <c:v>714.3</c:v>
                </c:pt>
                <c:pt idx="61">
                  <c:v>457.568</c:v>
                </c:pt>
                <c:pt idx="62">
                  <c:v>18.392</c:v>
                </c:pt>
                <c:pt idx="63">
                  <c:v>5.344</c:v>
                </c:pt>
                <c:pt idx="64">
                  <c:v>4.752</c:v>
                </c:pt>
                <c:pt idx="65">
                  <c:v>301.47</c:v>
                </c:pt>
                <c:pt idx="66">
                  <c:v>24.56</c:v>
                </c:pt>
                <c:pt idx="67">
                  <c:v>14.352</c:v>
                </c:pt>
                <c:pt idx="68">
                  <c:v>152.94</c:v>
                </c:pt>
                <c:pt idx="69">
                  <c:v>787.53</c:v>
                </c:pt>
                <c:pt idx="70">
                  <c:v>30.84</c:v>
                </c:pt>
                <c:pt idx="71">
                  <c:v>32.76</c:v>
                </c:pt>
                <c:pt idx="72">
                  <c:v>204.6</c:v>
                </c:pt>
                <c:pt idx="73">
                  <c:v>80.58</c:v>
                </c:pt>
                <c:pt idx="74">
                  <c:v>127.104</c:v>
                </c:pt>
                <c:pt idx="75">
                  <c:v>14.9</c:v>
                </c:pt>
                <c:pt idx="76">
                  <c:v>375.4575</c:v>
                </c:pt>
                <c:pt idx="77">
                  <c:v>38.22</c:v>
                </c:pt>
                <c:pt idx="78">
                  <c:v>119.96</c:v>
                </c:pt>
                <c:pt idx="79">
                  <c:v>470.376</c:v>
                </c:pt>
                <c:pt idx="80">
                  <c:v>599.292</c:v>
                </c:pt>
                <c:pt idx="81">
                  <c:v>1044.63</c:v>
                </c:pt>
                <c:pt idx="82">
                  <c:v>18.336</c:v>
                </c:pt>
                <c:pt idx="83">
                  <c:v>182.72</c:v>
                </c:pt>
                <c:pt idx="84">
                  <c:v>11.648</c:v>
                </c:pt>
                <c:pt idx="85">
                  <c:v>78.759</c:v>
                </c:pt>
                <c:pt idx="86">
                  <c:v>54.384</c:v>
                </c:pt>
                <c:pt idx="87">
                  <c:v>5.96</c:v>
                </c:pt>
                <c:pt idx="88">
                  <c:v>42.616</c:v>
                </c:pt>
                <c:pt idx="89">
                  <c:v>9.96</c:v>
                </c:pt>
                <c:pt idx="90">
                  <c:v>243.384</c:v>
                </c:pt>
                <c:pt idx="91">
                  <c:v>374.376</c:v>
                </c:pt>
                <c:pt idx="92">
                  <c:v>192.16</c:v>
                </c:pt>
                <c:pt idx="93">
                  <c:v>48.896</c:v>
                </c:pt>
                <c:pt idx="94">
                  <c:v>27.168</c:v>
                </c:pt>
                <c:pt idx="95">
                  <c:v>18.28</c:v>
                </c:pt>
                <c:pt idx="96">
                  <c:v>10.824</c:v>
                </c:pt>
                <c:pt idx="97">
                  <c:v>35</c:v>
                </c:pt>
                <c:pt idx="98">
                  <c:v>44.46</c:v>
                </c:pt>
                <c:pt idx="99">
                  <c:v>22.74</c:v>
                </c:pt>
                <c:pt idx="100">
                  <c:v>25.92</c:v>
                </c:pt>
                <c:pt idx="101">
                  <c:v>23.92</c:v>
                </c:pt>
                <c:pt idx="102">
                  <c:v>13.48</c:v>
                </c:pt>
                <c:pt idx="103">
                  <c:v>49.98</c:v>
                </c:pt>
                <c:pt idx="104">
                  <c:v>671.93</c:v>
                </c:pt>
                <c:pt idx="105">
                  <c:v>209.93</c:v>
                </c:pt>
                <c:pt idx="106">
                  <c:v>15.648</c:v>
                </c:pt>
                <c:pt idx="107">
                  <c:v>4.616</c:v>
                </c:pt>
                <c:pt idx="108">
                  <c:v>40.08</c:v>
                </c:pt>
                <c:pt idx="109">
                  <c:v>407.976</c:v>
                </c:pt>
                <c:pt idx="110">
                  <c:v>29.592</c:v>
                </c:pt>
                <c:pt idx="111">
                  <c:v>5.584</c:v>
                </c:pt>
                <c:pt idx="112">
                  <c:v>47.94</c:v>
                </c:pt>
                <c:pt idx="113">
                  <c:v>211.96</c:v>
                </c:pt>
                <c:pt idx="114">
                  <c:v>149.95</c:v>
                </c:pt>
                <c:pt idx="115">
                  <c:v>40.2</c:v>
                </c:pt>
                <c:pt idx="116">
                  <c:v>301.96</c:v>
                </c:pt>
                <c:pt idx="117">
                  <c:v>19.3</c:v>
                </c:pt>
                <c:pt idx="118">
                  <c:v>196.752</c:v>
                </c:pt>
                <c:pt idx="119">
                  <c:v>831.936</c:v>
                </c:pt>
                <c:pt idx="120">
                  <c:v>396.802</c:v>
                </c:pt>
                <c:pt idx="121">
                  <c:v>17.568</c:v>
                </c:pt>
                <c:pt idx="122">
                  <c:v>72.45</c:v>
                </c:pt>
                <c:pt idx="123">
                  <c:v>3.96</c:v>
                </c:pt>
                <c:pt idx="124">
                  <c:v>246.384</c:v>
                </c:pt>
                <c:pt idx="125">
                  <c:v>23.968</c:v>
                </c:pt>
                <c:pt idx="126">
                  <c:v>219.075</c:v>
                </c:pt>
                <c:pt idx="127">
                  <c:v>93.06</c:v>
                </c:pt>
                <c:pt idx="128">
                  <c:v>83.92</c:v>
                </c:pt>
                <c:pt idx="129">
                  <c:v>103.92</c:v>
                </c:pt>
                <c:pt idx="130">
                  <c:v>36.624</c:v>
                </c:pt>
                <c:pt idx="131">
                  <c:v>369.912</c:v>
                </c:pt>
                <c:pt idx="132">
                  <c:v>1363.96</c:v>
                </c:pt>
                <c:pt idx="133">
                  <c:v>115.296</c:v>
                </c:pt>
                <c:pt idx="134">
                  <c:v>50.136</c:v>
                </c:pt>
                <c:pt idx="135">
                  <c:v>388.704</c:v>
                </c:pt>
                <c:pt idx="136">
                  <c:v>330.4</c:v>
                </c:pt>
                <c:pt idx="137">
                  <c:v>82.8</c:v>
                </c:pt>
                <c:pt idx="138">
                  <c:v>32.4</c:v>
                </c:pt>
                <c:pt idx="139">
                  <c:v>74.112</c:v>
                </c:pt>
                <c:pt idx="140">
                  <c:v>15.552</c:v>
                </c:pt>
                <c:pt idx="141">
                  <c:v>1038.84</c:v>
                </c:pt>
                <c:pt idx="142">
                  <c:v>340.92</c:v>
                </c:pt>
                <c:pt idx="143">
                  <c:v>1618.37</c:v>
                </c:pt>
                <c:pt idx="144">
                  <c:v>12.96</c:v>
                </c:pt>
                <c:pt idx="145">
                  <c:v>103.056</c:v>
                </c:pt>
                <c:pt idx="146">
                  <c:v>7.61</c:v>
                </c:pt>
                <c:pt idx="147">
                  <c:v>75.88</c:v>
                </c:pt>
                <c:pt idx="148">
                  <c:v>51.312</c:v>
                </c:pt>
                <c:pt idx="149">
                  <c:v>25.472</c:v>
                </c:pt>
                <c:pt idx="150">
                  <c:v>179.95</c:v>
                </c:pt>
                <c:pt idx="151">
                  <c:v>25.92</c:v>
                </c:pt>
                <c:pt idx="152">
                  <c:v>4.96</c:v>
                </c:pt>
                <c:pt idx="153">
                  <c:v>19.312</c:v>
                </c:pt>
                <c:pt idx="154">
                  <c:v>14.576</c:v>
                </c:pt>
                <c:pt idx="155">
                  <c:v>13.98</c:v>
                </c:pt>
                <c:pt idx="156">
                  <c:v>20.7</c:v>
                </c:pt>
                <c:pt idx="157">
                  <c:v>238.896</c:v>
                </c:pt>
                <c:pt idx="158">
                  <c:v>20.04</c:v>
                </c:pt>
                <c:pt idx="159">
                  <c:v>66.284</c:v>
                </c:pt>
                <c:pt idx="160">
                  <c:v>20.04</c:v>
                </c:pt>
                <c:pt idx="161">
                  <c:v>15.24</c:v>
                </c:pt>
                <c:pt idx="162">
                  <c:v>641.96</c:v>
                </c:pt>
                <c:pt idx="163">
                  <c:v>444.768</c:v>
                </c:pt>
                <c:pt idx="164">
                  <c:v>9.568</c:v>
                </c:pt>
                <c:pt idx="165">
                  <c:v>7.152</c:v>
                </c:pt>
                <c:pt idx="166">
                  <c:v>45</c:v>
                </c:pt>
                <c:pt idx="167">
                  <c:v>107.982</c:v>
                </c:pt>
                <c:pt idx="168">
                  <c:v>51.184</c:v>
                </c:pt>
                <c:pt idx="169">
                  <c:v>55.176</c:v>
                </c:pt>
                <c:pt idx="170">
                  <c:v>321.568</c:v>
                </c:pt>
                <c:pt idx="171">
                  <c:v>17.46</c:v>
                </c:pt>
                <c:pt idx="172">
                  <c:v>646.776</c:v>
                </c:pt>
                <c:pt idx="173">
                  <c:v>42.6</c:v>
                </c:pt>
                <c:pt idx="174">
                  <c:v>76.12</c:v>
                </c:pt>
                <c:pt idx="175">
                  <c:v>126.3</c:v>
                </c:pt>
                <c:pt idx="176">
                  <c:v>348.928</c:v>
                </c:pt>
                <c:pt idx="177">
                  <c:v>21.744</c:v>
                </c:pt>
                <c:pt idx="178">
                  <c:v>479.97</c:v>
                </c:pt>
                <c:pt idx="179">
                  <c:v>105.42</c:v>
                </c:pt>
                <c:pt idx="180">
                  <c:v>18.882</c:v>
                </c:pt>
                <c:pt idx="182">
                  <c:v>36.336</c:v>
                </c:pt>
                <c:pt idx="183">
                  <c:v>27.68</c:v>
                </c:pt>
                <c:pt idx="184">
                  <c:v>4.812</c:v>
                </c:pt>
                <c:pt idx="185">
                  <c:v>295.4</c:v>
                </c:pt>
                <c:pt idx="186">
                  <c:v>4.608</c:v>
                </c:pt>
                <c:pt idx="187">
                  <c:v>103.6</c:v>
                </c:pt>
                <c:pt idx="188">
                  <c:v>9.344</c:v>
                </c:pt>
                <c:pt idx="189">
                  <c:v>79.92</c:v>
                </c:pt>
                <c:pt idx="190">
                  <c:v>7.08</c:v>
                </c:pt>
                <c:pt idx="191">
                  <c:v>23.36</c:v>
                </c:pt>
                <c:pt idx="192">
                  <c:v>747.558</c:v>
                </c:pt>
                <c:pt idx="193">
                  <c:v>866.4</c:v>
                </c:pt>
                <c:pt idx="194">
                  <c:v>2.624</c:v>
                </c:pt>
                <c:pt idx="195">
                  <c:v>104.01</c:v>
                </c:pt>
                <c:pt idx="196">
                  <c:v>14.62</c:v>
                </c:pt>
                <c:pt idx="197">
                  <c:v>429.6</c:v>
                </c:pt>
                <c:pt idx="198">
                  <c:v>20.7</c:v>
                </c:pt>
                <c:pt idx="199">
                  <c:v>83.76</c:v>
                </c:pt>
                <c:pt idx="200">
                  <c:v>11.992</c:v>
                </c:pt>
                <c:pt idx="201">
                  <c:v>383.8</c:v>
                </c:pt>
                <c:pt idx="202">
                  <c:v>6.208</c:v>
                </c:pt>
                <c:pt idx="203">
                  <c:v>617.7</c:v>
                </c:pt>
                <c:pt idx="204">
                  <c:v>155.25</c:v>
                </c:pt>
                <c:pt idx="205">
                  <c:v>67.8</c:v>
                </c:pt>
                <c:pt idx="206">
                  <c:v>58.112</c:v>
                </c:pt>
                <c:pt idx="207">
                  <c:v>7.56</c:v>
                </c:pt>
                <c:pt idx="208">
                  <c:v>19.99</c:v>
                </c:pt>
                <c:pt idx="209">
                  <c:v>18.28</c:v>
                </c:pt>
                <c:pt idx="210">
                  <c:v>12.22</c:v>
                </c:pt>
                <c:pt idx="211">
                  <c:v>665.88</c:v>
                </c:pt>
                <c:pt idx="212">
                  <c:v>44.75</c:v>
                </c:pt>
                <c:pt idx="213">
                  <c:v>290.898</c:v>
                </c:pt>
                <c:pt idx="214">
                  <c:v>301.96</c:v>
                </c:pt>
                <c:pt idx="215">
                  <c:v>323.136</c:v>
                </c:pt>
                <c:pt idx="216">
                  <c:v>211.96</c:v>
                </c:pt>
                <c:pt idx="217">
                  <c:v>7.78</c:v>
                </c:pt>
                <c:pt idx="218">
                  <c:v>191.984</c:v>
                </c:pt>
                <c:pt idx="219">
                  <c:v>43.176</c:v>
                </c:pt>
                <c:pt idx="220">
                  <c:v>8.652</c:v>
                </c:pt>
                <c:pt idx="221">
                  <c:v>484.65</c:v>
                </c:pt>
                <c:pt idx="222">
                  <c:v>59.52</c:v>
                </c:pt>
                <c:pt idx="223">
                  <c:v>61.44</c:v>
                </c:pt>
                <c:pt idx="224">
                  <c:v>24.56</c:v>
                </c:pt>
                <c:pt idx="225">
                  <c:v>328.224</c:v>
                </c:pt>
                <c:pt idx="226">
                  <c:v>10.74</c:v>
                </c:pt>
                <c:pt idx="227">
                  <c:v>40.096</c:v>
                </c:pt>
                <c:pt idx="228">
                  <c:v>34.504</c:v>
                </c:pt>
                <c:pt idx="229">
                  <c:v>8.288</c:v>
                </c:pt>
                <c:pt idx="230">
                  <c:v>10.67</c:v>
                </c:pt>
                <c:pt idx="231">
                  <c:v>28.4</c:v>
                </c:pt>
                <c:pt idx="232">
                  <c:v>10.23</c:v>
                </c:pt>
                <c:pt idx="233">
                  <c:v>58.05</c:v>
                </c:pt>
                <c:pt idx="234">
                  <c:v>35.91</c:v>
                </c:pt>
                <c:pt idx="235">
                  <c:v>2309.65</c:v>
                </c:pt>
                <c:pt idx="236">
                  <c:v>20.16</c:v>
                </c:pt>
                <c:pt idx="237">
                  <c:v>12.192</c:v>
                </c:pt>
                <c:pt idx="238">
                  <c:v>979.95</c:v>
                </c:pt>
                <c:pt idx="239">
                  <c:v>189.882</c:v>
                </c:pt>
                <c:pt idx="240">
                  <c:v>30.36</c:v>
                </c:pt>
                <c:pt idx="241">
                  <c:v>3.282</c:v>
                </c:pt>
                <c:pt idx="242">
                  <c:v>2735.952</c:v>
                </c:pt>
                <c:pt idx="243">
                  <c:v>143.96</c:v>
                </c:pt>
                <c:pt idx="244">
                  <c:v>129.568</c:v>
                </c:pt>
                <c:pt idx="245">
                  <c:v>119.616</c:v>
                </c:pt>
                <c:pt idx="246">
                  <c:v>132.52</c:v>
                </c:pt>
                <c:pt idx="247">
                  <c:v>2.08</c:v>
                </c:pt>
                <c:pt idx="248">
                  <c:v>47.04</c:v>
                </c:pt>
                <c:pt idx="249">
                  <c:v>85.14</c:v>
                </c:pt>
                <c:pt idx="250">
                  <c:v>71.372</c:v>
                </c:pt>
                <c:pt idx="251">
                  <c:v>8.82</c:v>
                </c:pt>
                <c:pt idx="252">
                  <c:v>839.43</c:v>
                </c:pt>
                <c:pt idx="253">
                  <c:v>4.89</c:v>
                </c:pt>
                <c:pt idx="254">
                  <c:v>97.264</c:v>
                </c:pt>
                <c:pt idx="255">
                  <c:v>7.16</c:v>
                </c:pt>
                <c:pt idx="256">
                  <c:v>11.36</c:v>
                </c:pt>
                <c:pt idx="257">
                  <c:v>957.5775</c:v>
                </c:pt>
                <c:pt idx="258">
                  <c:v>93.98</c:v>
                </c:pt>
                <c:pt idx="259">
                  <c:v>51.52</c:v>
                </c:pt>
                <c:pt idx="260">
                  <c:v>9.94</c:v>
                </c:pt>
                <c:pt idx="261">
                  <c:v>32.4</c:v>
                </c:pt>
                <c:pt idx="262">
                  <c:v>173.8</c:v>
                </c:pt>
                <c:pt idx="263">
                  <c:v>208.56</c:v>
                </c:pt>
                <c:pt idx="264">
                  <c:v>34.44</c:v>
                </c:pt>
                <c:pt idx="265">
                  <c:v>19.05</c:v>
                </c:pt>
                <c:pt idx="266">
                  <c:v>3083.43</c:v>
                </c:pt>
                <c:pt idx="267">
                  <c:v>141.76</c:v>
                </c:pt>
                <c:pt idx="268">
                  <c:v>2.91</c:v>
                </c:pt>
                <c:pt idx="269">
                  <c:v>10.44</c:v>
                </c:pt>
                <c:pt idx="270">
                  <c:v>7.56</c:v>
                </c:pt>
                <c:pt idx="271">
                  <c:v>1.08</c:v>
                </c:pt>
                <c:pt idx="272">
                  <c:v>19.56</c:v>
                </c:pt>
                <c:pt idx="273">
                  <c:v>160.72</c:v>
                </c:pt>
                <c:pt idx="274">
                  <c:v>2.808</c:v>
                </c:pt>
                <c:pt idx="275">
                  <c:v>11.632</c:v>
                </c:pt>
                <c:pt idx="276">
                  <c:v>239.97</c:v>
                </c:pt>
                <c:pt idx="277">
                  <c:v>1.112</c:v>
                </c:pt>
                <c:pt idx="278">
                  <c:v>14.624</c:v>
                </c:pt>
                <c:pt idx="279">
                  <c:v>2.388</c:v>
                </c:pt>
                <c:pt idx="280">
                  <c:v>5.98</c:v>
                </c:pt>
                <c:pt idx="281">
                  <c:v>3.392</c:v>
                </c:pt>
                <c:pt idx="282">
                  <c:v>161.568</c:v>
                </c:pt>
                <c:pt idx="283">
                  <c:v>185.88</c:v>
                </c:pt>
                <c:pt idx="284">
                  <c:v>151.72</c:v>
                </c:pt>
                <c:pt idx="285">
                  <c:v>9.09</c:v>
                </c:pt>
                <c:pt idx="286">
                  <c:v>11.52</c:v>
                </c:pt>
                <c:pt idx="287">
                  <c:v>84.784</c:v>
                </c:pt>
                <c:pt idx="288">
                  <c:v>8.56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700322311"/>
        <c:axId val="282230104"/>
      </c:lineChart>
      <c:catAx>
        <c:axId val="70032231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82230104"/>
        <c:crosses val="autoZero"/>
        <c:auto val="1"/>
        <c:lblAlgn val="ctr"/>
        <c:lblOffset val="100"/>
        <c:noMultiLvlLbl val="0"/>
      </c:catAx>
      <c:valAx>
        <c:axId val="282230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003223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62d7437-0007-474d-9539-429ba034089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4.png"/><Relationship Id="rId8" Type="http://schemas.openxmlformats.org/officeDocument/2006/relationships/image" Target="../media/image3.png"/><Relationship Id="rId7" Type="http://schemas.openxmlformats.org/officeDocument/2006/relationships/image" Target="../media/image2.png"/><Relationship Id="rId6" Type="http://schemas.openxmlformats.org/officeDocument/2006/relationships/image" Target="../media/image1.png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6" Type="http://schemas.openxmlformats.org/officeDocument/2006/relationships/image" Target="../media/image11.png"/><Relationship Id="rId15" Type="http://schemas.openxmlformats.org/officeDocument/2006/relationships/image" Target="../media/image10.png"/><Relationship Id="rId14" Type="http://schemas.openxmlformats.org/officeDocument/2006/relationships/image" Target="../media/image9.png"/><Relationship Id="rId13" Type="http://schemas.openxmlformats.org/officeDocument/2006/relationships/image" Target="../media/image8.png"/><Relationship Id="rId12" Type="http://schemas.openxmlformats.org/officeDocument/2006/relationships/image" Target="../media/image7.png"/><Relationship Id="rId11" Type="http://schemas.openxmlformats.org/officeDocument/2006/relationships/image" Target="../media/image6.png"/><Relationship Id="rId10" Type="http://schemas.openxmlformats.org/officeDocument/2006/relationships/image" Target="../media/image5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45720</xdr:colOff>
      <xdr:row>20</xdr:row>
      <xdr:rowOff>25400</xdr:rowOff>
    </xdr:from>
    <xdr:to>
      <xdr:col>6</xdr:col>
      <xdr:colOff>459740</xdr:colOff>
      <xdr:row>34</xdr:row>
      <xdr:rowOff>131445</xdr:rowOff>
    </xdr:to>
    <xdr:graphicFrame>
      <xdr:nvGraphicFramePr>
        <xdr:cNvPr id="2" name="Chart 1"/>
        <xdr:cNvGraphicFramePr/>
      </xdr:nvGraphicFramePr>
      <xdr:xfrm>
        <a:off x="45720" y="4292600"/>
        <a:ext cx="4803140" cy="30930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393065</xdr:colOff>
      <xdr:row>6</xdr:row>
      <xdr:rowOff>97790</xdr:rowOff>
    </xdr:from>
    <xdr:to>
      <xdr:col>20</xdr:col>
      <xdr:colOff>613410</xdr:colOff>
      <xdr:row>34</xdr:row>
      <xdr:rowOff>144145</xdr:rowOff>
    </xdr:to>
    <xdr:graphicFrame>
      <xdr:nvGraphicFramePr>
        <xdr:cNvPr id="4" name="Chart 3"/>
        <xdr:cNvGraphicFramePr/>
      </xdr:nvGraphicFramePr>
      <xdr:xfrm>
        <a:off x="9171305" y="1377950"/>
        <a:ext cx="6072505" cy="60204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6</xdr:col>
      <xdr:colOff>507365</xdr:colOff>
      <xdr:row>20</xdr:row>
      <xdr:rowOff>22225</xdr:rowOff>
    </xdr:from>
    <xdr:to>
      <xdr:col>9</xdr:col>
      <xdr:colOff>146685</xdr:colOff>
      <xdr:row>34</xdr:row>
      <xdr:rowOff>188595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5" name="Segment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gment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896485" y="4289425"/>
              <a:ext cx="1833880" cy="315341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9</xdr:col>
      <xdr:colOff>198120</xdr:colOff>
      <xdr:row>6</xdr:row>
      <xdr:rowOff>97155</xdr:rowOff>
    </xdr:from>
    <xdr:to>
      <xdr:col>12</xdr:col>
      <xdr:colOff>372110</xdr:colOff>
      <xdr:row>19</xdr:row>
      <xdr:rowOff>177165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6" name="Category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781800" y="1377315"/>
              <a:ext cx="2368550" cy="285369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5</xdr:col>
      <xdr:colOff>668655</xdr:colOff>
      <xdr:row>0</xdr:row>
      <xdr:rowOff>97155</xdr:rowOff>
    </xdr:from>
    <xdr:to>
      <xdr:col>14</xdr:col>
      <xdr:colOff>520700</xdr:colOff>
      <xdr:row>4</xdr:row>
      <xdr:rowOff>12700</xdr:rowOff>
    </xdr:to>
    <xdr:sp>
      <xdr:nvSpPr>
        <xdr:cNvPr id="7" name="Flowchart: Alternate Process 6"/>
        <xdr:cNvSpPr/>
      </xdr:nvSpPr>
      <xdr:spPr>
        <a:xfrm>
          <a:off x="4326255" y="97155"/>
          <a:ext cx="6435725" cy="768985"/>
        </a:xfrm>
        <a:prstGeom prst="flowChartAlternateProcess">
          <a:avLst/>
        </a:prstGeom>
      </xdr:spPr>
      <xdr:style>
        <a:lnRef idx="0">
          <a:srgbClr val="FFFFFF"/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r>
            <a:rPr lang="en-US" sz="3600">
              <a:latin typeface="Brush Script MT" panose="03060802040406070304" charset="-122"/>
              <a:ea typeface="Brush Script MT" panose="03060802040406070304" charset="-122"/>
            </a:rPr>
            <a:t>        </a:t>
          </a:r>
          <a:r>
            <a:rPr lang="en-US" sz="3600">
              <a:solidFill>
                <a:schemeClr val="tx1"/>
              </a:solidFill>
              <a:latin typeface="Brush Script MT" panose="03060802040406070304" charset="-122"/>
              <a:ea typeface="Brush Script MT" panose="03060802040406070304" charset="-122"/>
            </a:rPr>
            <a:t>SALES DASHBOARD</a:t>
          </a:r>
          <a:endParaRPr lang="en-US" sz="3600">
            <a:solidFill>
              <a:schemeClr val="tx1"/>
            </a:solidFill>
            <a:latin typeface="Brush Script MT" panose="03060802040406070304" charset="-122"/>
            <a:ea typeface="Brush Script MT" panose="03060802040406070304" charset="-122"/>
          </a:endParaRPr>
        </a:p>
      </xdr:txBody>
    </xdr:sp>
    <xdr:clientData/>
  </xdr:twoCellAnchor>
  <xdr:twoCellAnchor>
    <xdr:from>
      <xdr:col>0</xdr:col>
      <xdr:colOff>55245</xdr:colOff>
      <xdr:row>0</xdr:row>
      <xdr:rowOff>76200</xdr:rowOff>
    </xdr:from>
    <xdr:to>
      <xdr:col>2</xdr:col>
      <xdr:colOff>266700</xdr:colOff>
      <xdr:row>4</xdr:row>
      <xdr:rowOff>85725</xdr:rowOff>
    </xdr:to>
    <xdr:sp>
      <xdr:nvSpPr>
        <xdr:cNvPr id="8" name="Flowchart: Alternate Process 7"/>
        <xdr:cNvSpPr/>
      </xdr:nvSpPr>
      <xdr:spPr>
        <a:xfrm>
          <a:off x="55245" y="76200"/>
          <a:ext cx="1674495" cy="862965"/>
        </a:xfrm>
        <a:prstGeom prst="flowChartAlternateProcess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en-US" sz="1100"/>
        </a:p>
      </xdr:txBody>
    </xdr:sp>
    <xdr:clientData/>
  </xdr:twoCellAnchor>
  <xdr:twoCellAnchor>
    <xdr:from>
      <xdr:col>18</xdr:col>
      <xdr:colOff>43180</xdr:colOff>
      <xdr:row>0</xdr:row>
      <xdr:rowOff>65405</xdr:rowOff>
    </xdr:from>
    <xdr:to>
      <xdr:col>20</xdr:col>
      <xdr:colOff>254635</xdr:colOff>
      <xdr:row>4</xdr:row>
      <xdr:rowOff>74930</xdr:rowOff>
    </xdr:to>
    <xdr:sp>
      <xdr:nvSpPr>
        <xdr:cNvPr id="9" name="Flowchart: Alternate Process 8"/>
        <xdr:cNvSpPr/>
      </xdr:nvSpPr>
      <xdr:spPr>
        <a:xfrm>
          <a:off x="13210540" y="65405"/>
          <a:ext cx="1674495" cy="862965"/>
        </a:xfrm>
        <a:prstGeom prst="flowChartAlternateProcess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0</xdr:col>
      <xdr:colOff>43815</xdr:colOff>
      <xdr:row>6</xdr:row>
      <xdr:rowOff>149860</xdr:rowOff>
    </xdr:from>
    <xdr:to>
      <xdr:col>6</xdr:col>
      <xdr:colOff>469900</xdr:colOff>
      <xdr:row>19</xdr:row>
      <xdr:rowOff>207010</xdr:rowOff>
    </xdr:to>
    <xdr:graphicFrame>
      <xdr:nvGraphicFramePr>
        <xdr:cNvPr id="10" name="Chart 9"/>
        <xdr:cNvGraphicFramePr/>
      </xdr:nvGraphicFramePr>
      <xdr:xfrm>
        <a:off x="43815" y="1430020"/>
        <a:ext cx="4815205" cy="28308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6</xdr:col>
      <xdr:colOff>514985</xdr:colOff>
      <xdr:row>6</xdr:row>
      <xdr:rowOff>118745</xdr:rowOff>
    </xdr:from>
    <xdr:to>
      <xdr:col>9</xdr:col>
      <xdr:colOff>149225</xdr:colOff>
      <xdr:row>19</xdr:row>
      <xdr:rowOff>188595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1" name="Ship Mod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hip Mod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904105" y="1398905"/>
              <a:ext cx="1828800" cy="284353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9</xdr:col>
      <xdr:colOff>447675</xdr:colOff>
      <xdr:row>21</xdr:row>
      <xdr:rowOff>211455</xdr:rowOff>
    </xdr:from>
    <xdr:to>
      <xdr:col>12</xdr:col>
      <xdr:colOff>136525</xdr:colOff>
      <xdr:row>32</xdr:row>
      <xdr:rowOff>109220</xdr:rowOff>
    </xdr:to>
    <xdr:pic>
      <xdr:nvPicPr>
        <xdr:cNvPr id="12" name="Picture 11" descr="Screenshot 2025-11-24 at 10.56.22 AM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7031355" y="4692015"/>
          <a:ext cx="1883410" cy="2244725"/>
        </a:xfrm>
        <a:prstGeom prst="rect">
          <a:avLst/>
        </a:prstGeom>
      </xdr:spPr>
    </xdr:pic>
    <xdr:clientData/>
  </xdr:twoCellAnchor>
  <xdr:twoCellAnchor>
    <xdr:from>
      <xdr:col>0</xdr:col>
      <xdr:colOff>60960</xdr:colOff>
      <xdr:row>35</xdr:row>
      <xdr:rowOff>30480</xdr:rowOff>
    </xdr:from>
    <xdr:to>
      <xdr:col>11</xdr:col>
      <xdr:colOff>320040</xdr:colOff>
      <xdr:row>56</xdr:row>
      <xdr:rowOff>24130</xdr:rowOff>
    </xdr:to>
    <xdr:graphicFrame>
      <xdr:nvGraphicFramePr>
        <xdr:cNvPr id="13" name="Chart 12"/>
        <xdr:cNvGraphicFramePr/>
      </xdr:nvGraphicFramePr>
      <xdr:xfrm>
        <a:off x="60960" y="7498080"/>
        <a:ext cx="8305800" cy="44742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11</xdr:col>
      <xdr:colOff>466725</xdr:colOff>
      <xdr:row>35</xdr:row>
      <xdr:rowOff>52070</xdr:rowOff>
    </xdr:from>
    <xdr:to>
      <xdr:col>14</xdr:col>
      <xdr:colOff>102235</xdr:colOff>
      <xdr:row>55</xdr:row>
      <xdr:rowOff>207645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4" name="Sub-Category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-Catego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513445" y="7519670"/>
              <a:ext cx="1830070" cy="44227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15</xdr:col>
      <xdr:colOff>20955</xdr:colOff>
      <xdr:row>37</xdr:row>
      <xdr:rowOff>106045</xdr:rowOff>
    </xdr:from>
    <xdr:to>
      <xdr:col>18</xdr:col>
      <xdr:colOff>188595</xdr:colOff>
      <xdr:row>52</xdr:row>
      <xdr:rowOff>67945</xdr:rowOff>
    </xdr:to>
    <xdr:pic>
      <xdr:nvPicPr>
        <xdr:cNvPr id="15" name="Picture 14" descr="Screenshot 2025-11-24 at 10.09.57 AM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0993755" y="8000365"/>
          <a:ext cx="2362200" cy="3162300"/>
        </a:xfrm>
        <a:prstGeom prst="rect">
          <a:avLst/>
        </a:prstGeom>
      </xdr:spPr>
    </xdr:pic>
    <xdr:clientData/>
  </xdr:twoCellAnchor>
  <xdr:twoCellAnchor editAs="oneCell">
    <xdr:from>
      <xdr:col>7</xdr:col>
      <xdr:colOff>109220</xdr:colOff>
      <xdr:row>14</xdr:row>
      <xdr:rowOff>160655</xdr:rowOff>
    </xdr:from>
    <xdr:to>
      <xdr:col>8</xdr:col>
      <xdr:colOff>531495</xdr:colOff>
      <xdr:row>19</xdr:row>
      <xdr:rowOff>75565</xdr:rowOff>
    </xdr:to>
    <xdr:pic>
      <xdr:nvPicPr>
        <xdr:cNvPr id="16" name="Picture 15" descr="Screenshot 2025-11-24 at 10.44.29 AM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5229860" y="3147695"/>
          <a:ext cx="1153795" cy="981710"/>
        </a:xfrm>
        <a:prstGeom prst="rect">
          <a:avLst/>
        </a:prstGeom>
      </xdr:spPr>
    </xdr:pic>
    <xdr:clientData/>
  </xdr:twoCellAnchor>
  <xdr:twoCellAnchor editAs="oneCell">
    <xdr:from>
      <xdr:col>6</xdr:col>
      <xdr:colOff>679450</xdr:colOff>
      <xdr:row>26</xdr:row>
      <xdr:rowOff>23495</xdr:rowOff>
    </xdr:from>
    <xdr:to>
      <xdr:col>8</xdr:col>
      <xdr:colOff>627380</xdr:colOff>
      <xdr:row>34</xdr:row>
      <xdr:rowOff>64135</xdr:rowOff>
    </xdr:to>
    <xdr:pic>
      <xdr:nvPicPr>
        <xdr:cNvPr id="17" name="Picture 16" descr="Screenshot 2025-11-24 at 9.47.04 AM"/>
        <xdr:cNvPicPr>
          <a:picLocks noChangeAspect="1"/>
        </xdr:cNvPicPr>
      </xdr:nvPicPr>
      <xdr:blipFill>
        <a:blip r:embed="rId9"/>
        <a:srcRect l="6363" t="12337" r="8701"/>
        <a:stretch>
          <a:fillRect/>
        </a:stretch>
      </xdr:blipFill>
      <xdr:spPr>
        <a:xfrm>
          <a:off x="5068570" y="5570855"/>
          <a:ext cx="1410970" cy="1747520"/>
        </a:xfrm>
        <a:prstGeom prst="rect">
          <a:avLst/>
        </a:prstGeom>
      </xdr:spPr>
    </xdr:pic>
    <xdr:clientData/>
  </xdr:twoCellAnchor>
  <xdr:twoCellAnchor editAs="oneCell">
    <xdr:from>
      <xdr:col>9</xdr:col>
      <xdr:colOff>690245</xdr:colOff>
      <xdr:row>12</xdr:row>
      <xdr:rowOff>73025</xdr:rowOff>
    </xdr:from>
    <xdr:to>
      <xdr:col>11</xdr:col>
      <xdr:colOff>513715</xdr:colOff>
      <xdr:row>18</xdr:row>
      <xdr:rowOff>160020</xdr:rowOff>
    </xdr:to>
    <xdr:pic>
      <xdr:nvPicPr>
        <xdr:cNvPr id="18" name="Picture 17" descr="Screenshot 2025-11-24 at 9.29.14 PM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7273925" y="2633345"/>
          <a:ext cx="1286510" cy="1367155"/>
        </a:xfrm>
        <a:prstGeom prst="rect">
          <a:avLst/>
        </a:prstGeom>
      </xdr:spPr>
    </xdr:pic>
    <xdr:clientData/>
  </xdr:twoCellAnchor>
  <xdr:twoCellAnchor>
    <xdr:from>
      <xdr:col>0</xdr:col>
      <xdr:colOff>94615</xdr:colOff>
      <xdr:row>56</xdr:row>
      <xdr:rowOff>53340</xdr:rowOff>
    </xdr:from>
    <xdr:to>
      <xdr:col>11</xdr:col>
      <xdr:colOff>323215</xdr:colOff>
      <xdr:row>80</xdr:row>
      <xdr:rowOff>140335</xdr:rowOff>
    </xdr:to>
    <xdr:graphicFrame>
      <xdr:nvGraphicFramePr>
        <xdr:cNvPr id="19" name="Chart 18"/>
        <xdr:cNvGraphicFramePr/>
      </xdr:nvGraphicFramePr>
      <xdr:xfrm>
        <a:off x="94615" y="12001500"/>
        <a:ext cx="8275320" cy="52076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11</xdr:col>
      <xdr:colOff>472440</xdr:colOff>
      <xdr:row>56</xdr:row>
      <xdr:rowOff>97155</xdr:rowOff>
    </xdr:from>
    <xdr:to>
      <xdr:col>14</xdr:col>
      <xdr:colOff>107950</xdr:colOff>
      <xdr:row>67</xdr:row>
      <xdr:rowOff>125730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20" name="Region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519160" y="12045315"/>
              <a:ext cx="1830070" cy="237553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11</xdr:col>
      <xdr:colOff>500380</xdr:colOff>
      <xdr:row>68</xdr:row>
      <xdr:rowOff>53340</xdr:rowOff>
    </xdr:from>
    <xdr:to>
      <xdr:col>14</xdr:col>
      <xdr:colOff>140970</xdr:colOff>
      <xdr:row>80</xdr:row>
      <xdr:rowOff>112395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21" name="Stat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tat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547100" y="14561820"/>
              <a:ext cx="1835150" cy="26193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14</xdr:col>
      <xdr:colOff>199390</xdr:colOff>
      <xdr:row>56</xdr:row>
      <xdr:rowOff>104140</xdr:rowOff>
    </xdr:from>
    <xdr:to>
      <xdr:col>17</xdr:col>
      <xdr:colOff>314325</xdr:colOff>
      <xdr:row>80</xdr:row>
      <xdr:rowOff>89535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22" name="City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it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440670" y="12052300"/>
              <a:ext cx="2309495" cy="510603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12</xdr:col>
      <xdr:colOff>66675</xdr:colOff>
      <xdr:row>63</xdr:row>
      <xdr:rowOff>148590</xdr:rowOff>
    </xdr:from>
    <xdr:to>
      <xdr:col>13</xdr:col>
      <xdr:colOff>547370</xdr:colOff>
      <xdr:row>67</xdr:row>
      <xdr:rowOff>19050</xdr:rowOff>
    </xdr:to>
    <xdr:pic>
      <xdr:nvPicPr>
        <xdr:cNvPr id="23" name="Picture 22" descr="Screenshot 2025-11-24 at 9.41.07 PM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8844915" y="13590270"/>
          <a:ext cx="1212215" cy="723900"/>
        </a:xfrm>
        <a:prstGeom prst="rect">
          <a:avLst/>
        </a:prstGeom>
      </xdr:spPr>
    </xdr:pic>
    <xdr:clientData/>
  </xdr:twoCellAnchor>
  <xdr:twoCellAnchor editAs="oneCell">
    <xdr:from>
      <xdr:col>17</xdr:col>
      <xdr:colOff>669925</xdr:colOff>
      <xdr:row>64</xdr:row>
      <xdr:rowOff>159385</xdr:rowOff>
    </xdr:from>
    <xdr:to>
      <xdr:col>20</xdr:col>
      <xdr:colOff>40005</xdr:colOff>
      <xdr:row>72</xdr:row>
      <xdr:rowOff>213995</xdr:rowOff>
    </xdr:to>
    <xdr:pic>
      <xdr:nvPicPr>
        <xdr:cNvPr id="24" name="Picture 23" descr="Screenshot 2025-11-24 at 9.45.45 PM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13105765" y="13814425"/>
          <a:ext cx="1564640" cy="1761490"/>
        </a:xfrm>
        <a:prstGeom prst="rect">
          <a:avLst/>
        </a:prstGeom>
      </xdr:spPr>
    </xdr:pic>
    <xdr:clientData/>
  </xdr:twoCellAnchor>
  <xdr:twoCellAnchor>
    <xdr:from>
      <xdr:col>0</xdr:col>
      <xdr:colOff>150495</xdr:colOff>
      <xdr:row>0</xdr:row>
      <xdr:rowOff>181610</xdr:rowOff>
    </xdr:from>
    <xdr:to>
      <xdr:col>2</xdr:col>
      <xdr:colOff>44450</xdr:colOff>
      <xdr:row>2</xdr:row>
      <xdr:rowOff>52705</xdr:rowOff>
    </xdr:to>
    <xdr:sp>
      <xdr:nvSpPr>
        <xdr:cNvPr id="25" name="Text Box 24"/>
        <xdr:cNvSpPr txBox="1"/>
      </xdr:nvSpPr>
      <xdr:spPr>
        <a:xfrm>
          <a:off x="150495" y="181610"/>
          <a:ext cx="1356995" cy="297815"/>
        </a:xfrm>
        <a:prstGeom prst="rect">
          <a:avLst/>
        </a:prstGeom>
      </xdr:spPr>
      <xdr:style>
        <a:lnRef idx="0">
          <a:srgbClr val="FFFFFF"/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>
          <a:noAutofit/>
        </a:bodyPr>
        <a:p>
          <a:pPr algn="l"/>
          <a:r>
            <a:rPr lang="en-US" sz="1100">
              <a:solidFill>
                <a:schemeClr val="tx1"/>
              </a:solidFill>
              <a:ea typeface="Xingkai SC Light" panose="02010800040101010101" charset="-122"/>
              <a:cs typeface="+mn-lt"/>
            </a:rPr>
            <a:t>TOTAL REVENUE</a:t>
          </a:r>
          <a:endParaRPr lang="en-US" sz="1100">
            <a:solidFill>
              <a:schemeClr val="tx1"/>
            </a:solidFill>
            <a:ea typeface="Xingkai SC Light" panose="02010800040101010101" charset="-122"/>
            <a:cs typeface="+mn-lt"/>
          </a:endParaRPr>
        </a:p>
      </xdr:txBody>
    </xdr:sp>
    <xdr:clientData/>
  </xdr:twoCellAnchor>
  <xdr:twoCellAnchor>
    <xdr:from>
      <xdr:col>0</xdr:col>
      <xdr:colOff>234950</xdr:colOff>
      <xdr:row>2</xdr:row>
      <xdr:rowOff>138430</xdr:rowOff>
    </xdr:from>
    <xdr:to>
      <xdr:col>2</xdr:col>
      <xdr:colOff>22860</xdr:colOff>
      <xdr:row>4</xdr:row>
      <xdr:rowOff>65405</xdr:rowOff>
    </xdr:to>
    <xdr:sp>
      <xdr:nvSpPr>
        <xdr:cNvPr id="26" name="Text Box 25"/>
        <xdr:cNvSpPr txBox="1"/>
      </xdr:nvSpPr>
      <xdr:spPr>
        <a:xfrm>
          <a:off x="234950" y="565150"/>
          <a:ext cx="1250950" cy="353695"/>
        </a:xfrm>
        <a:prstGeom prst="rect">
          <a:avLst/>
        </a:prstGeom>
      </xdr:spPr>
      <xdr:style>
        <a:lnRef idx="0">
          <a:srgbClr val="FFFFFF"/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>
          <a:noAutofit/>
        </a:bodyPr>
        <a:p>
          <a:pPr algn="l"/>
          <a:r>
            <a:rPr lang="en-US" sz="1600"/>
            <a:t>94,894</a:t>
          </a:r>
          <a:endParaRPr lang="en-US" sz="1600"/>
        </a:p>
      </xdr:txBody>
    </xdr:sp>
    <xdr:clientData/>
  </xdr:twoCellAnchor>
  <xdr:twoCellAnchor editAs="oneCell">
    <xdr:from>
      <xdr:col>3</xdr:col>
      <xdr:colOff>595630</xdr:colOff>
      <xdr:row>0</xdr:row>
      <xdr:rowOff>160655</xdr:rowOff>
    </xdr:from>
    <xdr:to>
      <xdr:col>5</xdr:col>
      <xdr:colOff>205105</xdr:colOff>
      <xdr:row>6</xdr:row>
      <xdr:rowOff>17145</xdr:rowOff>
    </xdr:to>
    <xdr:pic>
      <xdr:nvPicPr>
        <xdr:cNvPr id="27" name="Picture 26" descr="Screenshot 2025-11-24 at 10.20.02 AM"/>
        <xdr:cNvPicPr>
          <a:picLocks noChangeAspect="1"/>
        </xdr:cNvPicPr>
      </xdr:nvPicPr>
      <xdr:blipFill>
        <a:blip r:embed="rId13"/>
        <a:srcRect t="2757" r="962" b="6755"/>
        <a:stretch>
          <a:fillRect/>
        </a:stretch>
      </xdr:blipFill>
      <xdr:spPr>
        <a:xfrm>
          <a:off x="2790190" y="160655"/>
          <a:ext cx="1072515" cy="1136650"/>
        </a:xfrm>
        <a:prstGeom prst="rect">
          <a:avLst/>
        </a:prstGeom>
      </xdr:spPr>
    </xdr:pic>
    <xdr:clientData/>
  </xdr:twoCellAnchor>
  <xdr:twoCellAnchor editAs="oneCell">
    <xdr:from>
      <xdr:col>15</xdr:col>
      <xdr:colOff>382905</xdr:colOff>
      <xdr:row>0</xdr:row>
      <xdr:rowOff>75565</xdr:rowOff>
    </xdr:from>
    <xdr:to>
      <xdr:col>16</xdr:col>
      <xdr:colOff>627380</xdr:colOff>
      <xdr:row>5</xdr:row>
      <xdr:rowOff>168910</xdr:rowOff>
    </xdr:to>
    <xdr:pic>
      <xdr:nvPicPr>
        <xdr:cNvPr id="28" name="Picture 27" descr="Screenshot 2025-11-24 at 10.13.47 AM"/>
        <xdr:cNvPicPr>
          <a:picLocks noChangeAspect="1"/>
        </xdr:cNvPicPr>
      </xdr:nvPicPr>
      <xdr:blipFill>
        <a:blip r:embed="rId14"/>
        <a:srcRect l="12427"/>
        <a:stretch>
          <a:fillRect/>
        </a:stretch>
      </xdr:blipFill>
      <xdr:spPr>
        <a:xfrm>
          <a:off x="11355705" y="75565"/>
          <a:ext cx="975995" cy="1160145"/>
        </a:xfrm>
        <a:prstGeom prst="rect">
          <a:avLst/>
        </a:prstGeom>
      </xdr:spPr>
    </xdr:pic>
    <xdr:clientData/>
  </xdr:twoCellAnchor>
  <xdr:twoCellAnchor>
    <xdr:from>
      <xdr:col>18</xdr:col>
      <xdr:colOff>99060</xdr:colOff>
      <xdr:row>0</xdr:row>
      <xdr:rowOff>171450</xdr:rowOff>
    </xdr:from>
    <xdr:to>
      <xdr:col>20</xdr:col>
      <xdr:colOff>200660</xdr:colOff>
      <xdr:row>1</xdr:row>
      <xdr:rowOff>212090</xdr:rowOff>
    </xdr:to>
    <xdr:sp>
      <xdr:nvSpPr>
        <xdr:cNvPr id="29" name="Text Box 28"/>
        <xdr:cNvSpPr txBox="1"/>
      </xdr:nvSpPr>
      <xdr:spPr>
        <a:xfrm>
          <a:off x="13266420" y="171450"/>
          <a:ext cx="1564640" cy="254000"/>
        </a:xfrm>
        <a:prstGeom prst="rect">
          <a:avLst/>
        </a:prstGeom>
      </xdr:spPr>
      <xdr:style>
        <a:lnRef idx="0">
          <a:srgbClr val="FFFFFF"/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r>
            <a:rPr lang="en-US" sz="1100">
              <a:solidFill>
                <a:schemeClr val="tx1"/>
              </a:solidFill>
            </a:rPr>
            <a:t>TOTAL DISCOUNT</a:t>
          </a:r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18</xdr:col>
      <xdr:colOff>279400</xdr:colOff>
      <xdr:row>2</xdr:row>
      <xdr:rowOff>157480</xdr:rowOff>
    </xdr:from>
    <xdr:to>
      <xdr:col>19</xdr:col>
      <xdr:colOff>357505</xdr:colOff>
      <xdr:row>3</xdr:row>
      <xdr:rowOff>201930</xdr:rowOff>
    </xdr:to>
    <xdr:sp>
      <xdr:nvSpPr>
        <xdr:cNvPr id="30" name="Text Box 29"/>
        <xdr:cNvSpPr txBox="1"/>
      </xdr:nvSpPr>
      <xdr:spPr>
        <a:xfrm>
          <a:off x="13446760" y="584200"/>
          <a:ext cx="809625" cy="257810"/>
        </a:xfrm>
        <a:prstGeom prst="rect">
          <a:avLst/>
        </a:prstGeom>
      </xdr:spPr>
      <xdr:style>
        <a:lnRef idx="0">
          <a:srgbClr val="FFFFFF"/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>
          <a:noAutofit/>
        </a:bodyPr>
        <a:p>
          <a:pPr algn="l"/>
          <a:r>
            <a:rPr lang="en-US" sz="1100"/>
            <a:t>8532%</a:t>
          </a:r>
          <a:endParaRPr lang="en-US" sz="1100"/>
        </a:p>
      </xdr:txBody>
    </xdr:sp>
    <xdr:clientData/>
  </xdr:twoCellAnchor>
  <xdr:twoCellAnchor editAs="oneCell">
    <xdr:from>
      <xdr:col>19</xdr:col>
      <xdr:colOff>321310</xdr:colOff>
      <xdr:row>2</xdr:row>
      <xdr:rowOff>66675</xdr:rowOff>
    </xdr:from>
    <xdr:to>
      <xdr:col>20</xdr:col>
      <xdr:colOff>88900</xdr:colOff>
      <xdr:row>4</xdr:row>
      <xdr:rowOff>43180</xdr:rowOff>
    </xdr:to>
    <xdr:pic>
      <xdr:nvPicPr>
        <xdr:cNvPr id="32" name="Picture 31" descr="Screenshot 2025-11-24 at 10.00.03 PM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 flipH="1">
          <a:off x="14220190" y="493395"/>
          <a:ext cx="499110" cy="403225"/>
        </a:xfrm>
        <a:prstGeom prst="rect">
          <a:avLst/>
        </a:prstGeom>
      </xdr:spPr>
    </xdr:pic>
    <xdr:clientData/>
  </xdr:twoCellAnchor>
  <xdr:twoCellAnchor editAs="oneCell">
    <xdr:from>
      <xdr:col>1</xdr:col>
      <xdr:colOff>405765</xdr:colOff>
      <xdr:row>2</xdr:row>
      <xdr:rowOff>20955</xdr:rowOff>
    </xdr:from>
    <xdr:to>
      <xdr:col>2</xdr:col>
      <xdr:colOff>107315</xdr:colOff>
      <xdr:row>4</xdr:row>
      <xdr:rowOff>53340</xdr:rowOff>
    </xdr:to>
    <xdr:pic>
      <xdr:nvPicPr>
        <xdr:cNvPr id="33" name="Picture 32" descr="Screenshot 2025-11-24 at 10.03.47 AM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1137285" y="447675"/>
          <a:ext cx="433070" cy="459105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983.4356597222" refreshedBy="dhanush" recordCount="539">
  <cacheSource type="worksheet">
    <worksheetSource ref="A1:X540" sheet="Superstores sales dataset"/>
  </cacheSource>
  <cacheFields count="24">
    <cacheField name="Row ID" numFmtId="176">
      <sharedItems containsSemiMixedTypes="0" containsString="0" containsNumber="1" containsInteger="1" minValue="1" maxValue="9164" count="539">
        <n v="1"/>
        <n v="3"/>
        <n v="4"/>
        <n v="6"/>
        <n v="13"/>
        <n v="14"/>
        <n v="15"/>
        <n v="17"/>
        <n v="18"/>
        <n v="19"/>
        <n v="22"/>
        <n v="24"/>
        <n v="25"/>
        <n v="26"/>
        <n v="28"/>
        <n v="35"/>
        <n v="36"/>
        <n v="38"/>
        <n v="42"/>
        <n v="43"/>
        <n v="44"/>
        <n v="45"/>
        <n v="47"/>
        <n v="48"/>
        <n v="50"/>
        <n v="54"/>
        <n v="56"/>
        <n v="63"/>
        <n v="67"/>
        <n v="68"/>
        <n v="70"/>
        <n v="71"/>
        <n v="72"/>
        <n v="73"/>
        <n v="76"/>
        <n v="79"/>
        <n v="80"/>
        <n v="82"/>
        <n v="84"/>
        <n v="85"/>
        <n v="86"/>
        <n v="87"/>
        <n v="89"/>
        <n v="90"/>
        <n v="93"/>
        <n v="96"/>
        <n v="97"/>
        <n v="98"/>
        <n v="99"/>
        <n v="100"/>
        <n v="103"/>
        <n v="104"/>
        <n v="107"/>
        <n v="110"/>
        <n v="111"/>
        <n v="112"/>
        <n v="114"/>
        <n v="118"/>
        <n v="119"/>
        <n v="120"/>
        <n v="125"/>
        <n v="126"/>
        <n v="127"/>
        <n v="129"/>
        <n v="131"/>
        <n v="134"/>
        <n v="141"/>
        <n v="142"/>
        <n v="145"/>
        <n v="146"/>
        <n v="147"/>
        <n v="148"/>
        <n v="152"/>
        <n v="154"/>
        <n v="157"/>
        <n v="158"/>
        <n v="159"/>
        <n v="161"/>
        <n v="162"/>
        <n v="163"/>
        <n v="164"/>
        <n v="165"/>
        <n v="172"/>
        <n v="175"/>
        <n v="177"/>
        <n v="178"/>
        <n v="180"/>
        <n v="181"/>
        <n v="183"/>
        <n v="186"/>
        <n v="187"/>
        <n v="188"/>
        <n v="190"/>
        <n v="195"/>
        <n v="196"/>
        <n v="198"/>
        <n v="199"/>
        <n v="201"/>
        <n v="202"/>
        <n v="204"/>
        <n v="205"/>
        <n v="206"/>
        <n v="207"/>
        <n v="212"/>
        <n v="213"/>
        <n v="218"/>
        <n v="220"/>
        <n v="226"/>
        <n v="229"/>
        <n v="231"/>
        <n v="232"/>
        <n v="237"/>
        <n v="238"/>
        <n v="245"/>
        <n v="250"/>
        <n v="251"/>
        <n v="253"/>
        <n v="255"/>
        <n v="259"/>
        <n v="262"/>
        <n v="263"/>
        <n v="265"/>
        <n v="266"/>
        <n v="267"/>
        <n v="268"/>
        <n v="269"/>
        <n v="271"/>
        <n v="272"/>
        <n v="275"/>
        <n v="277"/>
        <n v="281"/>
        <n v="283"/>
        <n v="284"/>
        <n v="287"/>
        <n v="290"/>
        <n v="294"/>
        <n v="299"/>
        <n v="304"/>
        <n v="305"/>
        <n v="306"/>
        <n v="307"/>
        <n v="309"/>
        <n v="310"/>
        <n v="314"/>
        <n v="315"/>
        <n v="317"/>
        <n v="318"/>
        <n v="323"/>
        <n v="324"/>
        <n v="326"/>
        <n v="327"/>
        <n v="332"/>
        <n v="335"/>
        <n v="338"/>
        <n v="340"/>
        <n v="341"/>
        <n v="345"/>
        <n v="346"/>
        <n v="347"/>
        <n v="350"/>
        <n v="355"/>
        <n v="359"/>
        <n v="360"/>
        <n v="362"/>
        <n v="366"/>
        <n v="367"/>
        <n v="371"/>
        <n v="373"/>
        <n v="377"/>
        <n v="378"/>
        <n v="379"/>
        <n v="382"/>
        <n v="384"/>
        <n v="385"/>
        <n v="387"/>
        <n v="389"/>
        <n v="390"/>
        <n v="392"/>
        <n v="394"/>
        <n v="395"/>
        <n v="396"/>
        <n v="398"/>
        <n v="399"/>
        <n v="403"/>
        <n v="404"/>
        <n v="405"/>
        <n v="406"/>
        <n v="415"/>
        <n v="417"/>
        <n v="418"/>
        <n v="419"/>
        <n v="420"/>
        <n v="422"/>
        <n v="423"/>
        <n v="425"/>
        <n v="426"/>
        <n v="428"/>
        <n v="429"/>
        <n v="430"/>
        <n v="434"/>
        <n v="435"/>
        <n v="437"/>
        <n v="439"/>
        <n v="440"/>
        <n v="441"/>
        <n v="447"/>
        <n v="448"/>
        <n v="454"/>
        <n v="456"/>
        <n v="457"/>
        <n v="458"/>
        <n v="460"/>
        <n v="463"/>
        <n v="468"/>
        <n v="469"/>
        <n v="470"/>
        <n v="471"/>
        <n v="472"/>
        <n v="478"/>
        <n v="479"/>
        <n v="480"/>
        <n v="482"/>
        <n v="483"/>
        <n v="485"/>
        <n v="488"/>
        <n v="489"/>
        <n v="492"/>
        <n v="494"/>
        <n v="495"/>
        <n v="496"/>
        <n v="497"/>
        <n v="501"/>
        <n v="506"/>
        <n v="507"/>
        <n v="511"/>
        <n v="513"/>
        <n v="514"/>
        <n v="516"/>
        <n v="520"/>
        <n v="523"/>
        <n v="524"/>
        <n v="526"/>
        <n v="527"/>
        <n v="529"/>
        <n v="532"/>
        <n v="533"/>
        <n v="534"/>
        <n v="536"/>
        <n v="537"/>
        <n v="538"/>
        <n v="539"/>
        <n v="541"/>
        <n v="542"/>
        <n v="543"/>
        <n v="544"/>
        <n v="547"/>
        <n v="549"/>
        <n v="552"/>
        <n v="553"/>
        <n v="554"/>
        <n v="555"/>
        <n v="556"/>
        <n v="557"/>
        <n v="560"/>
        <n v="562"/>
        <n v="564"/>
        <n v="566"/>
        <n v="567"/>
        <n v="571"/>
        <n v="575"/>
        <n v="576"/>
        <n v="579"/>
        <n v="581"/>
        <n v="582"/>
        <n v="587"/>
        <n v="589"/>
        <n v="593"/>
        <n v="595"/>
        <n v="599"/>
        <n v="600"/>
        <n v="603"/>
        <n v="608"/>
        <n v="611"/>
        <n v="613"/>
        <n v="615"/>
        <n v="617"/>
        <n v="622"/>
        <n v="623"/>
        <n v="627"/>
        <n v="628"/>
        <n v="629"/>
        <n v="631"/>
        <n v="634"/>
        <n v="636"/>
        <n v="637"/>
        <n v="639"/>
        <n v="641"/>
        <n v="642"/>
        <n v="644"/>
        <n v="645"/>
        <n v="646"/>
        <n v="647"/>
        <n v="649"/>
        <n v="652"/>
        <n v="653"/>
        <n v="655"/>
        <n v="658"/>
        <n v="660"/>
        <n v="664"/>
        <n v="665"/>
        <n v="666"/>
        <n v="669"/>
        <n v="670"/>
        <n v="673"/>
        <n v="674"/>
        <n v="677"/>
        <n v="681"/>
        <n v="684"/>
        <n v="686"/>
        <n v="689"/>
        <n v="690"/>
        <n v="693"/>
        <n v="695"/>
        <n v="702"/>
        <n v="703"/>
        <n v="704"/>
        <n v="705"/>
        <n v="708"/>
        <n v="711"/>
        <n v="712"/>
        <n v="713"/>
        <n v="716"/>
        <n v="717"/>
        <n v="718"/>
        <n v="719"/>
        <n v="721"/>
        <n v="722"/>
        <n v="724"/>
        <n v="725"/>
        <n v="726"/>
        <n v="728"/>
        <n v="733"/>
        <n v="739"/>
        <n v="740"/>
        <n v="743"/>
        <n v="747"/>
        <n v="749"/>
        <n v="750"/>
        <n v="754"/>
        <n v="755"/>
        <n v="756"/>
        <n v="757"/>
        <n v="759"/>
        <n v="760"/>
        <n v="761"/>
        <n v="762"/>
        <n v="763"/>
        <n v="764"/>
        <n v="769"/>
        <n v="770"/>
        <n v="771"/>
        <n v="777"/>
        <n v="778"/>
        <n v="782"/>
        <n v="786"/>
        <n v="787"/>
        <n v="788"/>
        <n v="789"/>
        <n v="793"/>
        <n v="794"/>
        <n v="796"/>
        <n v="797"/>
        <n v="800"/>
        <n v="801"/>
        <n v="803"/>
        <n v="804"/>
        <n v="805"/>
        <n v="806"/>
        <n v="808"/>
        <n v="810"/>
        <n v="814"/>
        <n v="816"/>
        <n v="817"/>
        <n v="818"/>
        <n v="823"/>
        <n v="825"/>
        <n v="827"/>
        <n v="830"/>
        <n v="834"/>
        <n v="837"/>
        <n v="838"/>
        <n v="839"/>
        <n v="840"/>
        <n v="843"/>
        <n v="847"/>
        <n v="849"/>
        <n v="850"/>
        <n v="851"/>
        <n v="853"/>
        <n v="854"/>
        <n v="856"/>
        <n v="859"/>
        <n v="861"/>
        <n v="863"/>
        <n v="866"/>
        <n v="868"/>
        <n v="869"/>
        <n v="870"/>
        <n v="872"/>
        <n v="873"/>
        <n v="875"/>
        <n v="876"/>
        <n v="879"/>
        <n v="880"/>
        <n v="882"/>
        <n v="883"/>
        <n v="884"/>
        <n v="885"/>
        <n v="886"/>
        <n v="887"/>
        <n v="888"/>
        <n v="889"/>
        <n v="890"/>
        <n v="892"/>
        <n v="895"/>
        <n v="897"/>
        <n v="898"/>
        <n v="899"/>
        <n v="900"/>
        <n v="901"/>
        <n v="903"/>
        <n v="904"/>
        <n v="907"/>
        <n v="910"/>
        <n v="913"/>
        <n v="914"/>
        <n v="916"/>
        <n v="919"/>
        <n v="921"/>
        <n v="922"/>
        <n v="925"/>
        <n v="926"/>
        <n v="928"/>
        <n v="930"/>
        <n v="933"/>
        <n v="934"/>
        <n v="938"/>
        <n v="939"/>
        <n v="941"/>
        <n v="942"/>
        <n v="944"/>
        <n v="947"/>
        <n v="948"/>
        <n v="953"/>
        <n v="954"/>
        <n v="956"/>
        <n v="957"/>
        <n v="960"/>
        <n v="961"/>
        <n v="962"/>
        <n v="963"/>
        <n v="964"/>
        <n v="965"/>
        <n v="971"/>
        <n v="975"/>
        <n v="977"/>
        <n v="978"/>
        <n v="979"/>
        <n v="980"/>
        <n v="981"/>
        <n v="982"/>
        <n v="985"/>
        <n v="988"/>
        <n v="989"/>
        <n v="991"/>
        <n v="992"/>
        <n v="993"/>
        <n v="995"/>
        <n v="997"/>
        <n v="1001"/>
        <n v="1002"/>
        <n v="1005"/>
        <n v="1006"/>
        <n v="1007"/>
        <n v="1009"/>
        <n v="1010"/>
        <n v="1011"/>
        <n v="1012"/>
        <n v="1014"/>
        <n v="1016"/>
        <n v="1017"/>
        <n v="1021"/>
        <n v="1024"/>
        <n v="1025"/>
        <n v="1026"/>
        <n v="1029"/>
        <n v="1034"/>
        <n v="1037"/>
        <n v="1038"/>
        <n v="1039"/>
        <n v="1041"/>
        <n v="1042"/>
        <n v="9091"/>
        <n v="9092"/>
        <n v="9094"/>
        <n v="9098"/>
        <n v="9099"/>
        <n v="9102"/>
        <n v="9108"/>
        <n v="9111"/>
        <n v="9115"/>
        <n v="9116"/>
        <n v="9120"/>
        <n v="9122"/>
        <n v="9123"/>
        <n v="9124"/>
        <n v="9125"/>
        <n v="9127"/>
        <n v="9128"/>
        <n v="9129"/>
        <n v="9130"/>
        <n v="9132"/>
        <n v="9134"/>
        <n v="9135"/>
        <n v="9138"/>
        <n v="9140"/>
        <n v="9141"/>
        <n v="9142"/>
        <n v="9143"/>
        <n v="9146"/>
        <n v="9147"/>
        <n v="9150"/>
        <n v="9152"/>
        <n v="9155"/>
        <n v="9156"/>
        <n v="9157"/>
        <n v="9160"/>
        <n v="9162"/>
        <n v="9164"/>
      </sharedItems>
    </cacheField>
    <cacheField name="Order ID" numFmtId="0">
      <sharedItems count="539">
        <s v="CA-2016-152156"/>
        <s v="CA-2016-138688"/>
        <s v="US-2015-108966"/>
        <s v="CA-2014-115812"/>
        <s v="CA-2017-114412"/>
        <s v="CA-2016-161389"/>
        <s v="US-2015-118983"/>
        <s v="CA-2014-105893"/>
        <s v="CA-2014-167164"/>
        <s v="CA-2014-143336"/>
        <s v="CA-2016-137330"/>
        <s v="US-2017-156909"/>
        <s v="CA-2015-106320"/>
        <s v="CA-2016-121755"/>
        <s v="US-2015-150630"/>
        <s v="CA-2017-107727"/>
        <s v="CA-2016-117590"/>
        <s v="CA-2015-117415"/>
        <s v="CA-2017-120999"/>
        <s v="CA-2016-101343"/>
        <s v="CA-2017-139619"/>
        <s v="CA-2016-118255"/>
        <s v="CA-2014-146703"/>
        <s v="CA-2016-169194"/>
        <s v="CA-2015-115742"/>
        <s v="CA-2016-105816"/>
        <s v="CA-2016-111682"/>
        <s v="CA-2015-135545"/>
        <s v="US-2015-164175"/>
        <s v="CA-2014-106376"/>
        <s v="CA-2016-119823"/>
        <s v="CA-2016-106075"/>
        <s v="CA-2017-114440"/>
        <s v="US-2015-134026"/>
        <s v="US-2017-118038"/>
        <s v="US-2014-147606"/>
        <s v="CA-2016-127208"/>
        <s v="CA-2014-139451"/>
        <s v="CA-2015-149734"/>
        <s v="US-2017-119662"/>
        <s v="CA-2017-140088"/>
        <s v="CA-2017-155558"/>
        <s v="CA-2016-159695"/>
        <s v="CA-2016-109806"/>
        <s v="CA-2015-149587"/>
        <s v="US-2017-109484"/>
        <s v="CA-2017-161018"/>
        <s v="CA-2017-157833"/>
        <s v="CA-2016-149223"/>
        <s v="CA-2016-158568"/>
        <s v="CA-2016-129903"/>
        <s v="US-2015-156867"/>
        <s v="CA-2017-119004"/>
        <s v="CA-2015-129476"/>
        <s v="CA-2017-146780"/>
        <s v="CA-2016-128867"/>
        <s v="CA-2014-115259"/>
        <s v="CA-2015-110457"/>
        <s v="US-2015-136476"/>
        <s v="CA-2016-103730"/>
        <s v="US-2014-152030"/>
        <s v="US-2014-134614"/>
        <s v="US-2017-107272"/>
        <s v="US-2016-125969"/>
        <s v="US-2017-164147"/>
        <s v="CA-2016-145583"/>
        <s v="CA-2016-110366"/>
        <s v="CA-2017-106180"/>
        <s v="CA-2017-155376"/>
        <s v="CA-2015-110744"/>
        <s v="CA-2014-110072"/>
        <s v="CA-2016-114489"/>
        <s v="CA-2016-158834"/>
        <s v="CA-2015-124919"/>
        <s v="CA-2015-118948"/>
        <s v="CA-2014-104269"/>
        <s v="CA-2016-114104"/>
        <s v="CA-2016-162733"/>
        <s v="CA-2015-119697"/>
        <s v="CA-2016-154508"/>
        <s v="CA-2016-113817"/>
        <s v="CA-2014-139892"/>
        <s v="CA-2014-118962"/>
        <s v="US-2014-100853"/>
        <s v="US-2017-152366"/>
        <s v="US-2015-101511"/>
        <s v="CA-2015-137225"/>
        <s v="CA-2014-166191"/>
        <s v="CA-2014-158274"/>
        <s v="CA-2016-105018"/>
        <s v="CA-2014-123260"/>
        <s v="CA-2016-157000"/>
        <s v="CA-2015-102281"/>
        <s v="CA-2015-131457"/>
        <s v="CA-2014-140004"/>
        <s v="CA-2017-107720"/>
        <s v="US-2017-124303"/>
        <s v="CA-2017-105074"/>
        <s v="CA-2014-133690"/>
        <s v="US-2017-116701"/>
        <s v="CA-2017-126382"/>
        <s v="CA-2017-108329"/>
        <s v="CA-2017-135860"/>
        <s v="CA-2015-101007"/>
        <s v="CA-2015-146262"/>
        <s v="CA-2016-130162"/>
        <s v="CA-2015-169397"/>
        <s v="CA-2015-163055"/>
        <s v="US-2015-145436"/>
        <s v="US-2014-156216"/>
        <s v="US-2017-100930"/>
        <s v="CA-2017-160514"/>
        <s v="CA-2016-157749"/>
        <s v="CA-2014-131926"/>
        <s v="CA-2016-154739"/>
        <s v="CA-2016-145625"/>
        <s v="CA-2016-146941"/>
        <s v="US-2015-159982"/>
        <s v="CA-2017-163139"/>
        <s v="US-2017-155299"/>
        <s v="US-2014-106992"/>
        <s v="CA-2016-125318"/>
        <s v="CA-2015-155040"/>
        <s v="CA-2017-136826"/>
        <s v="CA-2016-111010"/>
        <s v="US-2017-145366"/>
        <s v="CA-2017-163979"/>
        <s v="CA-2015-155334"/>
        <s v="CA-2017-118136"/>
        <s v="CA-2017-132976"/>
        <s v="US-2015-161991"/>
        <s v="CA-2015-130890"/>
        <s v="CA-2015-130883"/>
        <s v="CA-2016-112697"/>
        <s v="CA-2016-110772"/>
        <s v="CA-2014-111451"/>
        <s v="CA-2016-142545"/>
        <s v="US-2017-152380"/>
        <s v="CA-2015-144253"/>
        <s v="CA-2014-130960"/>
        <s v="CA-2014-111003"/>
        <s v="CA-2017-126774"/>
        <s v="CA-2016-142902"/>
        <s v="CA-2014-120887"/>
        <s v="CA-2014-167850"/>
        <s v="CA-2014-164259"/>
        <s v="CA-2014-164973"/>
        <s v="CA-2014-156601"/>
        <s v="CA-2016-162138"/>
        <s v="CA-2017-153339"/>
        <s v="US-2016-141544"/>
        <s v="US-2016-150147"/>
        <s v="CA-2015-137946"/>
        <s v="CA-2014-129924"/>
        <s v="CA-2015-128167"/>
        <s v="CA-2014-122336"/>
        <s v="US-2015-120712"/>
        <s v="CA-2017-169901"/>
        <s v="CA-2017-134306"/>
        <s v="CA-2016-129714"/>
        <s v="CA-2016-138520"/>
        <s v="CA-2016-130001"/>
        <s v="CA-2017-155698"/>
        <s v="CA-2017-144904"/>
        <s v="CA-2014-123344"/>
        <s v="CA-2016-155516"/>
        <s v="CA-2017-104745"/>
        <s v="US-2014-119137"/>
        <s v="US-2016-134656"/>
        <s v="US-2017-134481"/>
        <s v="CA-2015-130792"/>
        <s v="CA-2016-134775"/>
        <s v="CA-2015-125395"/>
        <s v="US-2015-168935"/>
        <s v="CA-2015-122756"/>
        <s v="CA-2014-115973"/>
        <s v="CA-2017-101798"/>
        <s v="US-2014-135972"/>
        <s v="US-2014-134971"/>
        <s v="CA-2017-102946"/>
        <s v="CA-2017-165603"/>
        <s v="CA-2015-122259"/>
        <s v="CA-2016-108987"/>
        <s v="CA-2014-113166"/>
        <s v="CA-2014-155208"/>
        <s v="CA-2017-117933"/>
        <s v="CA-2017-117457"/>
        <s v="CA-2017-142636"/>
        <s v="CA-2017-122105"/>
        <s v="CA-2016-148796"/>
        <s v="CA-2017-154816"/>
        <s v="CA-2017-110478"/>
        <s v="CA-2014-142048"/>
        <s v="CA-2017-125388"/>
        <s v="CA-2017-155705"/>
        <s v="CA-2017-149160"/>
        <s v="CA-2014-101476"/>
        <s v="CA-2017-152275"/>
        <s v="US-2016-123750"/>
        <s v="CA-2016-127369"/>
        <s v="US-2014-150574"/>
        <s v="CA-2016-147375"/>
        <s v="CA-2017-130043"/>
        <s v="CA-2017-157252"/>
        <s v="CA-2016-115756"/>
        <s v="CA-2017-154214"/>
        <s v="CA-2016-166674"/>
        <s v="CA-2017-147277"/>
        <s v="CA-2016-100153"/>
        <s v="US-2014-110674"/>
        <s v="US-2016-157945"/>
        <s v="CA-2015-109638"/>
        <s v="CA-2016-109869"/>
        <s v="US-2015-101399"/>
        <s v="CA-2017-154907"/>
        <s v="US-2016-100419"/>
        <s v="CA-2015-154144"/>
        <s v="CA-2014-144666"/>
        <s v="CA-2016-103891"/>
        <s v="CA-2016-152632"/>
        <s v="CA-2016-100790"/>
        <s v="CA-2014-134677"/>
        <s v="CA-2014-127691"/>
        <s v="CA-2017-140963"/>
        <s v="CA-2014-154627"/>
        <s v="CA-2014-133753"/>
        <s v="CA-2014-113362"/>
        <s v="CA-2016-169166"/>
        <s v="US-2016-120929"/>
        <s v="CA-2015-134782"/>
        <s v="CA-2016-126158"/>
        <s v="US-2016-105578"/>
        <s v="CA-2017-134978"/>
        <s v="CA-2015-145352"/>
        <s v="CA-2017-135307"/>
        <s v="CA-2016-106341"/>
        <s v="CA-2017-163405"/>
        <s v="CA-2017-127432"/>
        <s v="CA-2015-157812"/>
        <s v="CA-2017-145142"/>
        <s v="US-2016-139486"/>
        <s v="CA-2015-158792"/>
        <s v="CA-2017-113558"/>
        <s v="US-2015-138303"/>
        <s v="CA-2015-102848"/>
        <s v="US-2017-129441"/>
        <s v="CA-2016-168753"/>
        <s v="CA-2016-126613"/>
        <s v="US-2017-122637"/>
        <s v="CA-2015-147851"/>
        <s v="CA-2015-134894"/>
        <s v="CA-2014-140795"/>
        <s v="CA-2016-136924"/>
        <s v="US-2015-120161"/>
        <s v="CA-2014-103849"/>
        <s v="CA-2017-162929"/>
        <s v="CA-2015-113173"/>
        <s v="CA-2016-136406"/>
        <s v="CA-2017-112774"/>
        <s v="CA-2017-101945"/>
        <s v="CA-2017-100650"/>
        <s v="CA-2014-155852"/>
        <s v="CA-2016-113243"/>
        <s v="CA-2017-118731"/>
        <s v="CA-2014-145576"/>
        <s v="CA-2015-130736"/>
        <s v="CA-2017-137099"/>
        <s v="CA-2017-156951"/>
        <s v="CA-2017-164826"/>
        <s v="CA-2016-127250"/>
        <s v="CA-2015-149713"/>
        <s v="CA-2017-118640"/>
        <s v="CA-2015-132906"/>
        <s v="CA-2017-145233"/>
        <s v="CA-2015-128139"/>
        <s v="US-2016-156986"/>
        <s v="CA-2014-135405"/>
        <s v="CA-2014-131450"/>
        <s v="CA-2016-120180"/>
        <s v="US-2016-100720"/>
        <s v="CA-2014-149958"/>
        <s v="US-2014-105767"/>
        <s v="CA-2016-161816"/>
        <s v="CA-2016-121223"/>
        <s v="CA-2017-138611"/>
        <s v="CA-2017-117947"/>
        <s v="US-2014-111171"/>
        <s v="CA-2015-138009"/>
        <s v="CA-2017-163020"/>
        <s v="CA-2017-153787"/>
        <s v="CA-2017-133431"/>
        <s v="US-2016-135720"/>
        <s v="CA-2017-144694"/>
        <s v="CA-2015-168004"/>
        <s v="US-2016-123470"/>
        <s v="CA-2016-115917"/>
        <s v="CA-2016-147067"/>
        <s v="CA-2017-167913"/>
        <s v="CA-2017-106103"/>
        <s v="US-2017-127719"/>
        <s v="CA-2017-126221"/>
        <s v="CA-2016-103947"/>
        <s v="CA-2016-160745"/>
        <s v="CA-2016-132661"/>
        <s v="CA-2017-140844"/>
        <s v="CA-2016-137239"/>
        <s v="US-2016-156097"/>
        <s v="CA-2015-146563"/>
        <s v="CA-2016-123666"/>
        <s v="CA-2016-143308"/>
        <s v="CA-2017-132682"/>
        <s v="CA-2014-156314"/>
        <s v="US-2017-106663"/>
        <s v="CA-2017-111178"/>
        <s v="CA-2017-130351"/>
        <s v="US-2017-119438"/>
        <s v="CA-2016-164511"/>
        <s v="US-2017-168116"/>
        <s v="CA-2014-157784"/>
        <s v="CA-2017-161480"/>
        <s v="US-2014-117135"/>
        <s v="CA-2015-131534"/>
        <s v="CA-2015-119291"/>
        <s v="CA-2017-114552"/>
        <s v="CA-2016-163755"/>
        <s v="CA-2015-142027"/>
        <s v="CA-2014-138527"/>
        <s v="CA-2014-112158"/>
        <s v="CA-2014-113887"/>
        <s v="CA-2017-146136"/>
        <s v="US-2017-100048"/>
        <s v="CA-2014-153150"/>
        <s v="CA-2014-130092"/>
        <s v="CA-2017-108910"/>
        <s v="CA-2014-104472"/>
        <s v="CA-2016-112942"/>
        <s v="CA-2016-142335"/>
        <s v="CA-2014-117429"/>
        <s v="CA-2016-114713"/>
        <s v="CA-2017-144113"/>
        <s v="US-2016-150861"/>
        <s v="CA-2017-131954"/>
        <s v="CA-2014-132500"/>
        <s v="CA-2014-112326"/>
        <s v="US-2016-146710"/>
        <s v="CA-2014-124429"/>
        <s v="CA-2016-150889"/>
        <s v="CA-2017-126074"/>
        <s v="CA-2016-110499"/>
        <s v="CA-2015-135272"/>
        <s v="CA-2016-140928"/>
        <s v="CA-2014-106803"/>
        <s v="CA-2017-117240"/>
        <s v="CA-2017-133333"/>
        <s v="CA-2015-112319"/>
        <s v="CA-2017-126046"/>
        <s v="CA-2015-114923"/>
        <s v="CA-2014-162775"/>
        <s v="CA-2014-106810"/>
        <s v="CA-2016-157245"/>
        <s v="CA-2017-104220"/>
        <s v="CA-2014-165974"/>
        <s v="CA-2015-144267"/>
        <s v="US-2015-157014"/>
        <s v="CA-2015-154921"/>
        <s v="CA-2017-129567"/>
        <s v="CA-2015-154620"/>
        <s v="CA-2015-115938"/>
        <s v="CA-2016-105256"/>
        <s v="CA-2014-156433"/>
        <s v="CA-2017-151428"/>
        <s v="CA-2015-124653"/>
        <s v="CA-2015-101910"/>
        <s v="CA-2017-105809"/>
        <s v="CA-2016-136133"/>
        <s v="CA-2016-115504"/>
        <s v="CA-2017-135783"/>
        <s v="CA-2014-134313"/>
        <s v="CA-2015-140921"/>
        <s v="CA-2014-151995"/>
        <s v="CA-2017-143686"/>
        <s v="CA-2015-106565"/>
        <s v="CA-2016-149370"/>
        <s v="CA-2014-140858"/>
        <s v="CA-2017-101434"/>
        <s v="US-2014-102071"/>
        <s v="CA-2017-126956"/>
        <s v="CA-2017-129462"/>
        <s v="CA-2016-165316"/>
        <s v="US-2014-115987"/>
        <s v="US-2017-156083"/>
        <s v="US-2016-137547"/>
        <s v="CA-2015-100454"/>
        <s v="CA-2016-161669"/>
        <s v="CA-2015-114300"/>
        <s v="CA-2017-107503"/>
        <s v="CA-2014-107755"/>
        <s v="CA-2016-152534"/>
        <s v="CA-2016-113747"/>
        <s v="CA-2016-123274"/>
        <s v="CA-2014-125612"/>
        <s v="CA-2017-161984"/>
        <s v="CA-2014-133851"/>
        <s v="CA-2016-134474"/>
        <s v="CA-2014-149020"/>
        <s v="CA-2016-134362"/>
        <s v="CA-2014-136742"/>
        <s v="CA-2016-158099"/>
        <s v="CA-2015-131128"/>
        <s v="CA-2014-148488"/>
        <s v="CA-2017-114636"/>
        <s v="CA-2016-116736"/>
        <s v="US-2014-158638"/>
        <s v="CA-2017-111689"/>
        <s v="CA-2015-129098"/>
        <s v="US-2017-123463"/>
        <s v="CA-2016-165148"/>
        <s v="CA-2014-134061"/>
        <s v="CA-2015-143602"/>
        <s v="CA-2017-115364"/>
        <s v="CA-2017-150707"/>
        <s v="CA-2014-104976"/>
        <s v="CA-2017-132934"/>
        <s v="CA-2017-133256"/>
        <s v="CA-2016-105494"/>
        <s v="CA-2016-140634"/>
        <s v="CA-2014-144407"/>
        <s v="CA-2017-160983"/>
        <s v="US-2016-114622"/>
        <s v="CA-2017-150959"/>
        <s v="CA-2017-132353"/>
        <s v="CA-2016-130477"/>
        <s v="CA-2017-143259"/>
        <s v="CA-2017-137596"/>
        <s v="CA-2015-133627"/>
        <s v="CA-2017-102519"/>
        <s v="US-2014-141215"/>
        <s v="CA-2016-165218"/>
        <s v="CA-2014-138296"/>
        <s v="CA-2015-111164"/>
        <s v="CA-2016-149797"/>
        <s v="CA-2014-132962"/>
        <s v="CA-2015-115091"/>
        <s v="CA-2017-144932"/>
        <s v="CA-2017-114216"/>
        <s v="CA-2016-140081"/>
        <s v="US-2017-111745"/>
        <s v="CA-2015-148250"/>
        <s v="CA-2016-105760"/>
        <s v="CA-2016-142958"/>
        <s v="CA-2015-120880"/>
        <s v="US-2015-140200"/>
        <s v="US-2017-110576"/>
        <s v="CA-2017-131156"/>
        <s v="CA-2017-136539"/>
        <s v="CA-2017-119305"/>
        <s v="CA-2017-102414"/>
        <s v="CA-2015-112571"/>
        <s v="CA-2017-152142"/>
        <s v="CA-2015-160059"/>
        <s v="CA-2016-120859"/>
        <s v="CA-2014-127488"/>
        <s v="CA-2017-135279"/>
        <s v="CA-2014-115791"/>
        <s v="US-2017-103247"/>
        <s v="US-2017-100209"/>
        <s v="CA-2017-159366"/>
        <s v="CA-2016-145499"/>
        <s v="CA-2015-157035"/>
        <s v="CA-2016-144939"/>
        <s v="CA-2014-163419"/>
        <s v="CA-2017-100314"/>
        <s v="CA-2015-146829"/>
        <s v="CA-2017-167899"/>
        <s v="CA-2015-153549"/>
        <s v="CA-2016-110023"/>
        <s v="CA-2016-105585"/>
        <s v="CA-2014-117639"/>
        <s v="CA-2015-162537"/>
        <s v="CA-2016-155488"/>
        <s v="CA-2015-124891"/>
        <s v="CA-2015-126445"/>
        <s v="CA-2015-111199"/>
        <s v="CA-2015-105312"/>
        <s v="US-2017-106705"/>
        <s v="CA-2017-135034"/>
        <s v="CA-2014-158540"/>
        <s v="CA-2017-118437"/>
        <s v="US-2015-126214"/>
        <s v="CA-2015-133025"/>
        <s v="CA-2015-108665"/>
        <s v="CA-2015-124450"/>
        <s v="CA-2015-167269"/>
        <s v="CA-2017-106964"/>
        <s v="CA-2016-126529"/>
        <s v="CA-2014-163552"/>
        <s v="CA-2016-109820"/>
        <s v="CA-2016-113061"/>
        <s v="CA-2015-127418"/>
        <s v="CA-2017-121818"/>
        <s v="CA-2016-127670"/>
        <s v="CA-2016-102981"/>
        <s v="US-2017-148831"/>
        <s v="CA-2015-162950"/>
        <s v="US-2015-132836"/>
        <s v="US-2014-158365"/>
        <s v="CA-2017-152933"/>
        <s v="CA-2015-163181"/>
        <s v="CA-2015-132941"/>
        <s v="CA-2014-132010"/>
        <s v="CA-2016-135461"/>
        <s v="CA-2017-153045"/>
        <s v="US-2016-155971"/>
        <s v="CA-2017-122007"/>
        <s v="CA-2017-162250"/>
        <s v="US-2016-158288"/>
        <s v="CA-2016-128916"/>
        <s v="CA-2015-157028"/>
        <s v="CA-2017-112473"/>
        <s v="US-2017-147655"/>
        <s v="CA-2016-130911"/>
        <s v="CA-2017-100055"/>
        <s v="CA-2015-157805"/>
        <s v="CA-2016-124254"/>
        <s v="CA-2014-123400"/>
        <s v="CA-2014-106971"/>
        <s v="CA-2017-123029"/>
        <s v="CA-2016-139409"/>
        <s v="US-2017-166688"/>
        <s v="CA-2015-126970"/>
        <s v="US-2016-165505"/>
        <s v="US-2014-157070"/>
        <s v="US-2015-106873"/>
        <s v="CA-2016-132990"/>
        <s v="CA-2014-102645"/>
        <s v="CA-2014-134215"/>
        <s v="CA-2016-118934"/>
        <s v="CA-2016-160108"/>
        <s v="CA-2015-164007"/>
      </sharedItems>
    </cacheField>
    <cacheField name="Order Date" numFmtId="0">
      <sharedItems containsSemiMixedTypes="0" containsString="0" containsNonDate="0" containsDate="1" minDate="2014-01-04T00:00:00" maxDate="2017-12-30T00:00:00" count="410">
        <d v="2016-11-08T00:00:00"/>
        <d v="2016-06-12T00:00:00"/>
        <d v="2015-10-11T00:00:00"/>
        <d v="2014-06-09T00:00:00"/>
        <d v="2017-04-15T00:00:00"/>
        <d v="2016-12-05T00:00:00"/>
        <d v="2015-11-22T00:00:00"/>
        <d v="2014-11-11T00:00:00"/>
        <d v="2014-05-13T00:00:00"/>
        <d v="2014-08-27T00:00:00"/>
        <d v="2016-12-09T00:00:00"/>
        <d v="2017-07-16T00:00:00"/>
        <d v="2015-09-25T00:00:00"/>
        <d v="2016-01-16T00:00:00"/>
        <d v="2015-09-17T00:00:00"/>
        <d v="2017-10-19T00:00:00"/>
        <d v="2016-12-08T00:00:00"/>
        <d v="2015-12-27T00:00:00"/>
        <d v="2017-09-10T00:00:00"/>
        <d v="2016-07-17T00:00:00"/>
        <d v="2017-09-19T00:00:00"/>
        <d v="2016-03-11T00:00:00"/>
        <d v="2014-10-20T00:00:00"/>
        <d v="2016-06-20T00:00:00"/>
        <d v="2015-04-18T00:00:00"/>
        <d v="2016-12-11T00:00:00"/>
        <d v="2016-06-17T00:00:00"/>
        <d v="2015-11-24T00:00:00"/>
        <d v="2015-04-30T00:00:00"/>
        <d v="2014-12-05T00:00:00"/>
        <d v="2016-06-04T00:00:00"/>
        <d v="2016-09-18T00:00:00"/>
        <d v="2017-09-14T00:00:00"/>
        <d v="2015-04-26T00:00:00"/>
        <d v="2017-12-09T00:00:00"/>
        <d v="2014-11-26T00:00:00"/>
        <d v="2014-10-12T00:00:00"/>
        <d v="2015-09-03T00:00:00"/>
        <d v="2017-11-13T00:00:00"/>
        <d v="2017-05-28T00:00:00"/>
        <d v="2017-10-26T00:00:00"/>
        <d v="2016-04-05T00:00:00"/>
        <d v="2016-09-17T00:00:00"/>
        <d v="2015-01-31T00:00:00"/>
        <d v="2017-11-06T00:00:00"/>
        <d v="2017-11-09T00:00:00"/>
        <d v="2017-06-17T00:00:00"/>
        <d v="2016-09-06T00:00:00"/>
        <d v="2016-08-29T00:00:00"/>
        <d v="2016-12-01T00:00:00"/>
        <d v="2015-11-13T00:00:00"/>
        <d v="2017-11-23T00:00:00"/>
        <d v="2015-10-15T00:00:00"/>
        <d v="2017-12-25T00:00:00"/>
        <d v="2016-11-03T00:00:00"/>
        <d v="2014-08-25T00:00:00"/>
        <d v="2015-03-02T00:00:00"/>
        <d v="2015-04-05T00:00:00"/>
        <d v="2014-12-26T00:00:00"/>
        <d v="2014-09-20T00:00:00"/>
        <d v="2017-11-05T00:00:00"/>
        <d v="2016-11-06T00:00:00"/>
        <d v="2017-02-02T00:00:00"/>
        <d v="2016-10-13T00:00:00"/>
        <d v="2016-09-05T00:00:00"/>
        <d v="2017-09-18T00:00:00"/>
        <d v="2017-12-22T00:00:00"/>
        <d v="2015-09-07T00:00:00"/>
        <d v="2014-10-22T00:00:00"/>
        <d v="2016-03-13T00:00:00"/>
        <d v="2015-05-31T00:00:00"/>
        <d v="2015-05-28T00:00:00"/>
        <d v="2014-03-01T00:00:00"/>
        <d v="2016-11-20T00:00:00"/>
        <d v="2016-05-11T00:00:00"/>
        <d v="2015-12-28T00:00:00"/>
        <d v="2016-11-16T00:00:00"/>
        <d v="2016-11-07T00:00:00"/>
        <d v="2014-09-08T00:00:00"/>
        <d v="2014-08-05T00:00:00"/>
        <d v="2014-09-14T00:00:00"/>
        <d v="2017-04-21T00:00:00"/>
        <d v="2015-11-21T00:00:00"/>
        <d v="2015-12-15T00:00:00"/>
        <d v="2014-11-19T00:00:00"/>
        <d v="2016-11-28T00:00:00"/>
        <d v="2014-08-26T00:00:00"/>
        <d v="2016-07-16T00:00:00"/>
        <d v="2015-10-12T00:00:00"/>
        <d v="2015-10-31T00:00:00"/>
        <d v="2014-03-21T00:00:00"/>
        <d v="2017-07-06T00:00:00"/>
        <d v="2017-06-24T00:00:00"/>
        <d v="2014-08-03T00:00:00"/>
        <d v="2017-12-17T00:00:00"/>
        <d v="2017-06-03T00:00:00"/>
        <d v="2017-12-01T00:00:00"/>
        <d v="2015-02-09T00:00:00"/>
        <d v="2015-01-02T00:00:00"/>
        <d v="2016-10-28T00:00:00"/>
        <d v="2015-12-24T00:00:00"/>
        <d v="2015-08-09T00:00:00"/>
        <d v="2015-02-28T00:00:00"/>
        <d v="2014-09-13T00:00:00"/>
        <d v="2017-04-07T00:00:00"/>
        <d v="2017-11-12T00:00:00"/>
        <d v="2014-06-01T00:00:00"/>
        <d v="2016-12-10T00:00:00"/>
        <d v="2016-09-11T00:00:00"/>
        <d v="2015-11-28T00:00:00"/>
        <d v="2017-06-08T00:00:00"/>
        <d v="2014-09-19T00:00:00"/>
        <d v="2016-06-06T00:00:00"/>
        <d v="2015-11-10T00:00:00"/>
        <d v="2017-06-16T00:00:00"/>
        <d v="2016-01-22T00:00:00"/>
        <d v="2017-12-28T00:00:00"/>
        <d v="2015-07-30T00:00:00"/>
        <d v="2017-09-16T00:00:00"/>
        <d v="2017-10-13T00:00:00"/>
        <d v="2015-09-26T00:00:00"/>
        <d v="2015-11-02T00:00:00"/>
        <d v="2016-12-18T00:00:00"/>
        <d v="2017-11-19T00:00:00"/>
        <d v="2015-05-04T00:00:00"/>
        <d v="2014-12-30T00:00:00"/>
        <d v="2016-09-12T00:00:00"/>
        <d v="2014-09-27T00:00:00"/>
        <d v="2014-08-09T00:00:00"/>
        <d v="2014-12-28T00:00:00"/>
        <d v="2014-11-04T00:00:00"/>
        <d v="2016-04-23T00:00:00"/>
        <d v="2017-11-03T00:00:00"/>
        <d v="2016-08-30T00:00:00"/>
        <d v="2016-04-25T00:00:00"/>
        <d v="2015-09-01T00:00:00"/>
        <d v="2014-07-12T00:00:00"/>
        <d v="2015-06-22T00:00:00"/>
        <d v="2014-04-13T00:00:00"/>
        <d v="2015-12-20T00:00:00"/>
        <d v="2017-06-15T00:00:00"/>
        <d v="2017-07-08T00:00:00"/>
        <d v="2016-09-01T00:00:00"/>
        <d v="2016-04-08T00:00:00"/>
        <d v="2017-03-08T00:00:00"/>
        <d v="2017-09-25T00:00:00"/>
        <d v="2014-09-24T00:00:00"/>
        <d v="2016-10-21T00:00:00"/>
        <d v="2017-05-29T00:00:00"/>
        <d v="2014-07-23T00:00:00"/>
        <d v="2016-09-28T00:00:00"/>
        <d v="2017-08-27T00:00:00"/>
        <d v="2015-04-28T00:00:00"/>
        <d v="2015-06-26T00:00:00"/>
        <d v="2015-11-27T00:00:00"/>
        <d v="2015-12-03T00:00:00"/>
        <d v="2014-11-24T00:00:00"/>
        <d v="2017-12-11T00:00:00"/>
        <d v="2014-09-21T00:00:00"/>
        <d v="2014-06-07T00:00:00"/>
        <d v="2017-06-30T00:00:00"/>
        <d v="2017-10-17T00:00:00"/>
        <d v="2016-09-08T00:00:00"/>
        <d v="2014-12-24T00:00:00"/>
        <d v="2014-04-16T00:00:00"/>
        <d v="2017-12-24T00:00:00"/>
        <d v="2017-12-08T00:00:00"/>
        <d v="2016-04-14T00:00:00"/>
        <d v="2017-03-04T00:00:00"/>
        <d v="2014-06-22T00:00:00"/>
        <d v="2017-08-21T00:00:00"/>
        <d v="2014-09-12T00:00:00"/>
        <d v="2017-10-01T00:00:00"/>
        <d v="2016-04-15T00:00:00"/>
        <d v="2014-12-19T00:00:00"/>
        <d v="2017-09-15T00:00:00"/>
        <d v="2017-01-20T00:00:00"/>
        <d v="2017-03-20T00:00:00"/>
        <d v="2016-04-01T00:00:00"/>
        <d v="2017-10-20T00:00:00"/>
        <d v="2016-12-13T00:00:00"/>
        <d v="2014-02-12T00:00:00"/>
        <d v="2016-09-26T00:00:00"/>
        <d v="2016-04-22T00:00:00"/>
        <d v="2015-01-17T00:00:00"/>
        <d v="2017-03-31T00:00:00"/>
        <d v="2016-12-16T00:00:00"/>
        <d v="2014-11-09T00:00:00"/>
        <d v="2016-07-12T00:00:00"/>
        <d v="2016-10-27T00:00:00"/>
        <d v="2016-06-26T00:00:00"/>
        <d v="2014-10-06T00:00:00"/>
        <d v="2014-07-22T00:00:00"/>
        <d v="2017-06-10T00:00:00"/>
        <d v="2014-10-29T00:00:00"/>
        <d v="2016-05-09T00:00:00"/>
        <d v="2016-03-18T00:00:00"/>
        <d v="2016-07-25T00:00:00"/>
        <d v="2016-05-30T00:00:00"/>
        <d v="2015-03-16T00:00:00"/>
        <d v="2017-11-26T00:00:00"/>
        <d v="2016-10-20T00:00:00"/>
        <d v="2017-12-21T00:00:00"/>
        <d v="2017-01-22T00:00:00"/>
        <d v="2015-03-22T00:00:00"/>
        <d v="2017-01-23T00:00:00"/>
        <d v="2016-05-21T00:00:00"/>
        <d v="2015-12-26T00:00:00"/>
        <d v="2017-10-21T00:00:00"/>
        <d v="2015-11-07T00:00:00"/>
        <d v="2017-09-07T00:00:00"/>
        <d v="2016-05-29T00:00:00"/>
        <d v="2016-07-10T00:00:00"/>
        <d v="2017-09-03T00:00:00"/>
        <d v="2015-12-07T00:00:00"/>
        <d v="2014-02-01T00:00:00"/>
        <d v="2016-07-14T00:00:00"/>
        <d v="2015-12-18T00:00:00"/>
        <d v="2014-05-11T00:00:00"/>
        <d v="2015-11-15T00:00:00"/>
        <d v="2017-09-11T00:00:00"/>
        <d v="2017-11-24T00:00:00"/>
        <d v="2017-06-29T00:00:00"/>
        <d v="2014-03-03T00:00:00"/>
        <d v="2016-06-10T00:00:00"/>
        <d v="2017-11-20T00:00:00"/>
        <d v="2017-12-07T00:00:00"/>
        <d v="2015-09-18T00:00:00"/>
        <d v="2017-07-20T00:00:00"/>
        <d v="2015-09-10T00:00:00"/>
        <d v="2015-07-03T00:00:00"/>
        <d v="2016-03-20T00:00:00"/>
        <d v="2014-01-09T00:00:00"/>
        <d v="2014-08-08T00:00:00"/>
        <d v="2014-03-15T00:00:00"/>
        <d v="2014-05-23T00:00:00"/>
        <d v="2016-04-28T00:00:00"/>
        <d v="2017-11-14T00:00:00"/>
        <d v="2017-08-18T00:00:00"/>
        <d v="2015-11-29T00:00:00"/>
        <d v="2017-05-19T00:00:00"/>
        <d v="2017-09-24T00:00:00"/>
        <d v="2015-10-04T00:00:00"/>
        <d v="2016-08-15T00:00:00"/>
        <d v="2016-05-20T00:00:00"/>
        <d v="2017-07-30T00:00:00"/>
        <d v="2017-07-21T00:00:00"/>
        <d v="2017-12-30T00:00:00"/>
        <d v="2016-10-23T00:00:00"/>
        <d v="2017-06-19T00:00:00"/>
        <d v="2016-08-22T00:00:00"/>
        <d v="2016-09-19T00:00:00"/>
        <d v="2015-08-24T00:00:00"/>
        <d v="2016-03-26T00:00:00"/>
        <d v="2016-11-04T00:00:00"/>
        <d v="2017-06-09T00:00:00"/>
        <d v="2017-12-05T00:00:00"/>
        <d v="2017-03-18T00:00:00"/>
        <d v="2016-11-19T00:00:00"/>
        <d v="2017-11-04T00:00:00"/>
        <d v="2014-07-05T00:00:00"/>
        <d v="2014-06-21T00:00:00"/>
        <d v="2015-03-28T00:00:00"/>
        <d v="2015-05-14T00:00:00"/>
        <d v="2017-09-02T00:00:00"/>
        <d v="2015-04-09T00:00:00"/>
        <d v="2014-12-02T00:00:00"/>
        <d v="2014-04-05T00:00:00"/>
        <d v="2014-07-01T00:00:00"/>
        <d v="2014-01-11T00:00:00"/>
        <d v="2014-06-02T00:00:00"/>
        <d v="2016-02-13T00:00:00"/>
        <d v="2016-12-15T00:00:00"/>
        <d v="2014-10-07T00:00:00"/>
        <d v="2016-07-07T00:00:00"/>
        <d v="2016-12-03T00:00:00"/>
        <d v="2017-01-21T00:00:00"/>
        <d v="2014-01-04T00:00:00"/>
        <d v="2016-08-27T00:00:00"/>
        <d v="2014-05-27T00:00:00"/>
        <d v="2017-10-02T00:00:00"/>
        <d v="2016-04-07T00:00:00"/>
        <d v="2014-12-29T00:00:00"/>
        <d v="2017-07-23T00:00:00"/>
        <d v="2015-08-31T00:00:00"/>
        <d v="2015-02-08T00:00:00"/>
        <d v="2014-01-13T00:00:00"/>
        <d v="2014-05-14T00:00:00"/>
        <d v="2016-05-19T00:00:00"/>
        <d v="2017-01-30T00:00:00"/>
        <d v="2014-06-29T00:00:00"/>
        <d v="2015-08-21T00:00:00"/>
        <d v="2015-10-03T00:00:00"/>
        <d v="2015-05-23T00:00:00"/>
        <d v="2017-03-17T00:00:00"/>
        <d v="2015-12-12T00:00:00"/>
        <d v="2017-09-21T00:00:00"/>
        <d v="2017-02-20T00:00:00"/>
        <d v="2016-08-18T00:00:00"/>
        <d v="2016-03-12T00:00:00"/>
        <d v="2017-04-22T00:00:00"/>
        <d v="2014-11-01T00:00:00"/>
        <d v="2015-02-03T00:00:00"/>
        <d v="2014-10-13T00:00:00"/>
        <d v="2017-05-14T00:00:00"/>
        <d v="2015-03-20T00:00:00"/>
        <d v="2016-09-15T00:00:00"/>
        <d v="2014-06-28T00:00:00"/>
        <d v="2017-06-20T00:00:00"/>
        <d v="2014-05-09T00:00:00"/>
        <d v="2016-07-23T00:00:00"/>
        <d v="2016-03-07T00:00:00"/>
        <d v="2015-11-20T00:00:00"/>
        <d v="2015-10-13T00:00:00"/>
        <d v="2017-01-01T00:00:00"/>
        <d v="2014-02-07T00:00:00"/>
        <d v="2016-05-28T00:00:00"/>
        <d v="2016-02-19T00:00:00"/>
        <d v="2017-04-10T00:00:00"/>
        <d v="2016-01-05T00:00:00"/>
        <d v="2014-01-10T00:00:00"/>
        <d v="2016-09-29T00:00:00"/>
        <d v="2014-04-06T00:00:00"/>
        <d v="2016-09-03T00:00:00"/>
        <d v="2015-10-19T00:00:00"/>
        <d v="2014-12-10T00:00:00"/>
        <d v="2017-08-25T00:00:00"/>
        <d v="2016-01-17T00:00:00"/>
        <d v="2014-09-17T00:00:00"/>
        <d v="2017-11-30T00:00:00"/>
        <d v="2015-10-09T00:00:00"/>
        <d v="2017-12-23T00:00:00"/>
        <d v="2016-10-22T00:00:00"/>
        <d v="2014-04-29T00:00:00"/>
        <d v="2015-04-25T00:00:00"/>
        <d v="2017-06-26T00:00:00"/>
        <d v="2017-10-14T00:00:00"/>
        <d v="2014-12-09T00:00:00"/>
        <d v="2016-11-10T00:00:00"/>
        <d v="2016-10-03T00:00:00"/>
        <d v="2014-09-09T00:00:00"/>
        <d v="2017-10-29T00:00:00"/>
        <d v="2016-04-10T00:00:00"/>
        <d v="2017-11-11T00:00:00"/>
        <d v="2017-11-27T00:00:00"/>
        <d v="2014-06-15T00:00:00"/>
        <d v="2016-03-05T00:00:00"/>
        <d v="2015-04-11T00:00:00"/>
        <d v="2015-10-05T00:00:00"/>
        <d v="2017-04-14T00:00:00"/>
        <d v="2015-12-13T00:00:00"/>
        <d v="2016-06-19T00:00:00"/>
        <d v="2015-05-29T00:00:00"/>
        <d v="2015-07-26T00:00:00"/>
        <d v="2017-11-28T00:00:00"/>
        <d v="2017-04-03T00:00:00"/>
        <d v="2017-05-15T00:00:00"/>
        <d v="2015-09-22T00:00:00"/>
        <d v="2014-09-22T00:00:00"/>
        <d v="2017-04-09T00:00:00"/>
        <d v="2014-01-16T00:00:00"/>
        <d v="2017-10-05T00:00:00"/>
        <d v="2017-07-09T00:00:00"/>
        <d v="2017-01-07T00:00:00"/>
        <d v="2015-12-09T00:00:00"/>
        <d v="2017-09-29T00:00:00"/>
        <d v="2015-03-10T00:00:00"/>
        <d v="2017-05-21T00:00:00"/>
        <d v="2015-03-29T00:00:00"/>
        <d v="2016-09-09T00:00:00"/>
        <d v="2016-08-26T00:00:00"/>
        <d v="2014-05-21T00:00:00"/>
        <d v="2015-10-28T00:00:00"/>
        <d v="2016-11-13T00:00:00"/>
        <d v="2015-07-31T00:00:00"/>
        <d v="2015-08-27T00:00:00"/>
        <d v="2015-11-06T00:00:00"/>
        <d v="2017-12-26T00:00:00"/>
        <d v="2017-08-01T00:00:00"/>
        <d v="2015-12-21T00:00:00"/>
        <d v="2015-07-06T00:00:00"/>
        <d v="2015-04-27T00:00:00"/>
        <d v="2015-06-16T00:00:00"/>
        <d v="2016-01-11T00:00:00"/>
        <d v="2014-07-11T00:00:00"/>
        <d v="2015-06-13T00:00:00"/>
        <d v="2015-06-28T00:00:00"/>
        <d v="2015-06-01T00:00:00"/>
        <d v="2014-04-12T00:00:00"/>
        <d v="2017-10-12T00:00:00"/>
        <d v="2015-05-25T00:00:00"/>
        <d v="2016-02-07T00:00:00"/>
        <d v="2017-01-19T00:00:00"/>
        <d v="2016-11-26T00:00:00"/>
        <d v="2017-05-25T00:00:00"/>
        <d v="2017-09-04T00:00:00"/>
        <d v="2016-03-24T00:00:00"/>
        <d v="2016-04-12T00:00:00"/>
        <d v="2014-02-02T00:00:00"/>
        <d v="2014-09-02T00:00:00"/>
        <d v="2017-09-30T00:00:00"/>
        <d v="2017-05-20T00:00:00"/>
        <d v="2015-09-20T00:00:00"/>
        <d v="2016-01-23T00:00:00"/>
        <d v="2015-09-24T00:00:00"/>
        <d v="2016-08-01T00:00:00"/>
        <d v="2014-01-23T00:00:00"/>
        <d v="2014-08-04T00:00:00"/>
        <d v="2016-08-09T00:00:00"/>
        <d v="2015-06-08T00:00:00"/>
      </sharedItems>
    </cacheField>
    <cacheField name="Ship Date" numFmtId="0">
      <sharedItems containsSemiMixedTypes="0" containsString="0" containsNonDate="0" containsDate="1" minDate="2014-01-08T00:00:00" maxDate="2018-01-05T00:00:00" count="438">
        <d v="2016-11-11T00:00:00"/>
        <d v="2016-06-16T00:00:00"/>
        <d v="2015-10-18T00:00:00"/>
        <d v="2014-06-14T00:00:00"/>
        <d v="2017-04-20T00:00:00"/>
        <d v="2016-12-10T00:00:00"/>
        <d v="2015-11-26T00:00:00"/>
        <d v="2014-11-18T00:00:00"/>
        <d v="2014-05-15T00:00:00"/>
        <d v="2014-09-01T00:00:00"/>
        <d v="2016-12-13T00:00:00"/>
        <d v="2017-07-18T00:00:00"/>
        <d v="2015-09-30T00:00:00"/>
        <d v="2016-01-20T00:00:00"/>
        <d v="2015-09-21T00:00:00"/>
        <d v="2017-10-23T00:00:00"/>
        <d v="2015-12-31T00:00:00"/>
        <d v="2017-09-15T00:00:00"/>
        <d v="2016-07-22T00:00:00"/>
        <d v="2017-09-23T00:00:00"/>
        <d v="2016-03-13T00:00:00"/>
        <d v="2014-10-25T00:00:00"/>
        <d v="2016-06-25T00:00:00"/>
        <d v="2015-04-22T00:00:00"/>
        <d v="2016-12-17T00:00:00"/>
        <d v="2016-06-18T00:00:00"/>
        <d v="2015-11-30T00:00:00"/>
        <d v="2015-05-05T00:00:00"/>
        <d v="2014-12-10T00:00:00"/>
        <d v="2016-06-06T00:00:00"/>
        <d v="2016-09-23T00:00:00"/>
        <d v="2017-09-17T00:00:00"/>
        <d v="2015-05-02T00:00:00"/>
        <d v="2017-12-11T00:00:00"/>
        <d v="2014-12-01T00:00:00"/>
        <d v="2016-06-15T00:00:00"/>
        <d v="2014-10-16T00:00:00"/>
        <d v="2015-09-08T00:00:00"/>
        <d v="2017-11-16T00:00:00"/>
        <d v="2017-05-30T00:00:00"/>
        <d v="2017-11-02T00:00:00"/>
        <d v="2016-04-10T00:00:00"/>
        <d v="2016-09-22T00:00:00"/>
        <d v="2015-02-05T00:00:00"/>
        <d v="2017-11-12T00:00:00"/>
        <d v="2017-11-11T00:00:00"/>
        <d v="2017-06-20T00:00:00"/>
        <d v="2016-09-11T00:00:00"/>
        <d v="2016-09-02T00:00:00"/>
        <d v="2016-12-04T00:00:00"/>
        <d v="2015-11-17T00:00:00"/>
        <d v="2017-11-28T00:00:00"/>
        <d v="2015-10-20T00:00:00"/>
        <d v="2017-12-30T00:00:00"/>
        <d v="2016-11-10T00:00:00"/>
        <d v="2014-08-27T00:00:00"/>
        <d v="2015-03-06T00:00:00"/>
        <d v="2015-04-10T00:00:00"/>
        <d v="2014-12-28T00:00:00"/>
        <d v="2014-09-25T00:00:00"/>
        <d v="2017-02-05T00:00:00"/>
        <d v="2016-10-19T00:00:00"/>
        <d v="2016-09-07T00:00:00"/>
        <d v="2017-12-27T00:00:00"/>
        <d v="2015-09-12T00:00:00"/>
        <d v="2014-10-28T00:00:00"/>
        <d v="2016-12-09T00:00:00"/>
        <d v="2016-03-16T00:00:00"/>
        <d v="2015-06-02T00:00:00"/>
        <d v="2015-06-03T00:00:00"/>
        <d v="2014-03-06T00:00:00"/>
        <d v="2016-11-24T00:00:00"/>
        <d v="2016-05-12T00:00:00"/>
        <d v="2016-11-20T00:00:00"/>
        <d v="2014-09-12T00:00:00"/>
        <d v="2014-08-09T00:00:00"/>
        <d v="2014-09-19T00:00:00"/>
        <d v="2017-04-25T00:00:00"/>
        <d v="2015-11-23T00:00:00"/>
        <d v="2015-12-19T00:00:00"/>
        <d v="2014-12-09T00:00:00"/>
        <d v="2014-11-24T00:00:00"/>
        <d v="2016-12-02T00:00:00"/>
        <d v="2014-08-30T00:00:00"/>
        <d v="2015-10-14T00:00:00"/>
        <d v="2015-11-06T00:00:00"/>
        <d v="2014-03-25T00:00:00"/>
        <d v="2017-11-13T00:00:00"/>
        <d v="2017-07-13T00:00:00"/>
        <d v="2017-06-29T00:00:00"/>
        <d v="2014-08-05T00:00:00"/>
        <d v="2017-12-21T00:00:00"/>
        <d v="2017-06-07T00:00:00"/>
        <d v="2017-12-14T00:00:00"/>
        <d v="2017-12-07T00:00:00"/>
        <d v="2015-02-13T00:00:00"/>
        <d v="2015-01-09T00:00:00"/>
        <d v="2016-11-01T00:00:00"/>
        <d v="2015-12-27T00:00:00"/>
        <d v="2015-08-16T00:00:00"/>
        <d v="2015-03-04T00:00:00"/>
        <d v="2014-09-17T00:00:00"/>
        <d v="2017-04-12T00:00:00"/>
        <d v="2016-06-09T00:00:00"/>
        <d v="2014-06-06T00:00:00"/>
        <d v="2016-12-15T00:00:00"/>
        <d v="2016-09-17T00:00:00"/>
        <d v="2015-12-04T00:00:00"/>
        <d v="2017-12-03T00:00:00"/>
        <d v="2017-06-12T00:00:00"/>
        <d v="2014-09-21T00:00:00"/>
        <d v="2016-06-13T00:00:00"/>
        <d v="2015-11-15T00:00:00"/>
        <d v="2016-01-28T00:00:00"/>
        <d v="2017-12-13T00:00:00"/>
        <d v="2018-01-02T00:00:00"/>
        <d v="2015-07-31T00:00:00"/>
        <d v="2017-10-17T00:00:00"/>
        <d v="2015-09-28T00:00:00"/>
        <d v="2015-10-02T00:00:00"/>
        <d v="2016-12-20T00:00:00"/>
        <d v="2016-11-03T00:00:00"/>
        <d v="2017-11-23T00:00:00"/>
        <d v="2015-05-09T00:00:00"/>
        <d v="2015-01-04T00:00:00"/>
        <d v="2017-04-17T00:00:00"/>
        <d v="2016-09-14T00:00:00"/>
        <d v="2014-10-03T00:00:00"/>
        <d v="2014-08-16T00:00:00"/>
        <d v="2014-12-30T00:00:00"/>
        <d v="2014-11-09T00:00:00"/>
        <d v="2014-09-24T00:00:00"/>
        <d v="2016-04-27T00:00:00"/>
        <d v="2017-11-05T00:00:00"/>
        <d v="2016-09-01T00:00:00"/>
        <d v="2016-04-29T00:00:00"/>
        <d v="2015-09-04T00:00:00"/>
        <d v="2014-07-17T00:00:00"/>
        <d v="2015-06-26T00:00:00"/>
        <d v="2014-04-17T00:00:00"/>
        <d v="2015-12-24T00:00:00"/>
        <d v="2017-06-19T00:00:00"/>
        <d v="2017-07-12T00:00:00"/>
        <d v="2016-09-03T00:00:00"/>
        <d v="2016-04-13T00:00:00"/>
        <d v="2016-04-28T00:00:00"/>
        <d v="2017-03-11T00:00:00"/>
        <d v="2017-10-01T00:00:00"/>
        <d v="2014-09-29T00:00:00"/>
        <d v="2016-10-21T00:00:00"/>
        <d v="2017-06-04T00:00:00"/>
        <d v="2014-07-27T00:00:00"/>
        <d v="2016-10-01T00:00:00"/>
        <d v="2017-09-01T00:00:00"/>
        <d v="2016-10-29T00:00:00"/>
        <d v="2015-06-29T00:00:00"/>
        <d v="2015-12-02T00:00:00"/>
        <d v="2015-12-07T00:00:00"/>
        <d v="2014-11-26T00:00:00"/>
        <d v="2017-12-15T00:00:00"/>
        <d v="2014-09-23T00:00:00"/>
        <d v="2014-06-10T00:00:00"/>
        <d v="2017-07-05T00:00:00"/>
        <d v="2017-10-19T00:00:00"/>
        <d v="2015-11-04T00:00:00"/>
        <d v="2016-09-10T00:00:00"/>
        <d v="2014-12-26T00:00:00"/>
        <d v="2014-04-20T00:00:00"/>
        <d v="2017-12-29T00:00:00"/>
        <d v="2017-12-12T00:00:00"/>
        <d v="2017-11-07T00:00:00"/>
        <d v="2017-06-28T00:00:00"/>
        <d v="2016-04-18T00:00:00"/>
        <d v="2017-11-10T00:00:00"/>
        <d v="2017-03-09T00:00:00"/>
        <d v="2014-06-25T00:00:00"/>
        <d v="2017-08-23T00:00:00"/>
        <d v="2017-11-26T00:00:00"/>
        <d v="2014-09-13T00:00:00"/>
        <d v="2017-10-08T00:00:00"/>
        <d v="2016-04-21T00:00:00"/>
        <d v="2016-06-07T00:00:00"/>
        <d v="2014-12-25T00:00:00"/>
        <d v="2016-06-14T00:00:00"/>
        <d v="2017-09-19T00:00:00"/>
        <d v="2017-01-23T00:00:00"/>
        <d v="2017-03-25T00:00:00"/>
        <d v="2016-04-03T00:00:00"/>
        <d v="2017-10-24T00:00:00"/>
        <d v="2014-02-18T00:00:00"/>
        <d v="2015-12-22T00:00:00"/>
        <d v="2015-01-24T00:00:00"/>
        <d v="2017-04-04T00:00:00"/>
        <d v="2014-11-11T00:00:00"/>
        <d v="2016-07-19T00:00:00"/>
        <d v="2016-11-02T00:00:00"/>
        <d v="2016-07-02T00:00:00"/>
        <d v="2014-10-10T00:00:00"/>
        <d v="2017-06-13T00:00:00"/>
        <d v="2014-10-31T00:00:00"/>
        <d v="2014-06-13T00:00:00"/>
        <d v="2016-05-14T00:00:00"/>
        <d v="2016-03-21T00:00:00"/>
        <d v="2016-07-31T00:00:00"/>
        <d v="2016-06-04T00:00:00"/>
        <d v="2017-11-15T00:00:00"/>
        <d v="2015-03-22T00:00:00"/>
        <d v="2017-11-27T00:00:00"/>
        <d v="2016-10-23T00:00:00"/>
        <d v="2017-12-25T00:00:00"/>
        <d v="2017-01-27T00:00:00"/>
        <d v="2015-03-26T00:00:00"/>
        <d v="2017-01-25T00:00:00"/>
        <d v="2016-05-23T00:00:00"/>
        <d v="2016-01-02T00:00:00"/>
        <d v="2017-10-26T00:00:00"/>
        <d v="2015-09-07T00:00:00"/>
        <d v="2015-11-09T00:00:00"/>
        <d v="2017-09-11T00:00:00"/>
        <d v="2016-06-01T00:00:00"/>
        <d v="2016-07-16T00:00:00"/>
        <d v="2017-09-08T00:00:00"/>
        <d v="2015-12-08T00:00:00"/>
        <d v="2015-12-11T00:00:00"/>
        <d v="2014-02-03T00:00:00"/>
        <d v="2016-07-17T00:00:00"/>
        <d v="2015-12-23T00:00:00"/>
        <d v="2014-05-16T00:00:00"/>
        <d v="2017-11-22T00:00:00"/>
        <d v="2016-04-17T00:00:00"/>
        <d v="2017-09-12T00:00:00"/>
        <d v="2017-07-03T00:00:00"/>
        <d v="2014-03-07T00:00:00"/>
        <d v="2014-09-18T00:00:00"/>
        <d v="2015-12-09T00:00:00"/>
        <d v="2017-12-10T00:00:00"/>
        <d v="2018-01-04T00:00:00"/>
        <d v="2016-11-07T00:00:00"/>
        <d v="2015-09-22T00:00:00"/>
        <d v="2017-07-26T00:00:00"/>
        <d v="2015-09-14T00:00:00"/>
        <d v="2017-12-05T00:00:00"/>
        <d v="2015-07-09T00:00:00"/>
        <d v="2016-03-24T00:00:00"/>
        <d v="2014-01-13T00:00:00"/>
        <d v="2014-08-15T00:00:00"/>
        <d v="2016-07-21T00:00:00"/>
        <d v="2014-03-19T00:00:00"/>
        <d v="2014-05-27T00:00:00"/>
        <d v="2016-05-01T00:00:00"/>
        <d v="2016-09-13T00:00:00"/>
        <d v="2017-11-17T00:00:00"/>
        <d v="2014-12-31T00:00:00"/>
        <d v="2015-12-03T00:00:00"/>
        <d v="2017-05-23T00:00:00"/>
        <d v="2017-09-26T00:00:00"/>
        <d v="2015-10-09T00:00:00"/>
        <d v="2016-08-21T00:00:00"/>
        <d v="2016-05-25T00:00:00"/>
        <d v="2016-12-22T00:00:00"/>
        <d v="2017-08-03T00:00:00"/>
        <d v="2017-06-15T00:00:00"/>
        <d v="2017-07-25T00:00:00"/>
        <d v="2018-01-05T00:00:00"/>
        <d v="2016-04-08T00:00:00"/>
        <d v="2016-12-16T00:00:00"/>
        <d v="2017-06-23T00:00:00"/>
        <d v="2016-08-28T00:00:00"/>
        <d v="2016-09-19T00:00:00"/>
        <d v="2015-08-28T00:00:00"/>
        <d v="2016-03-30T00:00:00"/>
        <d v="2016-11-04T00:00:00"/>
        <d v="2017-06-10T00:00:00"/>
        <d v="2017-06-22T00:00:00"/>
        <d v="2017-12-08T00:00:00"/>
        <d v="2017-03-23T00:00:00"/>
        <d v="2017-11-04T00:00:00"/>
        <d v="2014-07-08T00:00:00"/>
        <d v="2014-06-23T00:00:00"/>
        <d v="2015-04-02T00:00:00"/>
        <d v="2015-05-17T00:00:00"/>
        <d v="2016-11-08T00:00:00"/>
        <d v="2015-04-14T00:00:00"/>
        <d v="2014-12-04T00:00:00"/>
        <d v="2014-04-07T00:00:00"/>
        <d v="2017-09-07T00:00:00"/>
        <d v="2017-05-24T00:00:00"/>
        <d v="2014-07-06T00:00:00"/>
        <d v="2014-01-14T00:00:00"/>
        <d v="2017-09-29T00:00:00"/>
        <d v="2014-06-07T00:00:00"/>
        <d v="2016-02-18T00:00:00"/>
        <d v="2016-12-19T00:00:00"/>
        <d v="2014-10-13T00:00:00"/>
        <d v="2016-07-12T00:00:00"/>
        <d v="2017-09-20T00:00:00"/>
        <d v="2016-12-06T00:00:00"/>
        <d v="2014-01-08T00:00:00"/>
        <d v="2016-03-22T00:00:00"/>
        <d v="2017-10-06T00:00:00"/>
        <d v="2016-04-09T00:00:00"/>
        <d v="2015-12-12T00:00:00"/>
        <d v="2015-01-02T00:00:00"/>
        <d v="2017-07-28T00:00:00"/>
        <d v="2017-09-22T00:00:00"/>
        <d v="2015-09-05T00:00:00"/>
        <d v="2014-01-15T00:00:00"/>
        <d v="2014-05-20T00:00:00"/>
        <d v="2016-05-24T00:00:00"/>
        <d v="2015-08-23T00:00:00"/>
        <d v="2015-10-06T00:00:00"/>
        <d v="2015-05-28T00:00:00"/>
        <d v="2017-03-21T00:00:00"/>
        <d v="2015-12-16T00:00:00"/>
        <d v="2015-06-30T00:00:00"/>
        <d v="2016-05-20T00:00:00"/>
        <d v="2014-09-26T00:00:00"/>
        <d v="2015-12-26T00:00:00"/>
        <d v="2017-02-23T00:00:00"/>
        <d v="2016-08-23T00:00:00"/>
        <d v="2016-03-17T00:00:00"/>
        <d v="2017-04-24T00:00:00"/>
        <d v="2014-11-07T00:00:00"/>
        <d v="2014-10-15T00:00:00"/>
        <d v="2017-05-14T00:00:00"/>
        <d v="2015-03-23T00:00:00"/>
        <d v="2014-07-02T00:00:00"/>
        <d v="2017-06-27T00:00:00"/>
        <d v="2017-08-28T00:00:00"/>
        <d v="2017-06-21T00:00:00"/>
        <d v="2016-07-27T00:00:00"/>
        <d v="2016-03-12T00:00:00"/>
        <d v="2015-11-25T00:00:00"/>
        <d v="2016-11-09T00:00:00"/>
        <d v="2015-10-17T00:00:00"/>
        <d v="2017-01-06T00:00:00"/>
        <d v="2014-02-12T00:00:00"/>
        <d v="2016-02-24T00:00:00"/>
        <d v="2014-08-08T00:00:00"/>
        <d v="2017-04-15T00:00:00"/>
        <d v="2014-06-16T00:00:00"/>
        <d v="2016-01-07T00:00:00"/>
        <d v="2016-10-02T00:00:00"/>
        <d v="2014-04-10T00:00:00"/>
        <d v="2016-09-05T00:00:00"/>
        <d v="2014-12-15T00:00:00"/>
        <d v="2017-08-29T00:00:00"/>
        <d v="2016-01-21T00:00:00"/>
        <d v="2017-12-02T00:00:00"/>
        <d v="2015-10-13T00:00:00"/>
        <d v="2017-12-23T00:00:00"/>
        <d v="2016-10-24T00:00:00"/>
        <d v="2014-05-04T00:00:00"/>
        <d v="2015-04-28T00:00:00"/>
        <d v="2017-07-02T00:00:00"/>
        <d v="2014-12-16T00:00:00"/>
        <d v="2017-06-26T00:00:00"/>
        <d v="2016-11-12T00:00:00"/>
        <d v="2016-10-06T00:00:00"/>
        <d v="2014-09-15T00:00:00"/>
        <d v="2017-10-31T00:00:00"/>
        <d v="2016-04-12T00:00:00"/>
        <d v="2018-01-03T00:00:00"/>
        <d v="2015-06-07T00:00:00"/>
        <d v="2017-11-29T00:00:00"/>
        <d v="2014-06-21T00:00:00"/>
        <d v="2016-03-11T00:00:00"/>
        <d v="2014-12-12T00:00:00"/>
        <d v="2015-04-15T00:00:00"/>
        <d v="2016-09-20T00:00:00"/>
        <d v="2014-09-16T00:00:00"/>
        <d v="2017-09-06T00:00:00"/>
        <d v="2016-06-24T00:00:00"/>
        <d v="2017-11-06T00:00:00"/>
        <d v="2015-12-17T00:00:00"/>
        <d v="2016-06-20T00:00:00"/>
        <d v="2015-07-28T00:00:00"/>
        <d v="2017-04-07T00:00:00"/>
        <d v="2018-01-01T00:00:00"/>
        <d v="2017-12-04T00:00:00"/>
        <d v="2017-05-18T00:00:00"/>
        <d v="2017-11-19T00:00:00"/>
        <d v="2015-12-01T00:00:00"/>
        <d v="2016-09-04T00:00:00"/>
        <d v="2017-04-11T00:00:00"/>
        <d v="2014-01-18T00:00:00"/>
        <d v="2017-07-15T00:00:00"/>
        <d v="2017-01-10T00:00:00"/>
        <d v="2016-05-31T00:00:00"/>
        <d v="2016-10-08T00:00:00"/>
        <d v="2014-11-14T00:00:00"/>
        <d v="2017-10-05T00:00:00"/>
        <d v="2015-03-10T00:00:00"/>
        <d v="2017-05-26T00:00:00"/>
        <d v="2015-03-31T00:00:00"/>
        <d v="2016-08-27T00:00:00"/>
        <d v="2014-05-25T00:00:00"/>
        <d v="2015-11-03T00:00:00"/>
        <d v="2016-11-17T00:00:00"/>
        <d v="2015-08-31T00:00:00"/>
        <d v="2015-09-19T00:00:00"/>
        <d v="2015-07-10T00:00:00"/>
        <d v="2015-05-03T00:00:00"/>
        <d v="2015-06-20T00:00:00"/>
        <d v="2017-12-20T00:00:00"/>
        <d v="2016-01-13T00:00:00"/>
        <d v="2014-07-15T00:00:00"/>
        <d v="2016-11-22T00:00:00"/>
        <d v="2016-04-26T00:00:00"/>
        <d v="2015-06-14T00:00:00"/>
        <d v="2017-11-21T00:00:00"/>
        <d v="2016-09-09T00:00:00"/>
        <d v="2017-10-15T00:00:00"/>
        <d v="2015-07-03T00:00:00"/>
        <d v="2015-06-05T00:00:00"/>
        <d v="2017-10-16T00:00:00"/>
        <d v="2015-11-12T00:00:00"/>
        <d v="2016-02-10T00:00:00"/>
        <d v="2017-01-24T00:00:00"/>
        <d v="2016-06-12T00:00:00"/>
        <d v="2017-03-20T00:00:00"/>
        <d v="2017-11-24T00:00:00"/>
        <d v="2016-11-28T00:00:00"/>
        <d v="2016-08-20T00:00:00"/>
        <d v="2017-06-01T00:00:00"/>
        <d v="2017-09-05T00:00:00"/>
        <d v="2016-03-26T00:00:00"/>
        <d v="2014-02-09T00:00:00"/>
        <d v="2014-09-08T00:00:00"/>
        <d v="2017-10-02T00:00:00"/>
        <d v="2015-09-24T00:00:00"/>
        <d v="2016-01-27T00:00:00"/>
        <d v="2015-09-29T00:00:00"/>
        <d v="2016-08-03T00:00:00"/>
        <d v="2014-01-28T00:00:00"/>
        <d v="2016-08-14T00:00:00"/>
        <d v="2016-12-12T00:00:00"/>
        <d v="2015-06-12T00:00:00"/>
      </sharedItems>
    </cacheField>
    <cacheField name="Ship Mode" numFmtId="0">
      <sharedItems count="4">
        <s v="Second Class"/>
        <s v="Standard Class"/>
        <s v="First Class"/>
        <s v="Same Day"/>
      </sharedItems>
    </cacheField>
    <cacheField name="Customer ID" numFmtId="0">
      <sharedItems count="397">
        <s v="CG-12520"/>
        <s v="DV-13045"/>
        <s v="SO-20335"/>
        <s v="BH-11710"/>
        <s v="AA-10480"/>
        <s v="IM-15070"/>
        <s v="HP-14815"/>
        <s v="PK-19075"/>
        <s v="AG-10270"/>
        <s v="ZD-21925"/>
        <s v="KB-16585"/>
        <s v="SF-20065"/>
        <s v="EB-13870"/>
        <s v="EH-13945"/>
        <s v="TB-21520"/>
        <s v="MA-17560"/>
        <s v="GH-14485"/>
        <s v="SN-20710"/>
        <s v="LC-16930"/>
        <s v="RA-19885"/>
        <s v="ES-14080"/>
        <s v="ON-18715"/>
        <s v="PO-18865"/>
        <s v="LH-16900"/>
        <s v="DP-13000"/>
        <s v="JM-15265"/>
        <s v="TB-21055"/>
        <s v="KM-16720"/>
        <s v="PS-18970"/>
        <s v="BS-11590"/>
        <s v="KD-16270"/>
        <s v="HM-14980"/>
        <s v="JE-15745"/>
        <s v="KB-16600"/>
        <s v="SC-20770"/>
        <s v="DN-13690"/>
        <s v="JC-16105"/>
        <s v="CS-12400"/>
        <s v="PG-18895"/>
        <s v="GM-14455"/>
        <s v="JS-15685"/>
        <s v="KB-16315"/>
        <s v="RB-19705"/>
        <s v="PN-18775"/>
        <s v="KD-16345"/>
        <s v="ER-13855"/>
        <s v="RB-19465"/>
        <s v="GZ-14470"/>
        <s v="LC-16870"/>
        <s v="JM-15250"/>
        <s v="PA-19060"/>
        <s v="CV-12805"/>
        <s v="CL-12565"/>
        <s v="RC-19960"/>
        <s v="DK-13090"/>
        <s v="GG-14650"/>
        <s v="SC-20725"/>
        <s v="AD-10180"/>
        <s v="PF-19165"/>
        <s v="TS-21610"/>
        <s v="LS-16975"/>
        <s v="DW-13585"/>
        <s v="LC-16885"/>
        <s v="JD-15895"/>
        <s v="SH-19975"/>
        <s v="SG-20080"/>
        <s v="HA-14920"/>
        <s v="MG-17680"/>
        <s v="JE-16165"/>
        <s v="TW-21025"/>
        <s v="SP-20650"/>
        <s v="NK-18490"/>
        <s v="DB-13060"/>
        <s v="NP-18670"/>
        <s v="TT-21070"/>
        <s v="EM-13960"/>
        <s v="RD-19900"/>
        <s v="MJ-17740"/>
        <s v="BM-11140"/>
        <s v="CS-12130"/>
        <s v="JB-15400"/>
        <s v="SJ-20500"/>
        <s v="JK-15640"/>
        <s v="DK-13150"/>
        <s v="RM-19675"/>
        <s v="SK-19990"/>
        <s v="FM-14290"/>
        <s v="AM-10360"/>
        <s v="MP-17470"/>
        <s v="MZ-17515"/>
        <s v="CB-12025"/>
        <s v="VM-21685"/>
        <s v="FH-14365"/>
        <s v="MB-17305"/>
        <s v="BS-11755"/>
        <s v="LC-17140"/>
        <s v="HK-14890"/>
        <s v="LE-16810"/>
        <s v="JH-15985"/>
        <s v="MS-17980"/>
        <s v="VW-21775"/>
        <s v="JH-15910"/>
        <s v="JB-15925"/>
        <s v="DS-13180"/>
        <s v="VD-21670"/>
        <s v="EA-14035"/>
        <s v="DB-13120"/>
        <s v="KL-16645"/>
        <s v="DW-13480"/>
        <s v="LH-17155"/>
        <s v="KC-16540"/>
        <s v="DL-13315"/>
        <s v="DR-12880"/>
        <s v="CC-12670"/>
        <s v="Dl-13600"/>
        <s v="SB-20290"/>
        <s v="RC-19825"/>
        <s v="AH-10210"/>
        <s v="CB-12535"/>
        <s v="CA-12310"/>
        <s v="KH-16690"/>
        <s v="BB-10990"/>
        <s v="AG-10495"/>
        <s v="JO-15280"/>
        <s v="AH-10195"/>
        <s v="NZ-18565"/>
        <s v="KL-16555"/>
        <s v="AS-10225"/>
        <s v="CR-12625"/>
        <s v="SH-20395"/>
        <s v="BP-11185"/>
        <s v="TS-21205"/>
        <s v="AG-10525"/>
        <s v="SP-20860"/>
        <s v="NM-18445"/>
        <s v="FA-14230"/>
        <s v="GK-14620"/>
        <s v="DJ-13510"/>
        <s v="PO-18850"/>
        <s v="JL-15850"/>
        <s v="DB-13615"/>
        <s v="AC-10420"/>
        <s v="CC-12550"/>
        <s v="TD-20995"/>
        <s v="AB-10060"/>
        <s v="JL-15505"/>
        <s v="VB-21745"/>
        <s v="KW-16435"/>
        <s v="JD-16060"/>
        <s v="MK-17905"/>
        <s v="GT-14755"/>
        <s v="AG-10900"/>
        <s v="MM-18280"/>
        <s v="AR-10405"/>
        <s v="RA-19915"/>
        <s v="AS-10285"/>
        <s v="LA-16780"/>
        <s v="DO-13435"/>
        <s v="DK-13225"/>
        <s v="NG-18430"/>
        <s v="MV-18190"/>
        <s v="JG-15115"/>
        <s v="BP-11095"/>
        <s v="VP-21730"/>
        <s v="SS-20140"/>
        <s v="AG-10675"/>
        <s v="LF-17185"/>
        <s v="RF-19840"/>
        <s v="KH-16510"/>
        <s v="KC-16675"/>
        <s v="CJ-12010"/>
        <s v="PB-19150"/>
        <s v="MP-17965"/>
        <s v="NF-18385"/>
        <s v="SD-20485"/>
        <s v="KH-16630"/>
        <s v="RB-19795"/>
        <s v="MK-18160"/>
        <s v="PO-19180"/>
        <s v="BB-11545"/>
        <s v="TB-21595"/>
        <s v="RB-19360"/>
        <s v="EB-13705"/>
        <s v="SC-20095"/>
        <s v="TN-21040"/>
        <s v="JS-15940"/>
        <s v="MH-17785"/>
        <s v="JP-15520"/>
        <s v="JE-15475"/>
        <s v="JG-15805"/>
        <s v="XP-21865"/>
        <s v="EM-14065"/>
        <s v="MT-18070"/>
        <s v="SA-20830"/>
        <s v="CW-11905"/>
        <s v="AJ-10960"/>
        <s v="SS-20590"/>
        <s v="RO-19780"/>
        <s v="MD-17350"/>
        <s v="MY-17380"/>
        <s v="CM-12385"/>
        <s v="LS-17245"/>
        <s v="BN-11515"/>
        <s v="DB-13210"/>
        <s v="MC-17605"/>
        <s v="BD-11605"/>
        <s v="PH-18790"/>
        <s v="MG-18145"/>
        <s v="KB-16240"/>
        <s v="JC-15340"/>
        <s v="RL-19615"/>
        <s v="AA-10375"/>
        <s v="EP-13915"/>
        <s v="DK-12985"/>
        <s v="BD-11500"/>
        <s v="LM-17065"/>
        <s v="AS-10135"/>
        <s v="BD-11320"/>
        <s v="GT-14710"/>
        <s v="AJ-10945"/>
        <s v="OT-18730"/>
        <s v="LP-17080"/>
        <s v="CA-12775"/>
        <s v="JF-15490"/>
        <s v="FP-14320"/>
        <s v="EB-13840"/>
        <s v="JF-15415"/>
        <s v="SF-20200"/>
        <s v="TG-21640"/>
        <s v="CS-11950"/>
        <s v="CC-12145"/>
        <s v="DV-13465"/>
        <s v="BD-11725"/>
        <s v="ZC-21910"/>
        <s v="MS-17830"/>
        <s v="LR-16915"/>
        <s v="TP-21130"/>
        <s v="CK-12205"/>
        <s v="AS-10240"/>
        <s v="AR-10510"/>
        <s v="NB-18655"/>
        <s v="GD-14590"/>
        <s v="CK-12595"/>
        <s v="NG-18355"/>
        <s v="CA-12265"/>
        <s v="SF-20965"/>
        <s v="MO-17800"/>
        <s v="AT-10735"/>
        <s v="FM-14380"/>
        <s v="DJ-13420"/>
        <s v="ME-17725"/>
        <s v="JD-16150"/>
        <s v="JL-15835"/>
        <s v="SC-20305"/>
        <s v="CC-12430"/>
        <s v="AR-10825"/>
        <s v="SR-20740"/>
        <s v="CR-12730"/>
        <s v="EH-14125"/>
        <s v="SP-20545"/>
        <s v="TH-21235"/>
        <s v="RP-19390"/>
        <s v="RB-19570"/>
        <s v="CD-11980"/>
        <s v="DJ-13630"/>
        <s v="GT-14635"/>
        <s v="MC-17845"/>
        <s v="RA-19285"/>
        <s v="NP-18325"/>
        <s v="AB-10165"/>
        <s v="JO-15550"/>
        <s v="JK-15370"/>
        <s v="BN-11470"/>
        <s v="DP-13165"/>
        <s v="TH-21550"/>
        <s v="AP-10915"/>
        <s v="RS-19765"/>
        <s v="SV-20365"/>
        <s v="CK-12325"/>
        <s v="RD-19810"/>
        <s v="MR-17545"/>
        <s v="SC-20695"/>
        <s v="JF-15355"/>
        <s v="EG-13900"/>
        <s v="DS-13030"/>
        <s v="PO-19195"/>
        <s v="SS-20875"/>
        <s v="PB-19105"/>
        <s v="RF-19735"/>
        <s v="YC-21895"/>
        <s v="DC-13285"/>
        <s v="CP-12340"/>
        <s v="BF-11020"/>
        <s v="LH-17020"/>
        <s v="CS-12250"/>
        <s v="AJ-10795"/>
        <s v="BV-11245"/>
        <s v="DL-12865"/>
        <s v="BM-11785"/>
        <s v="LT-17110"/>
        <s v="JK-15730"/>
        <s v="ES-14020"/>
        <s v="RH-19495"/>
        <s v="CD-11920"/>
        <s v="HW-14935"/>
        <s v="MC-18130"/>
        <s v="GM-14440"/>
        <s v="PJ-19015"/>
        <s v="BW-11110"/>
        <s v="TR-21325"/>
        <s v="PG-18820"/>
        <s v="JL-15175"/>
        <s v="BM-11650"/>
        <s v="EM-14095"/>
        <s v="AF-10885"/>
        <s v="GA-14725"/>
        <s v="CK-12760"/>
        <s v="DP-13105"/>
        <s v="BK-11260"/>
        <s v="SJ-20125"/>
        <s v="CM-12445"/>
        <s v="AJ-10780"/>
        <s v="LS-16945"/>
        <s v="GP-14740"/>
        <s v="PK-18910"/>
        <s v="SM-20005"/>
        <s v="AG-10765"/>
        <s v="PM-19135"/>
        <s v="LL-16840"/>
        <s v="JS-15595"/>
        <s v="EL-13735"/>
        <s v="PC-18745"/>
        <s v="HL-15040"/>
        <s v="MS-17365"/>
        <s v="GB-14530"/>
        <s v="JR-16210"/>
        <s v="BE-11335"/>
        <s v="SC-20050"/>
        <s v="RW-19630"/>
        <s v="SE-20110"/>
        <s v="AH-10075"/>
        <s v="JM-15535"/>
        <s v="JJ-15760"/>
        <s v="RK-19300"/>
        <s v="CG-12040"/>
        <s v="RP-19270"/>
        <s v="KC-16255"/>
        <s v="KH-16360"/>
        <s v="GH-14665"/>
        <s v="SW-20275"/>
        <s v="JA-15970"/>
        <s v="DL-12925"/>
        <s v="LW-16990"/>
        <s v="TB-21190"/>
        <s v="BS-11800"/>
        <s v="RW-19690"/>
        <s v="TZ-21580"/>
        <s v="AS-10630"/>
        <s v="TS-21340"/>
        <s v="SL-20155"/>
        <s v="MW-18235"/>
        <s v="RD-19585"/>
        <s v="RA-19945"/>
        <s v="MT-17815"/>
        <s v="VG-21790"/>
        <s v="JS-15880"/>
        <s v="KM-16225"/>
        <s v="HR-14770"/>
        <s v="DE-13255"/>
        <s v="AG-10390"/>
        <s v="JJ-15445"/>
        <s v="JH-15430"/>
        <s v="RD-19660"/>
        <s v="MO-17500"/>
        <s v="SV-20785"/>
        <s v="MG-17650"/>
        <s v="AB-10105"/>
        <s v="MA-17995"/>
        <s v="EB-13975"/>
        <s v="NS-18505"/>
        <s v="JK-15325"/>
        <s v="PR-18880"/>
        <s v="AS-10045"/>
        <s v="DC-12850"/>
        <s v="MD-17860"/>
        <s v="RH-19510"/>
        <s v="TB-21175"/>
        <s v="EB-13930"/>
        <s v="BT-11530"/>
        <s v="FW-14395"/>
        <s v="RD-19480"/>
        <s v="QJ-19255"/>
        <s v="KM-16660"/>
        <s v="IM-15055"/>
        <s v="ML-17395"/>
        <s v="GH-14410"/>
        <s v="MG-17695"/>
      </sharedItems>
    </cacheField>
    <cacheField name="Customer Name" numFmtId="0">
      <sharedItems count="397">
        <s v="Claire Gute"/>
        <s v="Darrin Van Huff"/>
        <s v="Sean O'Donnell"/>
        <s v="Brosina Hoffman"/>
        <s v="Andrew Allen"/>
        <s v="Irene Maddox"/>
        <s v="Harold Pawlan"/>
        <s v="Pete Kriz"/>
        <s v="Alejandro Grove"/>
        <s v="Zuschuss Donatelli"/>
        <s v="Ken Black"/>
        <s v="Sandra Flanagan"/>
        <s v="Emily Burns"/>
        <s v="Eric Hoffmann"/>
        <s v="Tracy Blumstein"/>
        <s v="Matt Abelman"/>
        <s v="Gene Hale"/>
        <s v="Steve Nguyen"/>
        <s v="Linda Cazamias"/>
        <s v="Ruben Ausman"/>
        <s v="Erin Smith"/>
        <s v="Odella Nelson"/>
        <s v="Patrick O'Donnell"/>
        <s v="Lena Hernandez"/>
        <s v="Darren Powers"/>
        <s v="Janet Molinari"/>
        <s v="Ted Butterfield"/>
        <s v="Kunst Miller"/>
        <s v="Paul Stevenson"/>
        <s v="Brendan Sweed"/>
        <s v="Karen Daniels"/>
        <s v="Henry MacAllister"/>
        <s v="Joel Eaton"/>
        <s v="Ken Brennan"/>
        <s v="Stewart Carmichael"/>
        <s v="Duane Noonan"/>
        <s v="Julie Creighton"/>
        <s v="Christopher Schild"/>
        <s v="Paul Gonzalez"/>
        <s v="Gary Mitchum"/>
        <s v="Jim Sink"/>
        <s v="Karl Braun"/>
        <s v="Roger Barcio"/>
        <s v="Parhena Norris"/>
        <s v="Katherine Ducich"/>
        <s v="Elpida Rittenbach"/>
        <s v="Rick Bensley"/>
        <s v="Gary Zandusky"/>
        <s v="Lena Cacioppo"/>
        <s v="Janet Martin"/>
        <s v="Pete Armstrong"/>
        <s v="Cynthia Voltz"/>
        <s v="Clay Ludtke"/>
        <s v="Ryan Crowe"/>
        <s v="Dave Kipp"/>
        <s v="Greg Guthrie"/>
        <s v="Steven Cartwright"/>
        <s v="Alan Dominguez"/>
        <s v="Philip Fox"/>
        <s v="Troy Staebel"/>
        <s v="Lindsay Shagiari"/>
        <s v="Dorothy Wardle"/>
        <s v="Lena Creighton"/>
        <s v="Jonathan Doherty"/>
        <s v="Sally Hughsby"/>
        <s v="Sandra Glassco"/>
        <s v="Helen Andreada"/>
        <s v="Maureen Gastineau"/>
        <s v="Justin Ellison"/>
        <s v="Tamara Willingham"/>
        <s v="Stephanie Phelps"/>
        <s v="Neil Knudson"/>
        <s v="Dave Brooks"/>
        <s v="Nora Paige"/>
        <s v="Ted Trevino"/>
        <s v="Eric Murdock"/>
        <s v="Ruben Dartt"/>
        <s v="Max Jones"/>
        <s v="Becky Martin"/>
        <s v="Chad Sievert"/>
        <s v="Jennifer Braxton"/>
        <s v="Shirley Jackson"/>
        <s v="Jim Kriz"/>
        <s v="David Kendrick"/>
        <s v="Robert Marley"/>
        <s v="Sally Knutson"/>
        <s v="Frank Merwin"/>
        <s v="Alice McCarthy"/>
        <s v="Mark Packer"/>
        <s v="Mary Zewe"/>
        <s v="Cassandra Brandow"/>
        <s v="Valerie Mitchum"/>
        <s v="Fred Hopkins"/>
        <s v="Maria Bertelson"/>
        <s v="Bruce Stewart"/>
        <s v="Logan Currie"/>
        <s v="Heather Kirkland"/>
        <s v="Laurel Elliston"/>
        <s v="Joseph Holt"/>
        <s v="Michael Stewart"/>
        <s v="Victoria Wilson"/>
        <s v="Jonathan Howell"/>
        <s v="Joni Blumstein"/>
        <s v="David Smith"/>
        <s v="Valerie Dominguez"/>
        <s v="Erin Ashbrook"/>
        <s v="David Bremer"/>
        <s v="Ken Lonsdale"/>
        <s v="Dianna Wilson"/>
        <s v="Logan Haushalter"/>
        <s v="Kelly Collister"/>
        <s v="Delfina Latchford"/>
        <s v="Dan Reichenbach"/>
        <s v="Craig Carreira"/>
        <s v="Dorris liebe"/>
        <s v="Sean Braxton"/>
        <s v="Roy Collins"/>
        <s v="Alan Hwang"/>
        <s v="Claudia Bergmann"/>
        <s v="Christine Abelman"/>
        <s v="Kristen Hastings"/>
        <s v="Barry Blumstein"/>
        <s v="Andrew Gjertsen"/>
        <s v="Jas O'Carroll"/>
        <s v="Alan Haines"/>
        <s v="Nick Zandusky"/>
        <s v="Kelly Lampkin"/>
        <s v="Alan Schoenberger"/>
        <s v="Corey Roper"/>
        <s v="Shahid Hopkins"/>
        <s v="Ben Peterman"/>
        <s v="Thomas Seio"/>
        <s v="Andy Gerbode"/>
        <s v="Sung Pak"/>
        <s v="Nathan Mautz"/>
        <s v="Frank Atkinson"/>
        <s v="Grace Kelly"/>
        <s v="Don Jones"/>
        <s v="Patrick O'Brill"/>
        <s v="John Lucas"/>
        <s v="Doug Bickford"/>
        <s v="Alyssa Crouse"/>
        <s v="Clay Cheatham"/>
        <s v="Tamara Dahlen"/>
        <s v="Adam Bellavance"/>
        <s v="Jeremy Lonsdale"/>
        <s v="Victoria Brennan"/>
        <s v="Katrina Willman"/>
        <s v="Julia Dunbar"/>
        <s v="Michael Kennedy"/>
        <s v="Guy Thornton"/>
        <s v="Arthur Gainer"/>
        <s v="Muhammed MacIntyre"/>
        <s v="Allen Rosenblatt"/>
        <s v="Russell Applegate"/>
        <s v="Alejandro Savely"/>
        <s v="Laura Armstrong"/>
        <s v="Denny Ordway"/>
        <s v="Dean Katz"/>
        <s v="Nathan Gelder"/>
        <s v="Mike Vittorini"/>
        <s v="Jack Garza"/>
        <s v="Bart Pistole"/>
        <s v="Victor Preis"/>
        <s v="Saphhira Shifley"/>
        <s v="Anna Gayman"/>
        <s v="Luke Foster"/>
        <s v="Roy Franzsisch"/>
        <s v="Keith Herrera"/>
        <s v="Kimberly Carter"/>
        <s v="Caroline Jumper"/>
        <s v="Philip Brown"/>
        <s v="Michael Paige"/>
        <s v="Natalie Fritzler"/>
        <s v="Shirley Daniels"/>
        <s v="Ken Heidel"/>
        <s v="Ross Baird"/>
        <s v="Mike Kennedy"/>
        <s v="Philisse Overcash"/>
        <s v="Brenda Bowman"/>
        <s v="Troy Blackwell"/>
        <s v="Raymond Buch"/>
        <s v="Ed Braxton"/>
        <s v="Sanjit Chand"/>
        <s v="Tanja Norvell"/>
        <s v="Joni Sundaresam"/>
        <s v="Maya Herman"/>
        <s v="Jeremy Pistek"/>
        <s v="Jeremy Ellison"/>
        <s v="John Grady"/>
        <s v="Xylona Preis"/>
        <s v="Erin Mull"/>
        <s v="Michelle Tran"/>
        <s v="Sue Ann Reed"/>
        <s v="Carl Weiss"/>
        <s v="Astrea Jones"/>
        <s v="Sonia Sunley"/>
        <s v="Rose O'Brian"/>
        <s v="Maribeth Dona"/>
        <s v="Maribeth Yedwab"/>
        <s v="Christopher Martinez"/>
        <s v="Lynn Smith"/>
        <s v="Bradley Nguyen"/>
        <s v="Dean Braden"/>
        <s v="Matt Connell"/>
        <s v="Brian Dahlen"/>
        <s v="Patricia Hirasaki"/>
        <s v="Mike Gockenbach"/>
        <s v="Karen Bern"/>
        <s v="Jasper Cacioppo"/>
        <s v="Rob Lucas"/>
        <s v="Allen Armold"/>
        <s v="Emily Phan"/>
        <s v="Darren Koutras"/>
        <s v="Bradley Drucker"/>
        <s v="Liz MacKendrick"/>
        <s v="Adrian Shami"/>
        <s v="Bill Donatelli"/>
        <s v="Greg Tran"/>
        <s v="Ashley Jarboe"/>
        <s v="Olvera Toch"/>
        <s v="Liz Pelletier"/>
        <s v="Cynthia Arntzen"/>
        <s v="Jeremy Farry"/>
        <s v="Frank Preis"/>
        <s v="Ellis Ballard"/>
        <s v="Jennifer Ferguson"/>
        <s v="Sarah Foster"/>
        <s v="Trudy Glocke"/>
        <s v="Carlos Soltero"/>
        <s v="Charles Crestani"/>
        <s v="Dianna Vittorini"/>
        <s v="Bruce Degenhardt"/>
        <s v="Zuschuss Carroll"/>
        <s v="Melanie Seite"/>
        <s v="Lena Radford"/>
        <s v="Theone Pippenger"/>
        <s v="Chloris Kastensmidt"/>
        <s v="Alan Shonely"/>
        <s v="Andrew Roberts"/>
        <s v="Nona Balk"/>
        <s v="Giulietta Dortch"/>
        <s v="Clytie Kelty"/>
        <s v="Nat Gilpin"/>
        <s v="Christina Anderson"/>
        <s v="Sylvia Foulston"/>
        <s v="Meg O'Connel"/>
        <s v="Annie Thurman"/>
        <s v="Fred McMath"/>
        <s v="Denny Joy"/>
        <s v="Max Engle"/>
        <s v="Justin Deggeller"/>
        <s v="John Lee"/>
        <s v="Sean Christensen"/>
        <s v="Chuck Clark"/>
        <s v="Anthony Rawles"/>
        <s v="Steven Roelle"/>
        <s v="Craig Reiter"/>
        <s v="Eugene Hildebrand"/>
        <s v="Sibella Parks"/>
        <s v="Tiffany House"/>
        <s v="Resi Plking"/>
        <s v="Rob Beeghly"/>
        <s v="Carol Darley"/>
        <s v="Doug Jacobs"/>
        <s v="Grant Thornton"/>
        <s v="Michael Chen"/>
        <s v="Ralph Arnett"/>
        <s v="Naresj Patel"/>
        <s v="Alan Barnes"/>
        <s v="Jesus Ocampo"/>
        <s v="Jay Kimmel"/>
        <s v="Brad Norvell"/>
        <s v="David Philippe"/>
        <s v="Tracy Hopkins"/>
        <s v="Arthur Prichep"/>
        <s v="Roland Schwarz"/>
        <s v="Seth Vernon"/>
        <s v="Christine Kargatis"/>
        <s v="Ross DeVincentis"/>
        <s v="Mathew Reese"/>
        <s v="Steve Chapman"/>
        <s v="Jay Fein"/>
        <s v="Emily Grady"/>
        <s v="Darrin Sayre"/>
        <s v="Phillina Ober"/>
        <s v="Sung Shariari"/>
        <s v="Peter Bhler"/>
        <s v="Roland Fjeld"/>
        <s v="Yoseph Carroll"/>
        <s v="Debra Catini"/>
        <s v="Christine Phan"/>
        <s v="Barry Franzsisch"/>
        <s v="Lisa Hazard"/>
        <s v="Chris Selesnick"/>
        <s v="Anthony Johnson"/>
        <s v="Benjamin Venier"/>
        <s v="Dan Lawera"/>
        <s v="Bryan Mills"/>
        <s v="Liz Thompson"/>
        <s v="Joe Kamberova"/>
        <s v="Erica Smith"/>
        <s v="Rick Hansen"/>
        <s v="Carlos Daly"/>
        <s v="Helen Wasserman"/>
        <s v="Mike Caudle"/>
        <s v="Gary McGarr"/>
        <s v="Pauline Johnson"/>
        <s v="Bart Watters"/>
        <s v="Toby Ritter"/>
        <s v="Patrick Gardner"/>
        <s v="James Lanier"/>
        <s v="Brian Moss"/>
        <s v="Eudokia Martin"/>
        <s v="Art Foster"/>
        <s v="Guy Armstrong"/>
        <s v="Cyma Kinney"/>
        <s v="Dave Poirier"/>
        <s v="Berenike Kampe"/>
        <s v="Sanjit Jacobs"/>
        <s v="Chuck Magee"/>
        <s v="Anthony Jacobs"/>
        <s v="Linda Southworth"/>
        <s v="Guy Phonely"/>
        <s v="Paul Knutson"/>
        <s v="Sally Matthias"/>
        <s v="Anthony Garverick"/>
        <s v="Peter McVee"/>
        <s v="Lauren Leatherbury"/>
        <s v="Jill Stevenson"/>
        <s v="Ed Ludwig"/>
        <s v="Pamela Coakley"/>
        <s v="Hunter Lopez"/>
        <s v="Maribeth Schnelling"/>
        <s v="George Bell"/>
        <s v="Justin Ritter"/>
        <s v="Bill Eplett"/>
        <s v="Sample Company A"/>
        <s v="Rob Williams"/>
        <s v="Sanjit Engle"/>
        <s v="Adam Hart"/>
        <s v="Jessica Myrick"/>
        <s v="Joel Jenkins"/>
        <s v="Ralph Kennedy"/>
        <s v="Catherine Glotzbach"/>
        <s v="Rachel Payne"/>
        <s v="Karen Carlisle"/>
        <s v="Katherine Hughes"/>
        <s v="Greg Hansen"/>
        <s v="Scott Williamson"/>
        <s v="Joseph Airdo"/>
        <s v="Daniel Lacy"/>
        <s v="Lindsay Williams"/>
        <s v="Thomas Brumley"/>
        <s v="Bryan Spruell"/>
        <s v="Robert Waldorf"/>
        <s v="Tracy Zic"/>
        <s v="Ann Steele"/>
        <s v="Toby Swindell"/>
        <s v="Sara Luxemburg"/>
        <s v="Mitch Willingham"/>
        <s v="Rob Dowd"/>
        <s v="Ryan Akin"/>
        <s v="Meg Tillman"/>
        <s v="Vivek Gonzalez"/>
        <s v="John Stevenson"/>
        <s v="Kalyca Meade"/>
        <s v="Hallie Redmond"/>
        <s v="Deanra Eno"/>
        <s v="Allen Goldenen"/>
        <s v="Jennifer Jackson"/>
        <s v="Jennifer Halladay"/>
        <s v="Robert Dilbeck"/>
        <s v="Mary O'Rourke"/>
        <s v="Stewart Visinsky"/>
        <s v="Matthew Grinstein"/>
        <s v="Adrian Barton"/>
        <s v="Michelle Arnett"/>
        <s v="Erica Bern"/>
        <s v="Neola Schneider"/>
        <s v="Jason Klamczynski"/>
        <s v="Patrick Ryan"/>
        <s v="Aaron Smayling"/>
        <s v="Dan Campbell"/>
        <s v="Michael Dominguez"/>
        <s v="Rick Huthwaite"/>
        <s v="Thomas Boland"/>
        <s v="Eric Barreto"/>
        <s v="Bradley Talbott"/>
        <s v="Fred Wasserman"/>
        <s v="Rick Duston"/>
        <s v="Quincy Jones"/>
        <s v="Khloe Miller"/>
        <s v="Ionia McGrath"/>
        <s v="Marina Lichtenstein"/>
        <s v="Gary Hansen"/>
        <s v="Maureen Gnade"/>
      </sharedItems>
    </cacheField>
    <cacheField name="Segment" numFmtId="0">
      <sharedItems count="3">
        <s v="Consumer"/>
        <s v="Corporate"/>
        <s v="Home Office"/>
      </sharedItems>
    </cacheField>
    <cacheField name="Country" numFmtId="0">
      <sharedItems count="1">
        <s v="United States"/>
      </sharedItems>
    </cacheField>
    <cacheField name="City" numFmtId="0">
      <sharedItems count="189">
        <s v="Henderson"/>
        <s v="Los Angeles"/>
        <s v="Fort Lauderdale"/>
        <s v="Concord"/>
        <s v="Seattle"/>
        <s v="Fort Worth"/>
        <s v="Madison"/>
        <s v="West Jordan"/>
        <s v="San Francisco"/>
        <s v="Fremont"/>
        <s v="Philadelphia"/>
        <s v="Orem"/>
        <s v="Houston"/>
        <s v="Richardson"/>
        <s v="Naperville"/>
        <s v="Melbourne"/>
        <s v="Eagan"/>
        <s v="Westland"/>
        <s v="Dover"/>
        <s v="New Albany"/>
        <s v="New York City"/>
        <s v="Troy"/>
        <s v="Chicago"/>
        <s v="Gilbert"/>
        <s v="Springfield"/>
        <s v="Jackson"/>
        <s v="Memphis"/>
        <s v="Decatur"/>
        <s v="Durham"/>
        <s v="Columbia"/>
        <s v="Rochester"/>
        <s v="Minneapolis"/>
        <s v="Portland"/>
        <s v="Saint Paul"/>
        <s v="Aurora"/>
        <s v="Charlotte"/>
        <s v="Orland Park"/>
        <s v="Urbandale"/>
        <s v="Columbus"/>
        <s v="Bristol"/>
        <s v="Wilmington"/>
        <s v="Bloomington"/>
        <s v="Phoenix"/>
        <s v="Roseville"/>
        <s v="Independence"/>
        <s v="Pasadena"/>
        <s v="Newark"/>
        <s v="Franklin"/>
        <s v="Scottsdale"/>
        <s v="San Jose"/>
        <s v="Edmond"/>
        <s v="Carlsbad"/>
        <s v="San Antonio"/>
        <s v="Monroe"/>
        <s v="Fairfield"/>
        <s v="Grand Prairie"/>
        <s v="Redlands"/>
        <s v="Hamilton"/>
        <s v="Westfield"/>
        <s v="Akron"/>
        <s v="Denver"/>
        <s v="Dallas"/>
        <s v="Whittier"/>
        <s v="Saginaw"/>
        <s v="Medina"/>
        <s v="Dublin"/>
        <s v="Detroit"/>
        <s v="Tampa"/>
        <s v="Santa Clara"/>
        <s v="Lakeville"/>
        <s v="San Diego"/>
        <s v="Brentwood"/>
        <s v="Chapel Hill"/>
        <s v="Morristown"/>
        <s v="Cincinnati"/>
        <s v="Inglewood"/>
        <s v="Tamarac"/>
        <s v="Colorado Springs"/>
        <s v="Belleville"/>
        <s v="Taylor"/>
        <s v="Lakewood"/>
        <s v="Arlington"/>
        <s v="Arvada"/>
        <s v="Hackensack"/>
        <s v="Saint Petersburg"/>
        <s v="Long Beach"/>
        <s v="Hesperia"/>
        <s v="Murfreesboro"/>
        <s v="Layton"/>
        <s v="Austin"/>
        <s v="Lowell"/>
        <s v="Manchester"/>
        <s v="Harlingen"/>
        <s v="Tucson"/>
        <s v="Quincy"/>
        <s v="Pembroke Pines"/>
        <s v="Des Moines"/>
        <s v="Peoria"/>
        <s v="Las Vegas"/>
        <s v="Warwick"/>
        <s v="Miami"/>
        <s v="Huntington Beach"/>
        <s v="Richmond"/>
        <s v="Louisville"/>
        <s v="Lawrence"/>
        <s v="Canton"/>
        <s v="New Rochelle"/>
        <s v="Gastonia"/>
        <s v="Jacksonville"/>
        <s v="Auburn"/>
        <s v="Norman"/>
        <s v="Park Ridge"/>
        <s v="Amarillo"/>
        <s v="Lindenhurst"/>
        <s v="Huntsville"/>
        <s v="Fayetteville"/>
        <s v="Costa Mesa"/>
        <s v="Parker"/>
        <s v="Atlanta"/>
        <s v="Gladstone"/>
        <s v="Great Falls"/>
        <s v="Lakeland"/>
        <s v="Montgomery"/>
        <s v="Mesa"/>
        <s v="Green Bay"/>
        <s v="Anaheim"/>
        <s v="Marysville"/>
        <s v="Salem"/>
        <s v="Laredo"/>
        <s v="Grove City"/>
        <s v="Dearborn"/>
        <s v="Warner Robins"/>
        <s v="Vallejo"/>
        <s v="Mission Viejo"/>
        <s v="Rochester Hills"/>
        <s v="Plainfield"/>
        <s v="Sierra Vista"/>
        <s v="Vancouver"/>
        <s v="Cleveland"/>
        <s v="Tyler"/>
        <s v="Burlington"/>
        <s v="Waynesboro"/>
        <s v="Chester"/>
        <s v="Cary"/>
        <s v="Palm Coast"/>
        <s v="Mount Vernon"/>
        <s v="Hialeah"/>
        <s v="Oceanside"/>
        <s v="Evanston"/>
        <s v="Trenton"/>
        <s v="Cottage Grove"/>
        <s v="Bossier City"/>
        <s v="Lancaster"/>
        <s v="Asheville"/>
        <s v="Lake Elsinore"/>
        <s v="Omaha"/>
        <s v="Edmonds"/>
        <s v="Santa Ana"/>
        <s v="Milwaukee"/>
        <s v="Florence"/>
        <s v="Lorain"/>
        <s v="Linden"/>
        <s v="Salinas"/>
        <s v="New Brunswick"/>
        <s v="Garland"/>
        <s v="Norwich"/>
        <s v="Alexandria"/>
        <s v="Toledo"/>
        <s v="Farmington"/>
        <s v="Riverside"/>
        <s v="Torrance"/>
        <s v="Round Rock"/>
        <s v="Boca Raton"/>
        <s v="Virginia Beach"/>
        <s v="Murrieta"/>
        <s v="Olympia"/>
        <s v="Washington"/>
        <s v="Jefferson City"/>
        <s v="Saint Peters"/>
        <s v="Haltom City"/>
        <s v="Las Cruces"/>
        <s v="Redmond"/>
        <s v="Laurel"/>
        <s v="Wilson"/>
        <s v="Buffalo Grove"/>
        <s v="Avondale"/>
        <s v="Bangor"/>
        <s v="Hendersonville"/>
        <s v="Eau Claire"/>
      </sharedItems>
    </cacheField>
    <cacheField name="State" numFmtId="0">
      <sharedItems count="43">
        <s v="Kentucky"/>
        <s v="California"/>
        <s v="Florida"/>
        <s v="North Carolina"/>
        <s v="Washington"/>
        <s v="Texas"/>
        <s v="Wisconsin"/>
        <s v="Utah"/>
        <s v="Nebraska"/>
        <s v="Pennsylvania"/>
        <s v="Illinois"/>
        <s v="Minnesota"/>
        <s v="Michigan"/>
        <s v="Delaware"/>
        <s v="Indiana"/>
        <s v="New York"/>
        <s v="Arizona"/>
        <s v="Virginia"/>
        <s v="Tennessee"/>
        <s v="Alabama"/>
        <s v="South Carolina"/>
        <s v="Oregon"/>
        <s v="Colorado"/>
        <s v="Iowa"/>
        <s v="Ohio"/>
        <s v="Missouri"/>
        <s v="Oklahoma"/>
        <s v="New Mexico"/>
        <s v="Louisiana"/>
        <s v="Connecticut"/>
        <s v="New Jersey"/>
        <s v="Massachusetts"/>
        <s v="Georgia"/>
        <s v="Nevada"/>
        <s v="Rhode Island"/>
        <s v="Mississippi"/>
        <s v="Arkansas"/>
        <s v="Montana"/>
        <s v="New Hampshire"/>
        <s v="Maryland"/>
        <s v="District of Columbia"/>
        <s v="Vermont"/>
        <s v="Maine"/>
      </sharedItems>
    </cacheField>
    <cacheField name="Postal Code" numFmtId="0">
      <sharedItems containsNumber="1" containsInteger="1" containsMixedTypes="1" count="241">
        <n v="42420"/>
        <n v="90036"/>
        <n v="33311"/>
        <n v="90032"/>
        <n v="28027"/>
        <n v="98103"/>
        <n v="76106"/>
        <n v="53711"/>
        <n v="84084"/>
        <n v="94109"/>
        <n v="68025"/>
        <n v="19140"/>
        <n v="84057"/>
        <n v="90049"/>
        <n v="77095"/>
        <n v="75080"/>
        <n v="77041"/>
        <n v="60540"/>
        <n v="32935"/>
        <n v="55122"/>
        <n v="48185"/>
        <n v="19901"/>
        <n v="47150"/>
        <n v="10024"/>
        <n v="12180"/>
        <n v="90004"/>
        <n v="60610"/>
        <n v="85234"/>
        <n v="22153"/>
        <n v="10009"/>
        <n v="49201"/>
        <n v="38109"/>
        <n v="77070"/>
        <n v="35601"/>
        <n v="94122"/>
        <n v="27707"/>
        <n v="60623"/>
        <n v="29203"/>
        <n v="55901"/>
        <n v="55407"/>
        <n v="97206"/>
        <n v="55106"/>
        <n v="80013"/>
        <n v="28205"/>
        <n v="60462"/>
        <n v="10035"/>
        <n v="50322"/>
        <n v="43229"/>
        <n v="37620"/>
        <n v="19805"/>
        <n v="61701"/>
        <n v="85023"/>
        <n v="95661"/>
        <n v="64055"/>
        <n v="91104"/>
        <n v="43055"/>
        <n v="53132"/>
        <n v="85254"/>
        <n v="95123"/>
        <n v="98105"/>
        <n v="98115"/>
        <n v="73034"/>
        <n v="90045"/>
        <n v="19134"/>
        <n v="88220"/>
        <n v="78207"/>
        <n v="77036"/>
        <n v="62521"/>
        <n v="71203"/>
        <n v="6824"/>
        <n v="75051"/>
        <n v="92374"/>
        <n v="45011"/>
        <n v="7090"/>
        <n v="19120"/>
        <n v="44312"/>
        <n v="80219"/>
        <n v="75220"/>
        <n v="37064"/>
        <n v="90604"/>
        <n v="48601"/>
        <n v="44256"/>
        <n v="43017"/>
        <n v="48227"/>
        <n v="38401"/>
        <n v="33614"/>
        <n v="95051"/>
        <n v="55044"/>
        <n v="92037"/>
        <n v="77506"/>
        <n v="94513"/>
        <n v="27514"/>
        <n v="7960"/>
        <n v="45231"/>
        <n v="94110"/>
        <n v="90301"/>
        <n v="33319"/>
        <n v="80906"/>
        <n v="7109"/>
        <n v="48180"/>
        <n v="8701"/>
        <n v="22204"/>
        <n v="80004"/>
        <n v="7601"/>
        <n v="33710"/>
        <n v="19143"/>
        <n v="90805"/>
        <n v="92345"/>
        <n v="37130"/>
        <n v="84041"/>
        <n v="78745"/>
        <n v="1852"/>
        <n v="31907"/>
        <n v="6040"/>
        <n v="78550"/>
        <n v="85705"/>
        <n v="62301"/>
        <n v="2038"/>
        <n v="33024"/>
        <n v="98198"/>
        <n v="61604"/>
        <n v="89115"/>
        <n v="2886"/>
        <n v="33180"/>
        <n v="28403"/>
        <n v="92646"/>
        <n v="40475"/>
        <n v="80027"/>
        <n v="1841"/>
        <n v="39212"/>
        <n v="48187"/>
        <n v="10801"/>
        <n v="28052"/>
        <n v="32216"/>
        <n v="47201"/>
        <n v="13021"/>
        <n v="73071"/>
        <n v="94521"/>
        <n v="60068"/>
        <n v="79109"/>
        <n v="11757"/>
        <n v="90008"/>
        <n v="92024"/>
        <n v="77340"/>
        <n v="14609"/>
        <n v="72701"/>
        <n v="92627"/>
        <n v="80134"/>
        <n v="30318"/>
        <n v="64118"/>
        <n v="59405"/>
        <n v="48234"/>
        <n v="33801"/>
        <n v="36116"/>
        <n v="85204"/>
        <n v="60653"/>
        <n v="54302"/>
        <n v="45503"/>
        <n v="92804"/>
        <n v="98270"/>
        <n v="97301"/>
        <n v="78041"/>
        <n v="75217"/>
        <n v="43123"/>
        <n v="10011"/>
        <n v="48126"/>
        <n v="31088"/>
        <n v="94591"/>
        <n v="92691"/>
        <n v="48307"/>
        <n v="7060"/>
        <n v="85635"/>
        <n v="98661"/>
        <n v="60505"/>
        <n v="76017"/>
        <n v="40214"/>
        <n v="75081"/>
        <n v="44105"/>
        <n v="75701"/>
        <n v="27217"/>
        <n v="22980"/>
        <n v="19013"/>
        <n v="27511"/>
        <n v="32137"/>
        <n v="10550"/>
        <n v="48205"/>
        <n v="33012"/>
        <n v="11572"/>
        <n v="92105"/>
        <n v="60201"/>
        <n v="48183"/>
        <n v="55016"/>
        <n v="71111"/>
        <n v="50315"/>
        <n v="93534"/>
        <n v="23223"/>
        <n v="28806"/>
        <n v="92530"/>
        <n v="68104"/>
        <n v="98026"/>
        <n v="92704"/>
        <n v="53209"/>
        <n v="41042"/>
        <n v="44052"/>
        <n v="7036"/>
        <n v="93905"/>
        <n v="8901"/>
        <n v="17602"/>
        <n v="3301"/>
        <n v="21044"/>
        <n v="75043"/>
        <n v="6360"/>
        <n v="22304"/>
        <n v="43615"/>
        <n v="87401"/>
        <n v="92503"/>
        <n v="90503"/>
        <n v="78664"/>
        <n v="92054"/>
        <n v="33433"/>
        <n v="23464"/>
        <n v="92563"/>
        <n v="28540"/>
        <n v="52601"/>
        <n v="98502"/>
        <n v="20016"/>
        <n v="65109"/>
        <n v="63376"/>
        <n v="45373"/>
        <n v="47401"/>
        <n v="76117"/>
        <n v="88001"/>
        <n v="97756"/>
        <n v="20707"/>
        <n v="27893"/>
        <n v="60089"/>
        <s v="05408"/>
        <n v="85323"/>
        <n v="4401"/>
        <n v="37075"/>
        <n v="54703"/>
      </sharedItems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 count="463">
        <s v="FUR-BO-10001798"/>
        <s v="OFF-LA-10000240"/>
        <s v="FUR-TA-10000577"/>
        <s v="FUR-FU-10001487"/>
        <s v="OFF-PA-10002365"/>
        <s v="OFF-BI-10003656"/>
        <s v="OFF-AP-10002311"/>
        <s v="OFF-ST-10004186"/>
        <s v="OFF-ST-10000107"/>
        <s v="OFF-AR-10003056"/>
        <s v="OFF-AR-10000246"/>
        <s v="FUR-CH-10002774"/>
        <s v="OFF-BI-10001634"/>
        <s v="FUR-BO-10004834"/>
        <s v="OFF-PA-10000249"/>
        <s v="TEC-PH-10004977"/>
        <s v="OFF-EN-10002986"/>
        <s v="TEC-PH-10004093"/>
        <s v="OFF-ST-10003479"/>
        <s v="OFF-ST-10003282"/>
        <s v="TEC-AC-10000171"/>
        <s v="OFF-ST-10001713"/>
        <s v="TEC-AC-10002167"/>
        <s v="OFF-BI-10004410"/>
        <s v="OFF-FA-10000304"/>
        <s v="OFF-ST-10000604"/>
        <s v="TEC-AC-10004633"/>
        <s v="FUR-CH-10001146"/>
        <s v="OFF-AR-10002671"/>
        <s v="OFF-PA-10000482"/>
        <s v="OFF-BI-10004654"/>
        <s v="OFF-PA-10004675"/>
        <s v="FUR-CH-10000513"/>
        <s v="OFF-BI-10004182"/>
        <s v="FUR-FU-10003194"/>
        <s v="OFF-AP-10002118"/>
        <s v="OFF-AR-10002053"/>
        <s v="OFF-EN-10000927"/>
        <s v="OFF-ST-10003656"/>
        <s v="FUR-CH-10000863"/>
        <s v="TEC-AC-10001998"/>
        <s v="OFF-ST-10003442"/>
        <s v="OFF-AR-10004930"/>
        <s v="OFF-PA-10003177"/>
        <s v="OFF-BI-10004738"/>
        <s v="FUR-FU-10000629"/>
        <s v="OFF-BI-10001721"/>
        <s v="OFF-AP-10000358"/>
        <s v="OFF-PA-10003256"/>
        <s v="OFF-PA-10004040"/>
        <s v="TEC-AC-10001552"/>
        <s v="TEC-AC-10003499"/>
        <s v="TEC-AC-10000844"/>
        <s v="FUR-FU-10001934"/>
        <s v="OFF-AR-10000380"/>
        <s v="OFF-FA-10000621"/>
        <s v="FUR-TA-10001768"/>
        <s v="OFF-BI-10003650"/>
        <s v="FUR-FU-10002157"/>
        <s v="FUR-CH-10004063"/>
        <s v="FUR-TA-10004534"/>
        <s v="OFF-BI-10003274"/>
        <s v="TEC-PH-10002293"/>
        <s v="OFF-PA-10001804"/>
        <s v="FUR-FU-10004848"/>
        <s v="OFF-AR-10000940"/>
        <s v="OFF-AP-10001058"/>
        <s v="FUR-FU-10000521"/>
        <s v="TEC-PH-10000215"/>
        <s v="OFF-AP-10000326"/>
        <s v="OFF-PA-10001950"/>
        <s v="OFF-AR-10001547"/>
        <s v="OFF-LA-10002475"/>
        <s v="OFF-PA-10002751"/>
        <s v="TEC-AC-10003657"/>
        <s v="OFF-EN-10001990"/>
        <s v="OFF-BI-10004002"/>
        <s v="OFF-AR-10004441"/>
        <s v="OFF-PA-10000659"/>
        <s v="OFF-AP-10000891"/>
        <s v="OFF-AP-10002684"/>
        <s v="FUR-CH-10004698"/>
        <s v="OFF-AR-10001940"/>
        <s v="OFF-ST-10003455"/>
        <s v="TEC-PH-10003273"/>
        <s v="OFF-BI-10001890"/>
        <s v="TEC-AC-10002323"/>
        <s v="OFF-ST-10001328"/>
        <s v="FUR-BO-10002613"/>
        <s v="OFF-EN-10001509"/>
        <s v="OFF-AR-10004685"/>
        <s v="OFF-ST-10001414"/>
        <s v="OFF-BI-10000343"/>
        <s v="OFF-PA-10002666"/>
        <s v="FUR-TA-10004289"/>
        <s v="OFF-AP-10003217"/>
        <s v="FUR-FU-10002960"/>
        <s v="TEC-PH-10001918"/>
        <s v="OFF-ST-10000642"/>
        <s v="TEC-AC-10001266"/>
        <s v="OFF-LA-10004544"/>
        <s v="OFF-FA-10000585"/>
        <s v="OFF-AR-10001026"/>
        <s v="FUR-CH-10004860"/>
        <s v="OFF-BI-10001679"/>
        <s v="FUR-TA-10001705"/>
        <s v="OFF-PA-10002479"/>
        <s v="OFF-PA-10003349"/>
        <s v="FUR-CH-10002965"/>
        <s v="OFF-PA-10004569"/>
        <s v="OFF-ST-10001228"/>
        <s v="FUR-FU-10002505"/>
        <s v="TEC-AC-10000290"/>
        <s v="OFF-AP-10002203"/>
        <s v="TEC-MA-10000822"/>
        <s v="TEC-PH-10001433"/>
        <s v="TEC-AC-10004469"/>
        <s v="OFF-AR-10003602"/>
        <s v="OFF-FA-10003472"/>
        <s v="OFF-ST-10004180"/>
        <s v="OFF-ST-10003208"/>
        <s v="TEC-AC-10003628"/>
        <s v="OFF-PA-10002615"/>
        <s v="OFF-PA-10000673"/>
        <s v="OFF-BI-10004967"/>
        <s v="FUR-TA-10002903"/>
        <s v="OFF-PA-10000474"/>
        <s v="OFF-BI-10000778"/>
        <s v="OFF-FA-10002983"/>
        <s v="FUR-FU-10004091"/>
        <s v="OFF-PA-10002105"/>
        <s v="FUR-TA-10002533"/>
        <s v="FUR-FU-10002671"/>
        <s v="OFF-AR-10003651"/>
        <s v="OFF-BI-10001072"/>
        <s v="OFF-AR-10002804"/>
        <s v="FUR-FU-10001918"/>
        <s v="FUR-FU-10001588"/>
        <s v="TEC-PH-10002398"/>
        <s v="OFF-AR-10003373"/>
        <s v="FUR-CH-10002602"/>
        <s v="OFF-FA-10000624"/>
        <s v="OFF-BI-10004593"/>
        <s v="FUR-FU-10001967"/>
        <s v="TEC-PH-10003645"/>
        <s v="TEC-PH-10004614"/>
        <s v="OFF-BI-10001922"/>
        <s v="OFF-BI-10003314"/>
        <s v="OFF-FA-10000490"/>
        <s v="OFF-AR-10000122"/>
        <s v="OFF-AR-10004027"/>
        <s v="FUR-BO-10002268"/>
        <s v="OFF-AP-10001124"/>
        <s v="OFF-LA-10001158"/>
        <s v="OFF-BI-10002412"/>
        <s v="OFF-PA-10002036"/>
        <s v="OFF-BI-10001982"/>
        <s v="OFF-PA-10003039"/>
        <s v="FUR-TA-10004915"/>
        <s v="OFF-AP-10000696"/>
        <s v="OFF-PA-10004734"/>
        <s v="TEC-AC-10004708"/>
        <s v="FUR-TA-10000617"/>
        <s v="TEC-MA-10001681"/>
        <s v="OFF-AR-10004757"/>
        <s v="OFF-BI-10000050"/>
        <s v="TEC-PH-10003012"/>
        <s v="OFF-BI-10003982"/>
        <s v="OFF-BI-10004492"/>
        <s v="OFF-ST-10000798"/>
        <s v="OFF-SU-10002573"/>
        <s v="OFF-ST-10001580"/>
        <s v="OFF-PA-10001947"/>
        <s v="OFF-AR-10003478"/>
        <s v="OFF-AP-10004249"/>
        <s v="TEC-AC-10000158"/>
        <s v="OFF-PA-10000157"/>
        <s v="OFF-AR-10004344"/>
        <s v="FUR-CH-10004886"/>
        <s v="OFF-PA-10003845"/>
        <s v="OFF-AR-10001573"/>
        <s v="TEC-AC-10004114"/>
        <s v="FUR-FU-10004712"/>
        <s v="FUR-CH-10000015"/>
        <s v="FUR-FU-10003347"/>
        <s v="TEC-MA-10000029"/>
        <s v="OFF-AR-10000369"/>
        <s v="OFF-BI-10004584"/>
        <s v="OFF-ST-10003306"/>
        <s v="OFF-BI-10000773"/>
        <s v="TEC-MA-10002937"/>
        <s v="OFF-PA-10002230"/>
        <s v="FUR-CH-10003396"/>
        <s v="FUR-FU-10000246"/>
        <s v="FUR-FU-10000206"/>
        <s v="OFF-AR-10000588"/>
        <s v="FUR-TA-10001539"/>
        <s v="TEC-AC-10001772"/>
        <s v="FUR-CH-10000225"/>
        <s v="FUR-CH-10002331"/>
        <s v="OFF-AP-10002472"/>
        <s v="FUR-FU-10000023"/>
        <s v="FUR-FU-10002918"/>
        <s v="FUR-BO-10002824"/>
        <s v="OFF-BI-10002194"/>
        <s v="OFF-PA-10004071"/>
        <s v="OFF-ST-10002743"/>
        <s v="TEC-PH-10000149"/>
        <s v="OFF-AR-10003045"/>
        <s v="TEC-AC-10001445"/>
        <s v="OFF-LA-10003923"/>
        <s v="TEC-PH-10001363"/>
        <s v="TEC-PH-10000376"/>
        <s v="OFF-ST-10001809"/>
        <s v="TEC-AC-10000991"/>
        <s v="FUR-TA-10001857"/>
        <s v="OFF-EN-10001434"/>
        <s v="OFF-BI-10002498"/>
        <s v="OFF-BI-10001670"/>
        <s v="OFF-AR-10001662"/>
        <s v="FUR-FU-10001290"/>
        <s v="OFF-AR-10003811"/>
        <s v="TEC-CO-10003236"/>
        <s v="TEC-PH-10003555"/>
        <s v="OFF-FA-10002815"/>
        <s v="FUR-CH-10003379"/>
        <s v="OFF-ST-10004963"/>
        <s v="FUR-CH-10000595"/>
        <s v="FUR-FU-10000448"/>
        <s v="TEC-PH-10000984"/>
        <s v="OFF-ST-10001325"/>
        <s v="OFF-BI-10002429"/>
        <s v="OFF-BI-10004528"/>
        <s v="OFF-AP-10001271"/>
        <s v="TEC-AC-10001432"/>
        <s v="TEC-PH-10002262"/>
        <s v="TEC-AC-10001465"/>
        <s v="OFF-BI-10000404"/>
        <s v="FUR-CH-10002024"/>
        <s v="FUR-FU-10003039"/>
        <s v="OFF-FA-10004248"/>
        <s v="OFF-ST-10001780"/>
        <s v="OFF-AR-10003560"/>
        <s v="OFF-LA-10001297"/>
        <s v="OFF-AP-10003914"/>
        <s v="OFF-FA-10003467"/>
        <s v="TEC-PH-10002496"/>
        <s v="OFF-PA-10004530"/>
        <s v="OFF-AR-10003394"/>
        <s v="OFF-ST-10002974"/>
        <s v="OFF-SU-10004498"/>
        <s v="FUR-CH-10003956"/>
        <s v="TEC-PH-10003800"/>
        <s v="OFF-AR-10004078"/>
        <s v="OFF-AP-10004708"/>
        <s v="OFF-SU-10004115"/>
        <s v="TEC-PH-10001425"/>
        <s v="OFF-ST-10001490"/>
        <s v="OFF-BI-10000848"/>
        <s v="OFF-PA-10001204"/>
        <s v="TEC-PH-10000011"/>
        <s v="FUR-FU-10003849"/>
        <s v="OFF-BI-10002103"/>
        <s v="FUR-CH-10004853"/>
        <s v="FUR-FU-10000221"/>
        <s v="OFF-AP-10001563"/>
        <s v="OFF-BI-10000605"/>
        <s v="OFF-ST-10001963"/>
        <s v="TEC-AC-10002857"/>
        <s v="FUR-CH-10001482"/>
        <s v="OFF-BI-10001989"/>
        <s v="FUR-FU-10000576"/>
        <s v="FUR-FU-10000732"/>
        <s v="OFF-ST-10000585"/>
        <s v="TEC-AC-10003832"/>
        <s v="OFF-PA-10001934"/>
        <s v="OFF-AP-10002457"/>
        <s v="OFF-FA-10003112"/>
        <s v="FUR-FU-10001935"/>
        <s v="OFF-PA-10003892"/>
        <s v="OFF-AP-10002439"/>
        <s v="FUR-CH-10001215"/>
        <s v="OFF-ST-10001522"/>
        <s v="OFF-SU-10004231"/>
        <s v="FUR-FU-10003096"/>
        <s v="FUR-FU-10002759"/>
        <s v="OFF-AR-10001954"/>
        <s v="OFF-AP-10004532"/>
        <s v="OFF-AP-10000804"/>
        <s v="OFF-BI-10003305"/>
        <s v="TEC-MA-10004125"/>
        <s v="TEC-AC-10003911"/>
        <s v="FUR-BO-10004015"/>
        <s v="FUR-FU-10004071"/>
        <s v="TEC-AC-10002253"/>
        <s v="FUR-FU-10003394"/>
        <s v="FUR-TA-10002774"/>
        <s v="OFF-PA-10001800"/>
        <s v="OFF-EN-10001219"/>
        <s v="OFF-AP-10001154"/>
        <s v="OFF-BI-10003355"/>
        <s v="FUR-FU-10000010"/>
        <s v="FUR-FU-10002253"/>
        <s v="OFF-BI-10001658"/>
        <s v="OFF-PA-10004092"/>
        <s v="FUR-TA-10000198"/>
        <s v="FUR-FU-10000222"/>
        <s v="OFF-SU-10004664"/>
        <s v="OFF-EN-10001141"/>
        <s v="OFF-PA-10001954"/>
        <s v="OFF-ST-10000736"/>
        <s v="TEC-AC-10001383"/>
        <s v="OFF-LA-10003223"/>
        <s v="FUR-TA-10002607"/>
        <s v="TEC-PH-10000004"/>
        <s v="OFF-BI-10003638"/>
        <s v="TEC-CO-10002095"/>
        <s v="FUR-TA-10001095"/>
        <s v="OFF-ST-10002444"/>
        <s v="OFF-PA-10002377"/>
        <s v="OFF-PA-10003441"/>
        <s v="OFF-LA-10004484"/>
        <s v="TEC-PH-10003931"/>
        <s v="FUR-FU-10004306"/>
        <s v="FUR-CH-10003746"/>
        <s v="OFF-BI-10001036"/>
        <s v="OFF-AR-10003405"/>
        <s v="FUR-CH-10002335"/>
        <s v="OFF-BI-10001098"/>
        <s v="OFF-EN-10000056"/>
        <s v="OFF-BI-10000014"/>
        <s v="FUR-CH-10004675"/>
        <s v="OFF-BI-10001543"/>
        <s v="TEC-PH-10001530"/>
        <s v="OFF-LA-10001569"/>
        <s v="OFF-BI-10000546"/>
        <s v="OFF-PA-10000176"/>
        <s v="FUR-CH-10002647"/>
        <s v="FUR-FU-10004090"/>
        <s v="OFF-AP-10000576"/>
        <s v="OFF-PA-10003953"/>
        <s v="FUR-FU-10000794"/>
        <s v="OFF-AR-10001897"/>
        <s v="OFF-AR-10003190"/>
        <s v="OFF-PA-10000061"/>
        <s v="OFF-PA-10003651"/>
        <s v="OFF-PA-10000304"/>
        <s v="TEC-AC-10002402"/>
        <s v="TEC-AC-10003441"/>
        <s v="OFF-FA-10002280"/>
        <s v="FUR-CH-10000665"/>
        <s v="OFF-AR-10002956"/>
        <s v="OFF-BI-10001071"/>
        <s v="OFF-PA-10001560"/>
        <s v="TEC-PH-10002365"/>
        <s v="OFF-AR-10004648"/>
        <s v="OFF-BI-10001294"/>
        <s v="TEC-PH-10001552"/>
        <s v="FUR-FU-10003878"/>
        <s v="TEC-AC-10000710"/>
        <s v="OFF-AR-10002335"/>
        <s v="OFF-PA-10001019"/>
        <s v="OFF-SU-10001225"/>
        <s v="TEC-AC-10001714"/>
        <s v="OFF-LA-10004272"/>
        <s v="OFF-LA-10004853"/>
        <s v="OFF-BI-10003719"/>
        <s v="OFF-BI-10000545"/>
        <s v="OFF-PA-10003591"/>
        <s v="OFF-PA-10004470"/>
        <s v="OFF-PA-10001790"/>
        <s v="FUR-FU-10004017"/>
        <s v="OFF-BI-10003712"/>
        <s v="OFF-BI-10003984"/>
        <s v="OFF-ST-10001321"/>
        <s v="OFF-AR-10001118"/>
        <s v="FUR-FU-10001424"/>
        <s v="OFF-BI-10002071"/>
        <s v="OFF-ST-10002486"/>
        <s v="OFF-BI-10001078"/>
        <s v="TEC-AC-10000927"/>
        <s v="OFF-PA-10001622"/>
        <s v="OFF-ST-10002205"/>
        <s v="OFF-EN-10001099"/>
        <s v="OFF-PA-10002250"/>
        <s v="OFF-BI-10004716"/>
        <s v="OFF-LA-10001045"/>
        <s v="TEC-PH-10004536"/>
        <s v="OFF-PA-10002947"/>
        <s v="FUR-BO-10003441"/>
        <s v="TEC-PH-10001494"/>
        <s v="FUR-TA-10001520"/>
        <s v="TEC-AC-10002473"/>
        <s v="OFF-PA-10003543"/>
        <s v="OFF-AR-10000658"/>
        <s v="OFF-PA-10002195"/>
        <s v="OFF-PA-10001745"/>
        <s v="OFF-PA-10000289"/>
        <s v="OFF-PA-10000350"/>
        <s v="OFF-BI-10001759"/>
        <s v="OFF-PA-10004101"/>
        <s v="FUR-TA-10002356"/>
        <s v="FUR-FU-10003601"/>
        <s v="FUR-FU-10001940"/>
        <s v="OFF-AR-10001958"/>
        <s v="TEC-PH-10002923"/>
        <s v="FUR-FU-10004188"/>
        <s v="OFF-BI-10000145"/>
        <s v="OFF-EN-10001335"/>
        <s v="OFF-LA-10001613"/>
        <s v="OFF-LA-10004055"/>
        <s v="FUR-FU-10001095"/>
        <s v="OFF-BI-10002012"/>
        <s v="OFF-PA-10004156"/>
        <s v="FUR-CH-10003199"/>
        <s v="OFF-AR-10000034"/>
        <s v="OFF-BI-10004022"/>
        <s v="FUR-CH-10004086"/>
        <s v="OFF-BI-10003925"/>
        <s v="OFF-EN-10003862"/>
        <s v="TEC-AC-10003033"/>
        <s v="OFF-ST-10000046"/>
        <s v="OFF-EN-10002600"/>
        <s v="OFF-PA-10001509"/>
        <s v="FUR-FU-10001602"/>
        <s v="FUR-TA-10003748"/>
        <s v="OFF-PA-10004100"/>
        <s v="FUR-FU-10002191"/>
        <s v="OFF-AR-10001166"/>
        <s v="OFF-EN-10003072"/>
        <s v="OFF-BI-10000320"/>
        <s v="OFF-PA-10001166"/>
        <s v="OFF-PA-10000955"/>
        <s v="FUR-FU-10003975"/>
        <s v="OFF-BI-10003707"/>
        <s v="OFF-AR-10000203"/>
        <s v="TEC-AC-10004761"/>
        <s v="TEC-PH-10001299"/>
        <s v="TEC-PH-10002085"/>
        <s v="OFF-AR-10001683"/>
        <s v="OFF-SU-10002557"/>
        <s v="OFF-EN-10003160"/>
        <s v="TEC-PH-10004094"/>
        <s v="TEC-PH-10001817"/>
        <s v="OFF-LA-10000452"/>
        <s v="OFF-PA-10002137"/>
        <s v="OFF-BI-10003364"/>
        <s v="OFF-ST-10002182"/>
        <s v="OFF-BI-10002931"/>
        <s v="FUR-BO-10004357"/>
        <s v="FUR-FU-10001473"/>
        <s v="TEC-PH-10004447"/>
        <s v="OFF-ST-10001469"/>
        <s v="OFF-BI-10000666"/>
        <s v="TEC-PH-10003988"/>
        <s v="OFF-BI-10004040"/>
        <s v="OFF-BI-10000138"/>
        <s v="TEC-AC-10002926"/>
        <s v="OFF-BI-10001765"/>
        <s v="OFF-AR-10003179"/>
        <s v="FUR-FU-10004864"/>
        <s v="FUR-BO-10003450"/>
        <s v="TEC-AC-10003433"/>
      </sharedItems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7">
        <s v="Bookcases"/>
        <s v="Labels"/>
        <s v="Tables"/>
        <s v="Furnishings"/>
        <s v="Paper"/>
        <s v="Binders"/>
        <s v="Appliances"/>
        <s v="Storage"/>
        <s v="Art"/>
        <s v="Chairs"/>
        <s v="Phones"/>
        <s v="Envelopes"/>
        <s v="Accessories"/>
        <s v="Fasteners"/>
        <s v="Machines"/>
        <s v="Supplies"/>
        <s v="Copiers"/>
      </sharedItems>
    </cacheField>
    <cacheField name="Product Name" numFmtId="0">
      <sharedItems count="461">
        <s v="Bush Somerset Collection Bookcase"/>
        <s v="Self-Adhesive Address Labels for Typewriters by Universal"/>
        <s v="Bretford CR4500 Series Slim Rectangular Table"/>
        <s v="Eldon Expressions Wood and Plastic Desk Accessories, Cherry Wood"/>
        <s v="Xerox 1967"/>
        <s v="Fellowes PB200 Plastic Comb Binding Machine"/>
        <s v="Holmes Replacement Filter for HEPA Air Cleaner, Very Large Room, HEPA Filter"/>
        <s v="Stur-D-Stor Shelving, Vertical 5-Shelf: 72&quot;H x 36&quot;W x 18 1/2&quot;D"/>
        <s v="Fellowes Super Stor/Drawer"/>
        <s v="Newell 341"/>
        <s v="Newell 318"/>
        <s v="Global Deluxe Stacking Chair, Gray"/>
        <s v="Wilson Jones Active Use Binders"/>
        <s v="Riverside Palais Royal Lawyers Bookcase, Royale Cherry Finish"/>
        <s v="Easy-staple paper"/>
        <s v="GE 30524EE4"/>
        <s v="#10-4 1/8&quot; x 9 1/2&quot; Premium Diagonal Seam Envelopes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Gould Plastics 9-Pocket Panel Bin, 18-3/8w x 5-1/4d x 20-1/2h, Black"/>
        <s v="Imation8gb Micro Traveldrive Usb 2.0Flash Drive"/>
        <s v="C-Line Peel &amp; Stick Add-On Filing Pockets, 8-3/4 x 5-1/8, 10/Pack"/>
        <s v="Advantus Push Pins"/>
        <s v="Home/Office Personal File Carts"/>
        <s v="Verbatim 25 GB 6x Blu-ray Single Layer Recordable Disc, 3/Pack"/>
        <s v="Global Value Mid-Back Manager's Chair, Gray"/>
        <s v="Hunt BOSTON Model 1606 High-Volume Electric Pencil Sharpener, Beig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Economy Binders"/>
        <s v="Eldon Expressions Desk Accessory, Wood Pencil Holder, Oak"/>
        <s v="1.7 Cubic Foot Compact &quot;Cube&quot; Office Refrigerators"/>
        <s v="Premium Writing Pencils, Soft, #2 by Central Association for the Blind"/>
        <s v="Jet-Pak Recycled Peel 'N' Seal Padded Mailers"/>
        <s v="Safco Industrial Wire Shelving"/>
        <s v="Novimex Swivel Fabric Task Chair"/>
        <s v="LogitechLS21 Speaker System - PC Multimedia - 2.1-CH - Wired"/>
        <s v="Eldon Portable Mobile Manager"/>
        <s v="Turquoise Lead Holder with Pocket Clip"/>
        <s v="Xerox 1999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Universal Premium White Copier/Laser Paper (20Lb. and 87 Bright)"/>
        <s v="Logitech K350 2.4Ghz Wireless Keyboard"/>
        <s v="Memorex Mini Travel Drive 8 GB USB 2.0 Flash Drive"/>
        <s v="LogitechGaming G510s - Keyboard"/>
        <s v="Magnifier Swing Arm Lamp"/>
        <s v="Hunt PowerHouse Electric Pencil Sharpener, Blue"/>
        <s v="OIC Colored Binder Clips, Assorted Sizes"/>
        <s v="Hon Racetrack Conference Tables"/>
        <s v="GBC DocuBind 300 Electric Binding Machine"/>
        <s v="Artistic Insta-Plaque"/>
        <s v="Global Deluxe High-Back Manager's Chair"/>
        <s v="Bevis 44 x 96 Conference Tables"/>
        <s v="Avery Durable Slant Ring Binders, No Labels"/>
        <s v="Global Task Chair, Black"/>
        <s v="Anker 36W 4-Port USB Wall Charger Travel Power Adapter for iPhone 5s 5c 5"/>
        <s v="Xerox 195"/>
        <s v="Howard Miller 13-3/4&quot; Diameter Brushed Chrome Round Wall Clock"/>
        <s v="Newell 343"/>
        <s v="Sanyo 2.5 Cubic Foot Mid-Size Office Refrigerators"/>
        <s v="Seth Thomas 14&quot; Putty-Colored Wall Clock"/>
        <s v="Plantronics CordlessPhone Headsetwith In-line Volume - M214C"/>
        <s v="Belkin 7 Outlet SurgeMaster Surge Protector with Phone Protection"/>
        <s v="Southworth 25% Cotton Antique Laid Paper &amp; Envelopes"/>
        <s v="Newell 311"/>
        <s v="Avery 519"/>
        <s v="Xerox 1920"/>
        <s v="Lenovo 17-Key USB Numeric Keypad"/>
        <s v="Staple envelope"/>
        <s v="Wilson Jones International Size A4 Ring Binders"/>
        <s v="BIC Brite Liner Highlighters"/>
        <s v="Adams Phone Message Book, Professional, 400 Message Capacity, 5 3/6 x 11"/>
        <s v="Kensington 7 Outlet MasterPiece HOMEOFFICE Power Control Center"/>
        <s v="Acco 7-Outlet Masterpiece Power Center, Wihtout Fax/Phone Line Protection"/>
        <s v="Padded Folding Chairs, Black, 4/Carton"/>
        <s v="Sanford Colorific Eraseable Coloring Pencils, 12 Count"/>
        <s v="Tenex File Box, Personal Filing Tote with Lid, Black"/>
        <s v="AT&amp;T TR1909W"/>
        <s v="Avery Poly Binder Pockets"/>
        <s v="SanDisk Ultra 32 GB MicroSDHC Class 10 Memory Card"/>
        <s v="Personal Filing Tote with Lid, Black/Gray"/>
        <s v="Atlantic Metals Mobile 4-Shelf Bookcases, Custom Colors"/>
        <s v="Poly String Tie Envelopes"/>
        <s v="Binney &amp; Smith Crayola Metallic Colored Pencils, 8-Color Set"/>
        <s v="Decoflex Hanging Personal Folder File"/>
        <s v="Pressboard Covers with Storage Hooks, 9 1/2&quot; x 11&quot;, Light Blue"/>
        <s v="Southworth 25% Cotton Linen-Finish Paper &amp; Envelopes"/>
        <s v="BoxOffice By Design Rectangular and Half-Moon Meeting Room Tables"/>
        <s v="Eureka Sanitaire  Commercial Upright"/>
        <s v="Eldon 200 Class Desk Accessories, Burgundy"/>
        <s v="Nortel Business Series Terminal T7208 Digital phone"/>
        <s v="Tennsco Lockers, Gray"/>
        <s v="Memorex Micro Travel Drive 8 GB"/>
        <s v="Avery 505"/>
        <s v="OIC Bulk Pack Metal Binder Clips"/>
        <s v="Sanford Uni-Blazer View Highlighters, Chisel Tip, Yellow"/>
        <s v="Global Low Back Tilter Chair"/>
        <s v="GBC Instant Index System for Binding Systems"/>
        <s v="Bush Advantage Collection Round Conference Table"/>
        <s v="Xerox 4200 Series MultiUse Premium Copy Paper (20Lb. and 84 Bright)"/>
        <s v="Xerox 1957"/>
        <s v="Global Leather Highback Executive Chair with Pneumatic Height Adjustment, Black"/>
        <s v="Wirebound Message Books, Two 4 1/4&quot; x 5&quot; Forms per Page"/>
        <s v="Fellowes Personal Hanging Folder Files, Navy"/>
        <s v="Eldon 100 Class Desk Accessories"/>
        <s v="Sabrent 4-Port USB 2.0 Hub"/>
        <s v="Eureka Disposable Bags for Sanitaire Vibra Groomer I Upright Vac"/>
        <s v="Lexmark MX611dhe Monochrome Laser Printer"/>
        <s v="Cisco Small Business SPA 502G VoIP phone"/>
        <s v="Microsoft Sculpt Comfort Mouse"/>
        <s v="Quartet Omega Colored Chalk, 12/Pack"/>
        <s v="Bagged Rubber Bands"/>
        <s v="Safco Commercial Shelving"/>
        <s v="Adjustable Depth Letter/Legal Cart"/>
        <s v="Logitech 910-002974 M325 Wireless Mouse for Web Scrolling"/>
        <s v="Ampad Gold Fibre Wirebound Steno Books, 6&quot; x 9&quot;, Gregg Ruled"/>
        <s v="Post-it Important Message Note Pad, Neon Colors, 50 Sheets/Pad"/>
        <s v="Round Ring Binders"/>
        <s v="Bevis Round Bullnose 29&quot; High Table Top"/>
        <s v="GBC VeloBinder Electric Binding Machine"/>
        <s v="Advantus SlideClip Paper Clips"/>
        <s v="Howard Miller 13&quot; Diameter Goldtone Round Wall Clock"/>
        <s v="Xerox 223"/>
        <s v="BPI Conference Tables"/>
        <s v="Electrix 20W Halogen Replacement Bulb for Zoom-In Desk Lamp"/>
        <s v="Newell 350"/>
        <s v="GBC Clear Cover, 8-1/2 x 11, unpunched, 25 covers per pack"/>
        <s v="Faber Castell Col-Erase Pencils"/>
        <s v="C-Line Cubicle Keepers Polyproplyene Holder With Velcro Backings"/>
        <s v="Deflect-o SuperTray Unbreakable Stackable Tray, Letter, Black"/>
        <s v="AT&amp;T 1070 Corded Phone"/>
        <s v="Boston School Pro Electric Pencil Sharpener, 1670"/>
        <s v="DMI Arturo Collection Mission-style Design Wood Chair"/>
        <s v="OIC Binder Clips"/>
        <s v="Ibico Laser Imprintable Binding System Covers"/>
        <s v="Telescoping Adjustable Floor Lamp"/>
        <s v="Aastra 57i VoIP phone"/>
        <s v="AT&amp;T 841000 Phone"/>
        <s v="Storex Dura Pro Binders"/>
        <s v="Tuff Stuff Recycled Round Ring Binders"/>
        <s v="OIC Binder Clips, Mini, 1/4&quot; Capacity, Black"/>
        <s v="Newell 314"/>
        <s v="Binney &amp; Smith inkTank Erasable Desk Highlighter, Chisel Tip, Yellow, 12/Box"/>
        <s v="Sauder Barrister Bookcases"/>
        <s v="Belkin 8 Outlet SurgeMaster II Gold Surge Protector with Phone Protection"/>
        <s v="Avery Address/Shipping Labels for Typewriters, 4&quot; x 2&quot;"/>
        <s v="Wilson Jones Snap Scratch Pad Binder Tool for Ring Binders"/>
        <s v="Xerox 1930"/>
        <s v="Wilson Jones Custom Binder Spines &amp; Labels"/>
        <s v="Xerox 1960"/>
        <s v="Office Impressions End Table, 20-1/2&quot;H x 24&quot;W x 20&quot;D"/>
        <s v="Holmes Odor Grabber"/>
        <s v="Southworth Structures Collection"/>
        <s v="Sony 32GB Class 10 Micro SDHC R40 Memory Card"/>
        <s v="Hon Practical Foundations 30 x 60 Training Table, Light Gray/Charcoal"/>
        <s v="Lexmark MarkNet N8150 Wireless Print Server"/>
        <s v="Crayola Colored Pencils"/>
        <s v="Angle-D Binders with Locking Rings, Label Holders"/>
        <s v="Nortel Meridian M3904 Professional Digital phone"/>
        <s v="Wilson Jones Century Plastic Molded Ring Binders"/>
        <s v="Tuf-Vin Binders"/>
        <s v="2300 Heavy-Duty Transfer File Systems by Perma"/>
        <s v="Acme 10&quot; Easy Grip Assistive Scissors"/>
        <s v="Super Decoflex Portable Personal File"/>
        <s v="Xerox 1974"/>
        <s v="Avery Hi-Liter EverBold Pen Style Fluorescent Highlighters, 4/Pack"/>
        <s v="Staple holder"/>
        <s v="Sony 64GB Class 10 Micro SDHC R40 Memory Card"/>
        <s v="Xerox 191"/>
        <s v="Bulldog Vacuum Base Pencil Sharpener"/>
        <s v="Bevis Steel Folding Chairs"/>
        <s v="Xerox 1987"/>
        <s v="American Pencil"/>
        <s v="KeyTronic6101 Series -Keyboard- Black"/>
        <s v="Westinghouse Mesh Shade Clip-On Gooseneck Lamp, Black"/>
        <s v="Hon Multipurpose Stacking Arm Chairs"/>
        <s v="Coloredge Poster Frame"/>
        <s v="Epson WorkForce WF-2530 All-in-One Printer, Copier Scanner"/>
        <s v="Design Ebony Sketching Pencil"/>
        <s v="GBC ProClick 150 Presentation Binding System"/>
        <s v="Letter Size Cart"/>
        <s v="Insertable Tab Post Binder Dividers"/>
        <s v="Canon Color ImageCLASS MF8580Cdw Wireless Laser All-In-One Printer, Copier, Scanner"/>
        <s v="Xerox 1897"/>
        <s v="Global Deluxe Steno Chair"/>
        <s v="Aluminum Document Frame"/>
        <s v="GE General Purpose, Extra Long Life, Showcase &amp; Floodlight Incandescent Bulbs"/>
        <s v="Newell 345"/>
        <s v="Chromcraft Rectangular Conference Tables"/>
        <s v="Memorex Mini Travel Drive 16 GB USB 2.0 Flash Drive"/>
        <s v="Global Geo Office Task Chair, Gray"/>
        <s v="Hon 4700 Series Mobuis Mid-Back Task Chairs with Adjustable Arms"/>
        <s v="3M Office Air Cleaner"/>
        <s v="Eldon Wave Desk Accessories"/>
        <s v="Eldon ClusterMat Chair Mat with Cordless Antistatic Protection"/>
        <s v="Bush Mission Pointe Library"/>
        <s v="Cardinal Hold-It CD Pocket"/>
        <s v="Eaton Premium Continuous-Feed Paper, 25% Cotton, Letter Size, White, 1000 Shts/Box"/>
        <s v="SAFCO Boltless Steel Shelving"/>
        <s v="Cisco SPA525G2 IP Phone - Wireless"/>
        <s v="Prang Colored Pencils"/>
        <s v="ImationUSB 2.0 SwivelFlash DriveUSBflash drive- 4 GB - Pink"/>
        <s v="Alphabetical Labels for Top Tab Filing"/>
        <s v="Apple iPhone 5S"/>
        <s v="Square Credit Card Reader"/>
        <s v="Fellowes Officeware Wire Shelving"/>
        <s v="Sony Micro Vault Click 8 GB USB 2.0 Flash Drive"/>
        <s v="Balt Solid Wood Rectangular Table"/>
        <s v="Strathmore #10 Envelopes, Ultimate White"/>
        <s v="Clear Mylar Reinforcing Strips"/>
        <s v="Vinyl Sectional Post Binders"/>
        <s v="Rogers Handheld Barrel Pencil Sharpener"/>
        <s v="Executive Impressions Supervisor Wall Clock"/>
        <s v="Newell 327"/>
        <s v="Canon Image Class D660 Copier"/>
        <s v="Motorola HK250 Universal Bluetooth Headset"/>
        <s v="Staples"/>
        <s v="Global Commerce Series High-Back Swivel/Tilt Chairs"/>
        <s v="Eldon Gobal File Keeper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Enermax Aurora Lite Keyboard"/>
        <s v="LG Electronics Tone HBS-730 Bluetooth Headset"/>
        <s v="SanDisk Cruzer 64 GB USB Flash Drive"/>
        <s v="Avery Printable Repositionable Plastic Tabs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Sanitaire Vibra Groomer IR Commercial Upright Vacuum, Replacement Belts"/>
        <s v="Alliance Big Bands Rubber Bands, 12/Pack"/>
        <s v="Cisco SPA301"/>
        <s v="Personal Creations Ink Jet Cards and Labels"/>
        <s v="Newell 332"/>
        <s v="Trav-L-File Heavy-Duty Shuttle II, Black"/>
        <s v="Martin-Yale Premier Letter Opener"/>
        <s v="Novimex High-Tech Fabric Mesh Task Chair"/>
        <s v="i.Sound Portable Power - 8000 mAh"/>
        <s v="Newell 312"/>
        <s v="Fellowes Superior 10 Outlet Split Surge Protector"/>
        <s v="Acme Stainless Steel Office Snips"/>
        <s v="Mophie Juice Pack Helium for iPhone"/>
        <s v="Hot File 7-Pocket, Floor Stand"/>
        <s v="Angle-D Ring Binders"/>
        <s v="Xerox 1972"/>
        <s v="PureGear Roll-On Screen Protector"/>
        <s v="DAX Metal Frame, Desktop, Stepped-Edge"/>
        <s v="Cardinal Slant-D Ring Binder, Heavy Gauge Vinyl"/>
        <s v="Global Manager's Adjustable Task Chair, Storm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Verbatim 25 GB 6x Blu-ray Single Layer Recordable Disc, 1/Pack"/>
        <s v="Office Star - Mesh Screen back chair with Vinyl seat"/>
        <s v="Premium Transparent Presentation Covers by GBC"/>
        <s v="Luxo Professional Fluorescent Magnifier Lamp with Clamp-Mount Base"/>
        <s v="Eldon 200 Class Desk Accessories"/>
        <s v="Economy Rollaway Files"/>
        <s v="Imation16GB Mini TravelDrive USB 2.0Flash Drive"/>
        <s v="Xerox 1993"/>
        <s v="Eureka The Boss Plus 12-Amp Hard Box Upright Vacuum, Red"/>
        <s v="3M Hangers With Command Adhesive"/>
        <s v="Xerox 1943"/>
        <s v="Tripp Lite Isotel 8 Ultra 8 Outlet Metal Surge"/>
        <s v="Global Troy Executive Leather Low-Back Tilter"/>
        <s v="Gould Plastics 18-Pocket Panel Bin, 34w x 5-1/4d x 20-1/2h"/>
        <s v="Acme Tagit Stainless Steel Antibacterial Scissors"/>
        <s v="Master Giant Foot Doorstop, Safety Yellow"/>
        <s v="12-1/2 Diameter Round Wall Clock"/>
        <s v="Newell 331"/>
        <s v="Kensington 6 Outlet Guardian Standard Surge Protector"/>
        <s v="Hoover Portapower Portable Vacuum"/>
        <s v="Avery Hanging File Binders"/>
        <s v="Cubify CubeX 3D Printer Triple Head Print"/>
        <s v="NETGEAR AC1750 Dual Band GigabitSmart WiFi Router"/>
        <s v="Bush Andora Bookcase, Maple/Graphite Gray Finish"/>
        <s v="Luxo Professional Magnifying Clamp-On Fluorescent Lamps"/>
        <s v="Imation Bio 8GB USBFlash Drive ImationCorp"/>
        <s v="Tenex &quot;The Solids&quot; Textured Chair Mats"/>
        <s v="Laminate Occasional Tables"/>
        <s v="Xerox 220"/>
        <s v="#10- 4 1/8&quot; x 9 1/2&quot; Security-Tint Envelopes"/>
        <s v="Bionaire Personal Warm Mist Humidifier/Vaporizer"/>
        <s v="Cardinal Holdit Business Card Pockets"/>
        <s v="DAX Value U-Channel Document Frames, Easel Back"/>
        <s v="Howard Miller 13&quot; Diameter Pewter Finish Round Wall Clock"/>
        <s v="GBC Standard Therm-A-Bind Covers"/>
        <s v="Tops Green Bar Computer Printout Paper"/>
        <s v="Chromcraft Bull-Nose Wood Oval Conference Tables &amp; Bases"/>
        <s v="Seth Thomas 16&quot; Steel Case Clock"/>
        <s v="Acme Softgrip Scissors"/>
        <s v="Manila Recycled Extra-Heavyweight Clasp Envelopes, 6&quot; x 9&quot;"/>
        <s v="Xerox 1964"/>
        <s v="Carina Double Wide Media Storage Towers in Natural &amp; Black"/>
        <s v="Logitech Wireless Touch Keyboard K400"/>
        <s v="Avery 508"/>
        <s v="KI Conference Tables"/>
        <s v="Belkin iPhone and iPad Lightning Cable"/>
        <s v="GBC Durable Plastic Covers"/>
        <s v="Hewlett Packard 610 Color Digital Copier / Printer"/>
        <s v="Chromcraft Round Conference Tables"/>
        <s v="Recycled Eldon Regeneration Jumbo File"/>
        <s v="Adams Telephone Message Book W/Dividers/Space For Phone Numbers, 5 1/4&quot;X8 1/2&quot;, 200/Messages"/>
        <s v="Xerox 226"/>
        <s v="Avery 476"/>
        <s v="JBL Micro Wireless Portable Bluetooth Speaker"/>
        <s v="Electrix Halogen Magnifier Lamp"/>
        <s v="Hon 4070 Series Pagoda Round Back Stacking Chairs"/>
        <s v="Cardinal EasyOpen D-Ring Binders"/>
        <s v="Dixon My First Ticonderoga Pencil, #2"/>
        <s v="Hon GuestStacker Chair"/>
        <s v="Acco D-Ring Binder w/DublLock"/>
        <s v="Cameo Buff Policy Envelopes"/>
        <s v="Heavy-Duty E-Z-D Binders"/>
        <s v="Lifetime Advantage Folding Chairs, 4/Carton"/>
        <s v="GBC VeloBinder Manual Binding System"/>
        <s v="Cisco Unified IP Phone 7945G VoIP phone"/>
        <s v="Avery 499"/>
        <s v="Avery Durable Binders"/>
        <s v="Xerox 1887"/>
        <s v="Situations Contoured Folding Chairs, 4/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Newell 32"/>
        <s v="Xerox 205"/>
        <s v="Xerox 1968"/>
        <s v="Xerox 1995"/>
        <s v="Razer Kraken PRO Over Ear PC and Music Headset"/>
        <s v="Kingston Digital DataTraveler 32GB USB 2.0"/>
        <s v="Advantus Plastic Paper Clips"/>
        <s v="Global Airflow Leather Mesh Back Chair, Black"/>
        <s v="Boston 16801 Nautilus Battery Pencil Sharpener"/>
        <s v="GBC ProClick Punch Binding System"/>
        <s v="Adams Telephone Message Books, 5 1/4 x 11"/>
        <s v="Belkin Grip Candy Sheer Case / Cover for iPhone 5 and 5S"/>
        <s v="Boston 19500 Mighty Mite Electric Pencil Sharpener"/>
        <s v="Fellowes Binding Cases"/>
        <s v="I Need's 3d Hello Kitty Hybrid Silicone Case Cover for HTC One X 4g with 3d Hello Kitty Stylus Pen Green/pink"/>
        <s v="Linden 10&quot; Round Wall Clock, Black"/>
        <s v="Maxell DVD-RAM Discs"/>
        <s v="DIXON Oriole Pencils"/>
        <s v="Xerox 1884"/>
        <s v="Staple remover"/>
        <s v="LogitechMX Performance Wireless Mouse"/>
        <s v="Avery 482"/>
        <s v="Avery 483"/>
        <s v="Large Capacity Hanging Post Binders"/>
        <s v="GBC Ibimaster 500 Manual ProClick Binding System"/>
        <s v="Southworth 100% Cotton The Best Paper"/>
        <s v="Adams Write n' Stick Phone Message Book, 11&quot; X 5 1/4&quot;, 200 Messages"/>
        <s v="Xerox 1910"/>
        <s v="Tenex Contemporary Contur Chairmats for Low and Medium Pile Carpet, Computer, 39&quot; x 49&quot;"/>
        <s v="Acco Pressboard Covers with Storage Hooks, 14 7/8&quot; x 11&quot;, Light Blue"/>
        <s v="Lock-Up Easel 'Spel-Binder'"/>
        <s v="Decoflex Hanging Personal Folder File, Blue"/>
        <s v="Binney &amp; Smith Crayola Metallic Crayons, 16-Color Pack"/>
        <s v="Dax Clear Box Frame"/>
        <s v="Fellowes Black Plastic Comb Bindings"/>
        <s v="Eldon Shelf Savers Cubes and Bins"/>
        <s v="Acco PRESSTEX Data Binder with Storage Hooks, Dark Blue, 14 7/8&quot; X 11&quot;"/>
        <s v="Anker Ultrathin Bluetooth Wireless Keyboard Aluminum Cover with Stand "/>
        <s v="Ampad Poly Cover Wirebound Steno Book, 6&quot; x 9&quot; Assorted Colors, Gregg Ruled"/>
        <s v="File Shuttle I and Handi-File"/>
        <s v="Things To Do Today Pad"/>
        <s v="Wilson Jones Hanging Recycled Pressboard Data Binders"/>
        <s v="Permanent Self-Adhesive File Folder Labels for Typewriters by Universal"/>
        <s v="Avaya 5420 Digital phone"/>
        <s v="Xerox 1923"/>
        <s v="Bush Westfield Collection Bookcases, Fully Assembled"/>
        <s v="Polycom CX600 IP Phone VoIP phone"/>
        <s v="Lesro Sheffield Collection Coffee Table, End Table, Center Table, Corner Table"/>
        <s v="Maxell 4.7GB DVD-R"/>
        <s v="Xerox 1985"/>
        <s v="Newell 324"/>
        <s v="RSVP Cards &amp; Envelopes, Blank White, 8-1/2&quot; X 11&quot;, 24 Cards/25 Envelopes/Set"/>
        <s v="Wirebound Message Books, 2 7/8&quot; x 5&quot;, 3 Forms per Page"/>
        <s v="Xerox 213"/>
        <s v="Message Book, Standard Line &quot;While You Were Out&quot;, 5 1/2&quot; X 4&quot;, 200 Sets/Book"/>
        <s v="Acco Pressboard Covers with Storage Hooks, 14 7/8&quot; x 11&quot;, Dark Blue"/>
        <s v="Xerox 1894"/>
        <s v="Bevis Boat-Shaped Conference Table"/>
        <s v="Deflect-o RollaMat Studded, Beveled Mat for Medium Pile Carpeting"/>
        <s v="Staple-based wall hangings"/>
        <s v="Stanley Bostitch Contemporary Electric Pencil Sharpeners"/>
        <s v="Logitech B530 USBHeadset-headset- Full size, Binaural"/>
        <s v="Luxo Professional Combination Clamp-On Lamps"/>
        <s v="Zipper Ring Binder Pockets"/>
        <s v="White Business Envelopes with Contemporary Seam, Recycled White Business Envelopes"/>
        <s v="Avery File Folder Labels"/>
        <s v="Color-Coded Legal Exhibit Labels"/>
        <s v="DAX Black Cherry Wood-Tone Poster Frame"/>
        <s v="Wilson Jones Easy Flow II Sheet Lifters"/>
        <s v="Xerox 188"/>
        <s v="Office Star - Contemporary Task Swivel Chair"/>
        <s v="BIC Brite Liner Grip Highlighters, Assorted, 5/Pack"/>
        <s v="Acco Suede Grain Vinyl Round Ring Binder"/>
        <s v="Hon 4070 Series Pagoda Armless Upholstered Stacking Chairs"/>
        <s v="Fellowes PB300 Plastic Comb Binding Machine"/>
        <s v="Laser &amp; Ink Jet Business Envelopes"/>
        <s v="Plantronics CS510 - Over-the-Head monaural Wireless Headset System"/>
        <s v="Fellowes Super Stor/Drawer Files"/>
        <s v="Redi-Strip #10 Envelopes, 4 1/8 x 9 1/2"/>
        <s v="Recycled Desk Saver Line &quot;While You Were Out&quot; Book, 5 1/2&quot; X 4&quot;"/>
        <s v="Eldon Delta Triangular Chair Mat, 52&quot; x 58&quot;, Clear"/>
        <s v="Bevis 36 x 72 Conference Tables"/>
        <s v="Xerox 216"/>
        <s v="G.E. Halogen Desk Lamp Bulbs"/>
        <s v="Staples in misc. colors"/>
        <s v="Peel &amp; Seel Envelopes"/>
        <s v="GBC Plastic Binding Combs"/>
        <s v="Xerox 2"/>
        <s v="Southworth 25% Cotton Granite Paper &amp; Envelopes"/>
        <s v="Eldon Advantage Chair Mats for Low to Medium Pile Carpets"/>
        <s v="Aluminum Screw Posts"/>
        <s v="Newell 336"/>
        <s v="Maxell 4.7GB"/>
        <s v="Polycom CX300 Desktop Phone USB VoIP phone"/>
        <s v="Clarity 53712"/>
        <s v="Lumber Crayons"/>
        <s v="Fiskars Spring-Action Scissors"/>
        <s v="Pastel Pink Envelopes"/>
        <s v="Motorola L703CM"/>
        <s v="Wilson Electronics DB Pro Signal Booster"/>
        <s v="Avery 488"/>
        <s v="Southworth 100% Rsum Paper, 24lb."/>
        <s v="Binding Machine Supplies"/>
        <s v="Iris 3-Drawer Stacking Bin, Black"/>
        <s v="Avery Trapezoid Extra Heavy Duty 4&quot; Binders"/>
        <s v="O'Sullivan Living Dimensions 3-Shelf Bookcases"/>
        <s v="DAX Wood Document Frame"/>
        <s v="Toshiba IPT2010-SD IPTelephone"/>
        <s v="Fellowes Bankers Box Recycled Super Stor/Drawer"/>
        <s v="Surelock Post Binders"/>
        <s v="LF Elite 3D Dazzle Designer Hard Case Cover, Lf Stylus Pen and Wiper For Apple Iphone 5c Mini Lite"/>
        <s v="Wilson Jones Impact Binders"/>
        <s v="Acco Translucent Poly Ring Binders"/>
        <s v="Logitech Wireless Marathon Mouse M705"/>
        <s v="Wilson Jones Heavy-Duty Casebound Ring Binders with Metal Hinges"/>
        <s v="Dixon Ticonderoga Core-Lock Colored Pencils"/>
        <s v="Eldon 500 Class Desk Accessories"/>
        <s v="Bush Westfield Collection Bookcases, Dark Cherry Finish"/>
        <s v="Maxell 4.7GB DVD�"/>
      </sharedItems>
    </cacheField>
    <cacheField name="   Sales   " numFmtId="0">
      <sharedItems containsString="0" containsBlank="1" containsNumber="1" minValue="1.08" maxValue="7999.98" count="502">
        <n v="261.96"/>
        <n v="14.62"/>
        <n v="957.5775"/>
        <n v="48.86"/>
        <n v="15.552"/>
        <n v="407.976"/>
        <n v="68.81"/>
        <n v="665.88"/>
        <n v="55.5"/>
        <n v="8.56"/>
        <n v="19.46"/>
        <n v="71.372"/>
        <n v="1044.63"/>
        <n v="11.648"/>
        <n v="3083.43"/>
        <n v="29.472"/>
        <n v="1097.544"/>
        <n v="113.328"/>
        <n v="147.168"/>
        <n v="77.88"/>
        <n v="95.616"/>
        <n v="45.98"/>
        <n v="211.96"/>
        <n v="45"/>
        <n v="38.22"/>
        <n v="15.26"/>
        <n v="208.56"/>
        <n v="13.98"/>
        <n v="213.115"/>
        <n v="1113.024"/>
        <n v="75.88"/>
        <n v="4.616"/>
        <n v="19.05"/>
        <n v="831.936"/>
        <n v="1.248"/>
        <n v="19.3"/>
        <n v="208.16"/>
        <n v="14.9"/>
        <n v="200.984"/>
        <n v="230.376"/>
        <n v="301.96"/>
        <n v="19.99"/>
        <n v="158.368"/>
        <n v="20.1"/>
        <n v="12.96"/>
        <n v="5.682"/>
        <n v="96.53"/>
        <n v="51.312"/>
        <n v="64.624"/>
        <n v="23.92"/>
        <n v="238.896"/>
        <n v="74.112"/>
        <n v="339.96"/>
        <n v="41.96"/>
        <n v="75.96"/>
        <n v="40.096"/>
        <n v="787.53"/>
        <n v="157.794"/>
        <n v="47.04"/>
        <n v="600.558"/>
        <n v="617.7"/>
        <n v="2.388"/>
        <n v="81.424"/>
        <n v="59.97"/>
        <n v="20.04"/>
        <n v="82.8"/>
        <n v="8.82"/>
        <n v="839.43"/>
        <n v="671.93"/>
        <n v="93.888"/>
        <n v="384.45"/>
        <n v="157.92"/>
        <n v="58.38"/>
        <n v="6.63"/>
        <n v="457.568"/>
        <n v="5.98"/>
        <n v="54.384"/>
        <n v="28.4"/>
        <n v="27.68"/>
        <n v="9.936"/>
        <n v="20.94"/>
        <n v="52.448"/>
        <n v="97.264"/>
        <n v="396.802"/>
        <n v="3.28"/>
        <n v="24.816"/>
        <n v="503.96"/>
        <n v="7.16"/>
        <n v="176.8"/>
        <n v="37.224"/>
        <n v="899.136"/>
        <n v="14.28"/>
        <n v="7.408"/>
        <n v="46.26"/>
        <n v="2.946"/>
        <n v="21.744"/>
        <n v="218.75"/>
        <n v="66.284"/>
        <n v="35.168"/>
        <n v="444.768"/>
        <n v="83.92"/>
        <n v="20.8"/>
        <n v="23.68"/>
        <n v="93.06"/>
        <n v="5.584"/>
        <n v="2.2"/>
        <n v="161.568"/>
        <n v="18.648"/>
        <n v="233.86"/>
        <n v="10.56"/>
        <n v="25.92"/>
        <n v="2001.86"/>
        <n v="321.568"/>
        <n v="7.61"/>
        <n v="80.58"/>
        <n v="12.132"/>
        <n v="20.37"/>
        <n v="1.624"/>
        <n v="3059.982"/>
        <n v="328.224"/>
        <n v="79.9"/>
        <n v="14.016"/>
        <n v="7.56"/>
        <n v="37.208"/>
        <n v="725.84"/>
        <n v="209.93"/>
        <n v="2.08"/>
        <n v="1038.84"/>
        <n v="141.76"/>
        <n v="254.058"/>
        <n v="19.096"/>
        <n v="300.416"/>
        <n v="32.4"/>
        <n v="219.075"/>
        <n v="26.8"/>
        <n v="9.84"/>
        <n v="45.48"/>
        <n v="4.89"/>
        <n v="15.136"/>
        <n v="87.54"/>
        <n v="178.384"/>
        <n v="99.136"/>
        <n v="135.882"/>
        <n v="251.52"/>
        <n v="15.992"/>
        <n v="290.898"/>
        <n v="4.752"/>
        <n v="7.712"/>
        <n v="4.96"/>
        <n v="17.856"/>
        <n v="88.8"/>
        <n v="47.976"/>
        <n v="6.79"/>
        <n v="388.704"/>
        <n v="36.24"/>
        <n v="647.84"/>
        <n v="20.7"/>
        <n v="23.2"/>
        <n v="8.16"/>
        <n v="1488.424"/>
        <n v="8.652"/>
        <n v="50.96"/>
        <n v="41.9"/>
        <n v="375.4575"/>
        <n v="482.34"/>
        <n v="2.624"/>
        <n v="23.36"/>
        <n v="246.384"/>
        <n v="12.462"/>
        <n v="75.792"/>
        <n v="49.96"/>
        <n v="70.12"/>
        <n v="35.952"/>
        <n v="9.568"/>
        <n v="39.072"/>
        <n v="35.91"/>
        <n v="179.95"/>
        <n v="139.86"/>
        <n v="95.92"/>
        <n v="383.8"/>
        <n v="5.78"/>
        <n v="9.32"/>
        <n v="196.752"/>
        <n v="56.56"/>
        <n v="866.4"/>
        <n v="69.99"/>
        <n v="6.672"/>
        <n v="189.588"/>
        <n v="714.3"/>
        <n v="4.812"/>
        <n v="1007.979"/>
        <n v="31.872"/>
        <n v="207.846"/>
        <n v="12.22"/>
        <n v="2.91"/>
        <n v="59.52"/>
        <n v="284.364"/>
        <n v="63.88"/>
        <n v="129.568"/>
        <n v="747.558"/>
        <n v="103.92"/>
        <n v="23.56"/>
        <n v="254.744"/>
        <n v="205.3328"/>
        <n v="4.788"/>
        <n v="55.48"/>
        <n v="340.92"/>
        <n v="95.76"/>
        <n v="40.2"/>
        <n v="14.7"/>
        <n v="9.09"/>
        <n v="5.96"/>
        <n v="29.6"/>
        <n v="2735.952"/>
        <n v="7.992"/>
        <n v="449.15"/>
        <n v="93.98"/>
        <n v="189.882"/>
        <n v="105.42"/>
        <n v="119.616"/>
        <n v="22.62"/>
        <n v="15.92"/>
        <n v="2.74"/>
        <n v="126.3"/>
        <n v="7.152"/>
        <n v="2999.95"/>
        <n v="18.392"/>
        <n v="210.98"/>
        <n v="55.176"/>
        <n v="22.2"/>
        <n v="683.952"/>
        <n v="36.336"/>
        <n v="190.72"/>
        <n v="47.94"/>
        <n v="979.95"/>
        <n v="16.768"/>
        <n v="42.616"/>
        <n v="10.752"/>
        <n v="152.94"/>
        <n v="468.9"/>
        <n v="380.864"/>
        <n v="646.776"/>
        <n v="58.112"/>
        <n v="41.28"/>
        <n v="250.272"/>
        <n v="1121.568"/>
        <n v="34.504"/>
        <n v="10.824"/>
        <n v="1295.78"/>
        <n v="19.456"/>
        <n v="42.6"/>
        <n v="13"/>
        <n v="3.96"/>
        <n v="374.376"/>
        <n v="91.84"/>
        <n v="72.45"/>
        <n v="160.72"/>
        <n v="69.712"/>
        <n v="51.52"/>
        <n v="470.376"/>
        <n v="70.98"/>
        <n v="84.784"/>
        <n v="9.344"/>
        <n v="76.12"/>
        <n v="11.632"/>
        <n v="143.982"/>
        <n v="142.776"/>
        <n v="3.282"/>
        <n v="369.576"/>
        <n v="8.448"/>
        <n v="119.94"/>
        <n v="40.48"/>
        <n v="8.69"/>
        <n v="35.56"/>
        <n v="97.16"/>
        <n v="15.24"/>
        <n v="243.384"/>
        <n v="17.88"/>
        <n v="392.94"/>
        <n v="18.882"/>
        <n v="1049.2"/>
        <n v="18.84"/>
        <n v="330.4"/>
        <n v="132.52"/>
        <n v="6.48"/>
        <n v="209.3"/>
        <n v="31.56"/>
        <n v="14.8"/>
        <n v="379.4"/>
        <n v="97.82"/>
        <n v="113.552"/>
        <n v="701.372"/>
        <n v="999.432"/>
        <n v="459.95"/>
        <n v="10.74"/>
        <n v="23.76"/>
        <n v="30.36"/>
        <n v="23.976"/>
        <n v="19.56"/>
        <n v="61.44"/>
        <n v="2.688"/>
        <n v="14.352"/>
        <n v="7999.98"/>
        <n v="479.97"/>
        <n v="191.984"/>
        <n v="104.01"/>
        <n v="166.24"/>
        <n v="198.272"/>
        <n v="15.072"/>
        <n v="209.88"/>
        <n v="369.912"/>
        <n v="10.368"/>
        <n v="119.96"/>
        <n v="24.448"/>
        <n v="281.34"/>
        <n v="19.92"/>
        <n v="9.94"/>
        <n v="103.056"/>
        <n v="59.808"/>
        <n v="146.82"/>
        <n v="1652.94"/>
        <n v="129.92"/>
        <n v="45.584"/>
        <n v="17.568"/>
        <n v="182.72"/>
        <n v="242.94"/>
        <n v="49.98"/>
        <n v="11.784"/>
        <n v="567.12"/>
        <n v="11.992"/>
        <n v="58.05"/>
        <n v="1199.976"/>
        <n v="79.92"/>
        <n v="383.438"/>
        <n v="24.56"/>
        <n v="13.128"/>
        <n v="22.72"/>
        <n v="58.32"/>
        <n v="12.39"/>
        <n v="107.982"/>
        <n v="11.36"/>
        <n v="310.88"/>
        <n v="641.96"/>
        <n v="18.28"/>
        <n v="32.76"/>
        <n v="544.008"/>
        <n v="32.07"/>
        <n v="186.69"/>
        <n v="17.456"/>
        <n v="348.928"/>
        <n v="143.96"/>
        <n v="1363.96"/>
        <n v="9.96"/>
        <n v="20.16"/>
        <n v="132.79"/>
        <n v="283.92"/>
        <n v="22.23"/>
        <n v="355.32"/>
        <n v="43.176"/>
        <n v="11.52"/>
        <n v="51.84"/>
        <n v="5.344"/>
        <n v="41.472"/>
        <n v="239.97"/>
        <n v="67.8"/>
        <n v="35"/>
        <n v="35.216"/>
        <n v="51.184"/>
        <n v="9.664"/>
        <n v="21.072"/>
        <n v="60.45"/>
        <n v="37.44"/>
        <n v="83.72"/>
        <n v="48.896"/>
        <n v="115.36"/>
        <n v="5.16"/>
        <n v="185.88"/>
        <n v="44.46"/>
        <n v="39.96"/>
        <n v="7.36"/>
        <n v="191.472"/>
        <n v="2.89"/>
        <n v="15.936"/>
        <n v="44.91"/>
        <n v="1141.47"/>
        <n v="34.44"/>
        <n v="192.16"/>
        <n v="322.59"/>
        <n v="5.892"/>
        <n v="68.472"/>
        <n v="30.84"/>
        <n v="13.48"/>
        <n v="31.4"/>
        <n v="17.46"/>
        <n v="13.944"/>
        <n v="83.76"/>
        <n v="37.66"/>
        <n v="34.68"/>
        <n v="149.95"/>
        <n v="4.54"/>
        <n v="155.82"/>
        <n v="15.648"/>
        <n v="103.6"/>
        <n v="46.96"/>
        <n v="8.904"/>
        <n v="10.44"/>
        <n v="323.976"/>
        <n v="323.136"/>
        <n v="1199.8"/>
        <n v="46.94"/>
        <n v="99.918"/>
        <n v="149.352"/>
        <n v="85.14"/>
        <n v="841.568"/>
        <n v="46.2"/>
        <n v="14.592"/>
        <n v="12.192"/>
        <n v="45.056"/>
        <n v="159.99"/>
        <n v="17.12"/>
        <n v="6.096"/>
        <n v="393.165"/>
        <n v="516.488"/>
        <n v="25.472"/>
        <n v="27.168"/>
        <n v="173.8"/>
        <n v="29.592"/>
        <n v="204.6"/>
        <n v="6.24"/>
        <n v="21.88"/>
        <n v="4.608"/>
        <n v="9.82"/>
        <n v="127.104"/>
        <n v="160.93"/>
        <n v="1.08"/>
        <n v="34.02"/>
        <n v="599.292"/>
        <n v="3.392"/>
        <n v="7.968"/>
        <n v="1.112"/>
        <n v="520.05"/>
        <n v="1166.92"/>
        <n v="14.624"/>
        <n v="10.23"/>
        <n v="2715.93"/>
        <n v="10.67"/>
        <n v="44.02"/>
        <n v="2309.65"/>
        <n v="484.65"/>
        <n v="115.296"/>
        <n v="7.08"/>
        <n v="44.75"/>
        <n v="95.984"/>
        <n v="151.72"/>
        <n v="155.25"/>
        <n v="1618.37"/>
        <n v="13.96"/>
        <n v="22.74"/>
        <n v="6.208"/>
        <n v="11.808"/>
        <n v="177.2"/>
        <n v="15.696"/>
        <n v="86.62"/>
        <n v="36.624"/>
        <n v="23.968"/>
        <n v="697.16"/>
        <n v="295.4"/>
        <n v="348.56"/>
        <n v="299.98"/>
        <n v="369.544"/>
        <n v="23.64"/>
        <n v="22.368"/>
        <n v="36.4"/>
        <n v="623.96"/>
        <n v="429.6"/>
        <n v="22.05"/>
        <n v="90.86"/>
        <n v="7.78"/>
        <n v="78.759"/>
        <n v="9.552"/>
        <n v="8.28"/>
        <n v="50.136"/>
        <n v="88.074"/>
        <n v="301.47"/>
        <n v="27.46"/>
        <n v="555.96"/>
        <n v="129.552"/>
        <n v="18.336"/>
        <n v="475.944"/>
        <n v="159.98"/>
        <n v="43.6"/>
        <n v="8.288"/>
        <n v="2.808"/>
        <n v="99.98"/>
        <n v="138.56"/>
        <n v="14.576"/>
        <n v="19.312"/>
        <n v="40.08"/>
        <n v="101.96"/>
        <n v="4.338"/>
        <n v="405.86"/>
        <m/>
      </sharedItems>
    </cacheField>
    <cacheField name="Quantity" numFmtId="0">
      <sharedItems containsString="0" containsBlank="1" containsNumber="1" containsInteger="1" minValue="1" maxValue="14" count="15">
        <n v="2"/>
        <n v="5"/>
        <n v="7"/>
        <n v="3"/>
        <n v="6"/>
        <n v="9"/>
        <n v="4"/>
        <n v="8"/>
        <n v="1"/>
        <n v="14"/>
        <n v="11"/>
        <n v="10"/>
        <n v="12"/>
        <n v="13"/>
        <m/>
      </sharedItems>
    </cacheField>
    <cacheField name="Discount" numFmtId="0">
      <sharedItems containsString="0" containsBlank="1" containsNumber="1" minValue="0" maxValue="0.8" count="12">
        <n v="0"/>
        <n v="0.45"/>
        <n v="0.2"/>
        <n v="0.8"/>
        <n v="0.3"/>
        <n v="0.5"/>
        <n v="0.6"/>
        <n v="0.7"/>
        <n v="0.4"/>
        <n v="0.1"/>
        <n v="0.32"/>
        <m/>
      </sharedItems>
    </cacheField>
    <cacheField name="   Profit   " numFmtId="0">
      <sharedItems containsString="0" containsBlank="1" containsNumber="1" minValue="-3839.9904" maxValue="1379.977" count="516">
        <n v="41.9136"/>
        <n v="6.8714"/>
        <n v="-383.031"/>
        <n v="14.1694"/>
        <n v="5.4432"/>
        <n v="132.5922"/>
        <n v="-123.858"/>
        <n v="13.3176"/>
        <n v="9.99"/>
        <n v="2.4824"/>
        <n v="5.0596"/>
        <n v="-1.0196"/>
        <n v="240.2649"/>
        <n v="4.2224"/>
        <n v="-1665.0522"/>
        <n v="9.9468"/>
        <n v="123.4737"/>
        <n v="35.415"/>
        <n v="16.5564"/>
        <n v="3.894"/>
        <n v="9.5616"/>
        <n v="19.7714"/>
        <n v="8.4784"/>
        <n v="4.95"/>
        <n v="17.9634"/>
        <n v="6.2566"/>
        <n v="52.14"/>
        <n v="6.1512"/>
        <n v="-15.2225"/>
        <n v="111.3024"/>
        <n v="35.6636"/>
        <n v="1.731"/>
        <n v="8.763"/>
        <n v="-114.3912"/>
        <n v="-1.9344"/>
        <n v="-14.475"/>
        <n v="56.2032"/>
        <n v="4.172"/>
        <n v="62.8075"/>
        <n v="-48.9549"/>
        <n v="33.2156"/>
        <n v="6.7966"/>
        <n v="13.8572"/>
        <n v="6.633"/>
        <n v="6.2208"/>
        <n v="-3.788"/>
        <n v="40.5426"/>
        <n v="17.9592"/>
        <n v="22.5852"/>
        <n v="22.6184"/>
        <n v="11.7208"/>
        <n v="-26.8758"/>
        <n v="17.6016"/>
        <n v="67.992"/>
        <n v="10.9096"/>
        <n v="22.788"/>
        <n v="14.5348"/>
        <n v="165.3813"/>
        <n v="-115.7156"/>
        <n v="18.3456"/>
        <n v="-8.5794"/>
        <n v="-407.682"/>
        <n v="-1.8308"/>
        <n v="-9.1602"/>
        <n v="-11.994"/>
        <n v="9.6192"/>
        <n v="10.35"/>
        <n v="2.3814"/>
        <n v="218.2518"/>
        <n v="20.1579"/>
        <n v="12.9096"/>
        <n v="103.8015"/>
        <n v="17.766"/>
        <n v="26.271"/>
        <n v="1.7901"/>
        <n v="51.4764"/>
        <n v="2.691"/>
        <n v="1.3596"/>
        <n v="13.348"/>
        <n v="9.688"/>
        <n v="2.7324"/>
        <n v="9.8418"/>
        <n v="-131.12"/>
        <n v="-243.16"/>
        <n v="-11.3372"/>
        <n v="1.4104"/>
        <n v="1.8612"/>
        <n v="131.0296"/>
        <n v="3.4368"/>
        <n v="22.984"/>
        <n v="3.7224"/>
        <n v="112.392"/>
        <n v="6.7116"/>
        <n v="1.2038"/>
        <n v="12.0276"/>
        <n v="-2.2586"/>
        <n v="6.795"/>
        <n v="-161.875"/>
        <n v="-178.9668"/>
        <n v="9.6712"/>
        <n v="44.4768"/>
        <n v="5.8744"/>
        <n v="6.5"/>
        <n v="8.88"/>
        <n v="26.0568"/>
        <n v="1.8148"/>
        <n v="0.968"/>
        <n v="-28.2744"/>
        <n v="-12.432"/>
        <n v="-102.048"/>
        <n v="4.752"/>
        <n v="9.396"/>
        <n v="580.5394"/>
        <n v="28.1372"/>
        <n v="3.5767"/>
        <n v="22.5624"/>
        <n v="-8.4924"/>
        <n v="6.9258"/>
        <n v="-4.466"/>
        <n v="-509.997"/>
        <n v="28.7196"/>
        <n v="35.156"/>
        <n v="4.7304"/>
        <n v="0.3024"/>
        <n v="-7.4416"/>
        <n v="210.4936"/>
        <n v="92.3692"/>
        <n v="4.0572"/>
        <n v="4.0768"/>
        <n v="-3.432"/>
        <n v="51.942"/>
        <n v="47.844"/>
        <n v="-169.372"/>
        <n v="6.6836"/>
        <n v="78.8592"/>
        <n v="15.552"/>
        <n v="-131.445"/>
        <n v="12.864"/>
        <n v="2.8536"/>
        <n v="20.9208"/>
        <n v="2.0049"/>
        <n v="3.5948"/>
        <n v="37.6422"/>
        <n v="22.298"/>
        <n v="8.6744"/>
        <n v="24.1568"/>
        <n v="3.58"/>
        <n v="81.744"/>
        <n v="0.9995"/>
        <n v="-67.8762"/>
        <n v="-20.7"/>
        <n v="1.6038"/>
        <n v="2.7956"/>
        <n v="2.3312"/>
        <n v="1.116"/>
        <n v="-2.22"/>
        <n v="4.7976"/>
        <n v="3.0996"/>
        <n v="2.3086"/>
        <n v="-4.8588"/>
        <n v="11.325"/>
        <n v="168.4384"/>
        <n v="9.936"/>
        <n v="10.44"/>
        <n v="-5.712"/>
        <n v="30.98"/>
        <n v="-297.6848"/>
        <n v="-20.3322"/>
        <n v="25.48"/>
        <n v="8.799"/>
        <n v="-157.0095"/>
        <n v="-337.638"/>
        <n v="0.4264"/>
        <n v="7.884"/>
        <n v="27.7182"/>
        <n v="-20.5623"/>
        <n v="25.5798"/>
        <n v="9.4924"/>
        <n v="21.036"/>
        <n v="3.5952"/>
        <n v="3.4684"/>
        <n v="9.768"/>
        <n v="9.6957"/>
        <n v="37.7895"/>
        <n v="65.7342"/>
        <n v="25.8984"/>
        <n v="38.38"/>
        <n v="2.8322"/>
        <n v="2.7028"/>
        <n v="56.5662"/>
        <n v="14.7056"/>
        <n v="225.264"/>
        <n v="11.076"/>
        <n v="30.0957"/>
        <n v="0.5004"/>
        <n v="-145.3508"/>
        <n v="207.147"/>
        <n v="-3.6892"/>
        <n v="43.1991"/>
        <n v="11.5536"/>
        <n v="2.3094"/>
        <n v="3.666"/>
        <n v="1.3677"/>
        <n v="15.4752"/>
        <n v="-75.8304"/>
        <n v="24.9132"/>
        <n v="-24.294"/>
        <n v="-96.1146"/>
        <n v="36.372"/>
        <n v="7.068"/>
        <n v="-312.0614"/>
        <n v="-36.2352"/>
        <n v="-7.9002"/>
        <n v="26.6304"/>
        <n v="3.4092"/>
        <n v="7.182"/>
        <n v="19.296"/>
        <n v="6.615"/>
        <n v="1.9089"/>
        <n v="1.6688"/>
        <n v="14.8"/>
        <n v="341.994"/>
        <n v="0.5994"/>
        <n v="8.983"/>
        <n v="13.1572"/>
        <n v="-94.941"/>
        <n v="51.6558"/>
        <n v="40.3704"/>
        <n v="-15.08"/>
        <n v="5.373"/>
        <n v="0.7398"/>
        <n v="40.416"/>
        <n v="0.7152"/>
        <n v="1379.977"/>
        <n v="5.2877"/>
        <n v="21.098"/>
        <n v="-12.4146"/>
        <n v="10.434"/>
        <n v="42.747"/>
        <n v="-7.2672"/>
        <n v="11.92"/>
        <n v="2.397"/>
        <n v="274.386"/>
        <n v="1.4672"/>
        <n v="-68.1856"/>
        <n v="3.36"/>
        <n v="41.2938"/>
        <n v="206.316"/>
        <n v="38.0864"/>
        <n v="-145.5246"/>
        <n v="7.264"/>
        <n v="13.932"/>
        <n v="15.642"/>
        <n v="0"/>
        <n v="6.0382"/>
        <n v="2.5707"/>
        <n v="310.9872"/>
        <n v="3.4048"/>
        <n v="16.614"/>
        <n v="1.3"/>
        <n v="46.797"/>
        <n v="45.0016"/>
        <n v="34.776"/>
        <n v="78.7528"/>
        <n v="8.714"/>
        <n v="1.5456"/>
        <n v="52.9173"/>
        <n v="4.9686"/>
        <n v="-20.1362"/>
        <n v="1.168"/>
        <n v="22.0748"/>
        <n v="1.0178"/>
        <n v="-28.7964"/>
        <n v="17.847"/>
        <n v="-2.6256"/>
        <n v="41.5773"/>
        <n v="2.64"/>
        <n v="15.992"/>
        <n v="15.7872"/>
        <n v="-14.773"/>
        <n v="87.5684"/>
        <n v="12.0904"/>
        <n v="28.1764"/>
        <n v="5.1435"/>
        <n v="-51.7191"/>
        <n v="2.4585"/>
        <n v="43.2234"/>
        <n v="-13.8468"/>
        <n v="272.792"/>
        <n v="6.0288"/>
        <n v="85.904"/>
        <n v="54.3332"/>
        <n v="3.1752"/>
        <n v="56.511"/>
        <n v="9.8625"/>
        <n v="6.068"/>
        <n v="178.318"/>
        <n v="45.9754"/>
        <n v="8.5164"/>
        <n v="-50.098"/>
        <n v="124.929"/>
        <n v="18.398"/>
        <n v="5.2626"/>
        <n v="2.079"/>
        <n v="8.7285"/>
        <n v="-14.3856"/>
        <n v="1.7115"/>
        <n v="16.5888"/>
        <n v="-7.392"/>
        <n v="4.6644"/>
        <n v="-3839.9904"/>
        <n v="163.1898"/>
        <n v="4.7996"/>
        <n v="14.5614"/>
        <n v="24.936"/>
        <n v="17.3488"/>
        <n v="4.1448"/>
        <n v="35.6796"/>
        <n v="-13.8717"/>
        <n v="3.6288"/>
        <n v="52.7824"/>
        <n v="8.8624"/>
        <n v="109.7226"/>
        <n v="6.972"/>
        <n v="3.0814"/>
        <n v="24.4758"/>
        <n v="19.4376"/>
        <n v="73.41"/>
        <n v="231.4116"/>
        <n v="21.112"/>
        <n v="5.1282"/>
        <n v="6.3684"/>
        <n v="84.0512"/>
        <n v="9.7176"/>
        <n v="8.4966"/>
        <n v="4.2717"/>
        <n v="-10.948"/>
        <n v="-28.356"/>
        <n v="0.8994"/>
        <n v="26.703"/>
        <n v="374.9925"/>
        <n v="28.7712"/>
        <n v="-167.3184"/>
        <n v="6.8768"/>
        <n v="4.2666"/>
        <n v="10.224"/>
        <n v="27.9936"/>
        <n v="5.6994"/>
        <n v="-26.9955"/>
        <n v="5.3392"/>
        <n v="23.316"/>
        <n v="179.7488"/>
        <n v="9.14"/>
        <n v="3.6855"/>
        <n v="40.8006"/>
        <n v="-22.449"/>
        <n v="87.7443"/>
        <n v="5.8914"/>
        <n v="34.8928"/>
        <n v="69.1008"/>
        <n v="85.2475"/>
        <n v="4.5816"/>
        <n v="9.8784"/>
        <n v="63.7392"/>
        <n v="17.745"/>
        <n v="7.3359"/>
        <n v="99.4896"/>
        <n v="6.2152"/>
        <n v="4.3176"/>
        <n v="3.2256"/>
        <n v="24.8832"/>
        <n v="1.8704"/>
        <n v="14.5152"/>
        <n v="71.991"/>
        <n v="4.068"/>
        <n v="16.8"/>
        <n v="90.588"/>
        <n v="2.6412"/>
        <n v="-79.3352"/>
        <n v="3.2616"/>
        <n v="1.5804"/>
        <n v="16.3215"/>
        <n v="11.7"/>
        <n v="23.4416"/>
        <n v="8.5568"/>
        <n v="49.6048"/>
        <n v="1.3416"/>
        <n v="50.1876"/>
        <n v="14.6718"/>
        <n v="18.7812"/>
        <n v="0.1472"/>
        <n v="40.6878"/>
        <n v="1.3583"/>
        <n v="5.1792"/>
        <n v="-35.928"/>
        <n v="-760.98"/>
        <n v="17.22"/>
        <n v="5.2256"/>
        <n v="67.256"/>
        <n v="64.518"/>
        <n v="-4.1244"/>
        <n v="23.1093"/>
        <n v="8.3268"/>
        <n v="5.9312"/>
        <n v="10.048"/>
        <n v="5.9364"/>
        <n v="4.5318"/>
        <n v="1.6752"/>
        <n v="18.4534"/>
        <n v="16.9932"/>
        <n v="14.995"/>
        <n v="2.043"/>
        <n v="42.0714"/>
        <n v="5.0856"/>
        <n v="51.8"/>
        <n v="22.5408"/>
        <n v="-6.5296"/>
        <n v="3.393"/>
        <n v="20.2485"/>
        <n v="12.1176"/>
        <n v="323.946"/>
        <n v="9.102"/>
        <n v="19.2454"/>
        <n v="-18.5562"/>
        <n v="50.4063"/>
        <n v="34.9074"/>
        <n v="294.5488"/>
        <n v="12.936"/>
        <n v="2.5536"/>
        <n v="4.1148"/>
        <n v="15.2064"/>
        <n v="54.3966"/>
        <n v="8.0464"/>
        <n v="2.2098"/>
        <n v="-204.4458"/>
        <n v="-12.9122"/>
        <n v="7.6416"/>
        <n v="2.7168"/>
        <n v="43.45"/>
        <n v="2.5893"/>
        <n v="53.196"/>
        <n v="3.0576"/>
        <n v="10.94"/>
        <n v="1.6704"/>
        <n v="4.8118"/>
        <n v="28.5984"/>
        <n v="3.2186"/>
        <n v="-0.792"/>
        <n v="679.996"/>
        <n v="16.6698"/>
        <n v="93.2232"/>
        <n v="0.8056"/>
        <n v="2.5896"/>
        <n v="-1.8904"/>
        <n v="72.807"/>
        <n v="131.2785"/>
        <n v="5.484"/>
        <n v="4.9104"/>
        <n v="1276.4871"/>
        <n v="4.9082"/>
        <n v="11.4452"/>
        <n v="762.1845"/>
        <n v="92.0835"/>
        <n v="40.3536"/>
        <n v="2.478"/>
        <n v="20.585"/>
        <n v="5.999"/>
        <n v="27.3096"/>
        <n v="46.575"/>
        <n v="356.0414"/>
        <n v="6.7008"/>
        <n v="8.8686"/>
        <n v="2.1728"/>
        <n v="4.2804"/>
        <n v="83.284"/>
        <n v="5.1012"/>
        <n v="8.662"/>
        <n v="13.734"/>
        <n v="2.6964"/>
        <n v="146.4036"/>
        <n v="-62.7725"/>
        <n v="104.568"/>
        <n v="83.9944"/>
        <n v="27.7158"/>
        <n v="5.319"/>
        <n v="1.6776"/>
        <n v="17.472"/>
        <n v="38.9975"/>
        <n v="-93.08"/>
        <n v="10.584"/>
        <n v="26.3494"/>
        <n v="3.501"/>
        <n v="-57.7566"/>
        <n v="-3.8208"/>
        <n v="3.4776"/>
        <n v="-11.2806"/>
        <n v="-58.716"/>
        <n v="-241.176"/>
        <n v="9.8856"/>
        <n v="41.697"/>
        <n v="-22.6716"/>
        <n v="-12.224"/>
        <n v="95.1888"/>
        <n v="47.994"/>
        <n v="12.208"/>
        <n v="3.0044"/>
        <n v="-4.4928"/>
        <n v="42.9914"/>
        <n v="66.5088"/>
        <n v="2.3686"/>
        <n v="3.1382"/>
        <n v="19.2384"/>
        <n v="27.5292"/>
        <n v="-3.0366"/>
        <n v="32.4688"/>
        <m/>
      </sharedItems>
    </cacheField>
    <cacheField name="Profit" numFmtId="181">
      <sharedItems containsString="0" containsBlank="1" containsNumber="1" minValue="0" maxValue="3839.9904" count="516">
        <n v="41.9136"/>
        <n v="6.8714"/>
        <n v="383.031"/>
        <n v="14.1694"/>
        <n v="5.4432"/>
        <n v="132.5922"/>
        <n v="123.858"/>
        <n v="13.3176"/>
        <n v="9.99"/>
        <n v="2.4824"/>
        <n v="5.0596"/>
        <n v="1.0196"/>
        <n v="240.2649"/>
        <n v="4.2224"/>
        <n v="1665.0522"/>
        <n v="9.9468"/>
        <n v="123.4737"/>
        <n v="35.415"/>
        <n v="16.5564"/>
        <n v="3.894"/>
        <n v="9.5616"/>
        <n v="19.7714"/>
        <n v="8.4784"/>
        <n v="4.95"/>
        <n v="17.9634"/>
        <n v="6.2566"/>
        <n v="52.14"/>
        <n v="6.1512"/>
        <n v="15.2225"/>
        <n v="111.3024"/>
        <n v="35.6636"/>
        <n v="1.731"/>
        <n v="8.763"/>
        <n v="114.3912"/>
        <n v="1.9344"/>
        <n v="14.475"/>
        <n v="56.2032"/>
        <n v="4.172"/>
        <n v="62.8075"/>
        <n v="48.9549"/>
        <n v="33.2156"/>
        <n v="6.7966"/>
        <n v="13.8572"/>
        <n v="6.633"/>
        <n v="6.2208"/>
        <n v="3.788"/>
        <n v="40.5426"/>
        <n v="17.9592"/>
        <n v="22.5852"/>
        <n v="22.6184"/>
        <n v="11.7208"/>
        <n v="26.8758"/>
        <n v="17.6016"/>
        <n v="67.992"/>
        <n v="10.9096"/>
        <n v="22.788"/>
        <n v="14.5348"/>
        <n v="165.3813"/>
        <n v="115.7156"/>
        <n v="18.3456"/>
        <n v="8.5794"/>
        <n v="407.682"/>
        <n v="1.8308"/>
        <n v="9.1602"/>
        <n v="11.994"/>
        <n v="9.6192"/>
        <n v="10.35"/>
        <n v="2.3814"/>
        <n v="218.2518"/>
        <n v="20.1579"/>
        <n v="12.9096"/>
        <n v="103.8015"/>
        <n v="17.766"/>
        <n v="26.271"/>
        <n v="1.7901"/>
        <n v="51.4764"/>
        <n v="2.691"/>
        <n v="1.3596"/>
        <n v="13.348"/>
        <n v="9.688"/>
        <n v="2.7324"/>
        <n v="9.8418"/>
        <n v="131.12"/>
        <n v="243.16"/>
        <n v="11.3372"/>
        <n v="1.4104"/>
        <n v="1.8612"/>
        <n v="131.0296"/>
        <n v="3.4368"/>
        <n v="22.984"/>
        <n v="3.7224"/>
        <n v="112.392"/>
        <n v="6.7116"/>
        <n v="1.2038"/>
        <n v="12.0276"/>
        <n v="2.2586"/>
        <n v="6.795"/>
        <n v="161.875"/>
        <n v="178.9668"/>
        <n v="9.6712"/>
        <n v="44.4768"/>
        <n v="5.8744"/>
        <n v="6.5"/>
        <n v="8.88"/>
        <n v="26.0568"/>
        <n v="1.8148"/>
        <n v="0.968"/>
        <n v="28.2744"/>
        <n v="12.432"/>
        <n v="102.048"/>
        <n v="4.752"/>
        <n v="9.396"/>
        <n v="580.5394"/>
        <n v="28.1372"/>
        <n v="3.5767"/>
        <n v="22.5624"/>
        <n v="8.4924"/>
        <n v="6.9258"/>
        <n v="4.466"/>
        <n v="509.997"/>
        <n v="28.7196"/>
        <n v="35.156"/>
        <n v="4.7304"/>
        <n v="0.3024"/>
        <n v="7.4416"/>
        <n v="210.4936"/>
        <n v="92.3692"/>
        <n v="4.0572"/>
        <n v="4.0768"/>
        <n v="3.432"/>
        <n v="51.942"/>
        <n v="47.844"/>
        <n v="169.372"/>
        <n v="6.6836"/>
        <n v="78.8592"/>
        <n v="15.552"/>
        <n v="131.445"/>
        <n v="12.864"/>
        <n v="2.8536"/>
        <n v="20.9208"/>
        <n v="2.0049"/>
        <n v="3.5948"/>
        <n v="37.6422"/>
        <n v="22.298"/>
        <n v="8.6744"/>
        <n v="24.1568"/>
        <n v="3.58"/>
        <n v="81.744"/>
        <n v="0.9995"/>
        <n v="67.8762"/>
        <n v="20.7"/>
        <n v="1.6038"/>
        <n v="2.7956"/>
        <n v="2.3312"/>
        <n v="1.116"/>
        <n v="2.22"/>
        <n v="4.7976"/>
        <n v="3.0996"/>
        <n v="2.3086"/>
        <n v="4.8588"/>
        <n v="11.325"/>
        <n v="168.4384"/>
        <n v="9.936"/>
        <n v="10.44"/>
        <n v="5.712"/>
        <n v="30.98"/>
        <n v="297.6848"/>
        <n v="20.3322"/>
        <n v="25.48"/>
        <n v="8.799"/>
        <n v="157.0095"/>
        <n v="337.638"/>
        <n v="0.4264"/>
        <n v="7.884"/>
        <n v="27.7182"/>
        <n v="20.5623"/>
        <n v="25.5798"/>
        <n v="9.4924"/>
        <n v="21.036"/>
        <n v="3.5952"/>
        <n v="3.4684"/>
        <n v="9.768"/>
        <n v="9.6957"/>
        <n v="37.7895"/>
        <n v="65.7342"/>
        <n v="25.8984"/>
        <n v="38.38"/>
        <n v="2.8322"/>
        <n v="2.7028"/>
        <n v="56.5662"/>
        <n v="14.7056"/>
        <n v="225.264"/>
        <n v="11.076"/>
        <n v="30.0957"/>
        <n v="0.5004"/>
        <n v="145.3508"/>
        <n v="207.147"/>
        <n v="3.6892"/>
        <n v="43.1991"/>
        <n v="11.5536"/>
        <n v="2.3094"/>
        <n v="3.666"/>
        <n v="1.3677"/>
        <n v="15.4752"/>
        <n v="75.8304"/>
        <n v="24.9132"/>
        <n v="24.294"/>
        <n v="96.1146"/>
        <n v="36.372"/>
        <n v="7.068"/>
        <n v="312.0614"/>
        <n v="36.2352"/>
        <n v="7.9002"/>
        <n v="26.6304"/>
        <n v="3.4092"/>
        <n v="7.182"/>
        <n v="19.296"/>
        <n v="6.615"/>
        <n v="1.9089"/>
        <n v="1.6688"/>
        <n v="14.8"/>
        <n v="341.994"/>
        <n v="0.5994"/>
        <n v="8.983"/>
        <n v="13.1572"/>
        <n v="94.941"/>
        <n v="51.6558"/>
        <n v="40.3704"/>
        <n v="15.08"/>
        <n v="5.373"/>
        <n v="0.7398"/>
        <n v="40.416"/>
        <n v="0.7152"/>
        <n v="1379.977"/>
        <n v="5.2877"/>
        <n v="21.098"/>
        <n v="12.4146"/>
        <n v="10.434"/>
        <n v="42.747"/>
        <n v="7.2672"/>
        <n v="11.92"/>
        <n v="2.397"/>
        <n v="274.386"/>
        <n v="1.4672"/>
        <n v="68.1856"/>
        <n v="3.36"/>
        <n v="41.2938"/>
        <n v="206.316"/>
        <n v="38.0864"/>
        <n v="145.5246"/>
        <n v="7.264"/>
        <n v="13.932"/>
        <n v="15.642"/>
        <n v="0"/>
        <n v="6.0382"/>
        <n v="2.5707"/>
        <n v="310.9872"/>
        <n v="3.4048"/>
        <n v="16.614"/>
        <n v="1.3"/>
        <n v="46.797"/>
        <n v="45.0016"/>
        <n v="34.776"/>
        <n v="78.7528"/>
        <n v="8.714"/>
        <n v="1.5456"/>
        <n v="52.9173"/>
        <n v="4.9686"/>
        <n v="20.1362"/>
        <n v="1.168"/>
        <n v="22.0748"/>
        <n v="1.0178"/>
        <n v="28.7964"/>
        <n v="17.847"/>
        <n v="2.6256"/>
        <n v="41.5773"/>
        <n v="2.64"/>
        <n v="15.992"/>
        <n v="15.7872"/>
        <n v="14.773"/>
        <n v="87.5684"/>
        <n v="12.0904"/>
        <n v="28.1764"/>
        <n v="5.1435"/>
        <n v="51.7191"/>
        <n v="2.4585"/>
        <n v="43.2234"/>
        <n v="13.8468"/>
        <n v="272.792"/>
        <n v="6.0288"/>
        <n v="85.904"/>
        <n v="54.3332"/>
        <n v="3.1752"/>
        <n v="56.511"/>
        <n v="9.8625"/>
        <n v="6.068"/>
        <n v="178.318"/>
        <n v="45.9754"/>
        <n v="8.5164"/>
        <n v="50.098"/>
        <n v="124.929"/>
        <n v="18.398"/>
        <n v="5.2626"/>
        <n v="2.079"/>
        <n v="8.7285"/>
        <n v="14.3856"/>
        <n v="1.7115"/>
        <n v="16.5888"/>
        <n v="7.392"/>
        <n v="4.6644"/>
        <n v="3839.9904"/>
        <n v="163.1898"/>
        <n v="4.7996"/>
        <n v="14.5614"/>
        <n v="24.936"/>
        <n v="17.3488"/>
        <n v="4.1448"/>
        <n v="35.6796"/>
        <n v="13.8717"/>
        <n v="3.6288"/>
        <n v="52.7824"/>
        <n v="8.8624"/>
        <n v="109.7226"/>
        <n v="6.972"/>
        <n v="3.0814"/>
        <n v="24.4758"/>
        <n v="19.4376"/>
        <n v="73.41"/>
        <n v="231.4116"/>
        <n v="21.112"/>
        <n v="5.1282"/>
        <n v="6.3684"/>
        <n v="84.0512"/>
        <n v="9.7176"/>
        <n v="8.4966"/>
        <n v="4.2717"/>
        <n v="10.948"/>
        <n v="28.356"/>
        <n v="0.8994"/>
        <n v="26.703"/>
        <n v="374.9925"/>
        <n v="28.7712"/>
        <n v="167.3184"/>
        <n v="6.8768"/>
        <n v="4.2666"/>
        <n v="10.224"/>
        <n v="27.9936"/>
        <n v="5.6994"/>
        <n v="26.9955"/>
        <n v="5.3392"/>
        <n v="23.316"/>
        <n v="179.7488"/>
        <n v="9.14"/>
        <n v="3.6855"/>
        <n v="40.8006"/>
        <n v="22.449"/>
        <n v="87.7443"/>
        <n v="5.8914"/>
        <n v="34.8928"/>
        <n v="69.1008"/>
        <n v="85.2475"/>
        <n v="4.5816"/>
        <n v="9.8784"/>
        <n v="63.7392"/>
        <n v="17.745"/>
        <n v="7.3359"/>
        <n v="99.4896"/>
        <n v="6.2152"/>
        <n v="4.3176"/>
        <n v="3.2256"/>
        <n v="24.8832"/>
        <n v="1.8704"/>
        <n v="14.5152"/>
        <n v="71.991"/>
        <n v="4.068"/>
        <n v="16.8"/>
        <n v="90.588"/>
        <n v="2.6412"/>
        <n v="79.3352"/>
        <n v="3.2616"/>
        <n v="1.5804"/>
        <n v="16.3215"/>
        <n v="11.7"/>
        <n v="23.4416"/>
        <n v="8.5568"/>
        <n v="49.6048"/>
        <n v="1.3416"/>
        <n v="50.1876"/>
        <n v="14.6718"/>
        <n v="18.7812"/>
        <n v="0.1472"/>
        <n v="40.6878"/>
        <n v="1.3583"/>
        <n v="5.1792"/>
        <n v="35.928"/>
        <n v="760.98"/>
        <n v="17.22"/>
        <n v="5.2256"/>
        <n v="67.256"/>
        <n v="64.518"/>
        <n v="4.1244"/>
        <n v="23.1093"/>
        <n v="8.3268"/>
        <n v="5.9312"/>
        <n v="10.048"/>
        <n v="5.9364"/>
        <n v="4.5318"/>
        <n v="1.6752"/>
        <n v="18.4534"/>
        <n v="16.9932"/>
        <n v="14.995"/>
        <n v="2.043"/>
        <n v="42.0714"/>
        <n v="5.0856"/>
        <n v="51.8"/>
        <n v="22.5408"/>
        <n v="6.5296"/>
        <n v="3.393"/>
        <n v="20.2485"/>
        <n v="12.1176"/>
        <n v="323.946"/>
        <n v="9.102"/>
        <n v="19.2454"/>
        <n v="18.5562"/>
        <n v="50.4063"/>
        <n v="34.9074"/>
        <n v="294.5488"/>
        <n v="12.936"/>
        <n v="2.5536"/>
        <n v="4.1148"/>
        <n v="15.2064"/>
        <n v="54.3966"/>
        <n v="8.0464"/>
        <n v="2.2098"/>
        <n v="204.4458"/>
        <n v="12.9122"/>
        <n v="7.6416"/>
        <n v="2.7168"/>
        <n v="43.45"/>
        <n v="2.5893"/>
        <n v="53.196"/>
        <n v="3.0576"/>
        <n v="10.94"/>
        <n v="1.6704"/>
        <n v="4.8118"/>
        <n v="28.5984"/>
        <n v="3.2186"/>
        <n v="0.792"/>
        <n v="679.996"/>
        <n v="16.6698"/>
        <n v="93.2232"/>
        <n v="0.8056"/>
        <n v="2.5896"/>
        <n v="1.8904"/>
        <n v="72.807"/>
        <n v="131.2785"/>
        <n v="5.484"/>
        <n v="4.9104"/>
        <n v="1276.4871"/>
        <n v="4.9082"/>
        <n v="11.4452"/>
        <n v="762.1845"/>
        <n v="92.0835"/>
        <n v="40.3536"/>
        <n v="2.478"/>
        <n v="20.585"/>
        <n v="5.999"/>
        <n v="27.3096"/>
        <n v="46.575"/>
        <n v="356.0414"/>
        <n v="6.7008"/>
        <n v="8.8686"/>
        <n v="2.1728"/>
        <n v="4.2804"/>
        <n v="83.284"/>
        <n v="5.1012"/>
        <n v="8.662"/>
        <n v="13.734"/>
        <n v="2.6964"/>
        <n v="146.4036"/>
        <n v="62.7725"/>
        <n v="104.568"/>
        <n v="83.9944"/>
        <n v="27.7158"/>
        <n v="5.319"/>
        <n v="1.6776"/>
        <n v="17.472"/>
        <n v="38.9975"/>
        <n v="93.08"/>
        <n v="10.584"/>
        <n v="26.3494"/>
        <n v="3.501"/>
        <n v="57.7566"/>
        <n v="3.8208"/>
        <n v="3.4776"/>
        <n v="11.2806"/>
        <n v="58.716"/>
        <n v="241.176"/>
        <n v="9.8856"/>
        <n v="41.697"/>
        <n v="22.6716"/>
        <n v="12.224"/>
        <n v="95.1888"/>
        <n v="47.994"/>
        <n v="12.208"/>
        <n v="3.0044"/>
        <n v="4.4928"/>
        <n v="42.9914"/>
        <n v="66.5088"/>
        <n v="2.3686"/>
        <n v="3.1382"/>
        <n v="19.2384"/>
        <n v="27.5292"/>
        <n v="3.0366"/>
        <n v="32.4688"/>
        <m/>
      </sharedItems>
    </cacheField>
    <cacheField name="Adujested sales" numFmtId="182">
      <sharedItems containsString="0" containsBlank="1" containsNumber="1" minValue="0.2224" maxValue="3999.99" count="505">
        <n v="261.96"/>
        <n v="14.62"/>
        <n v="526.667625"/>
        <n v="48.86"/>
        <n v="12.4416"/>
        <n v="326.3808"/>
        <n v="13.762"/>
        <n v="665.88"/>
        <n v="55.5"/>
        <n v="8.56"/>
        <n v="19.46"/>
        <n v="49.9604"/>
        <n v="1044.63"/>
        <n v="9.3184"/>
        <n v="1541.715"/>
        <n v="23.5776"/>
        <n v="878.0352"/>
        <n v="90.6624"/>
        <n v="117.7344"/>
        <n v="77.88"/>
        <n v="76.4928"/>
        <n v="45.98"/>
        <n v="211.96"/>
        <n v="45"/>
        <n v="38.22"/>
        <n v="15.26"/>
        <n v="208.56"/>
        <n v="13.98"/>
        <n v="149.1805"/>
        <n v="890.4192"/>
        <n v="75.88"/>
        <n v="3.6928"/>
        <n v="19.05"/>
        <n v="665.5488"/>
        <n v="0.2496"/>
        <n v="7.72"/>
        <n v="208.16"/>
        <n v="14.9"/>
        <n v="160.7872"/>
        <n v="184.3008"/>
        <n v="301.96"/>
        <n v="19.99"/>
        <n v="126.6944"/>
        <n v="20.1"/>
        <n v="12.96"/>
        <n v="1.7046"/>
        <n v="96.53"/>
        <n v="41.0496"/>
        <n v="51.6992"/>
        <n v="23.92"/>
        <n v="191.1168"/>
        <n v="59.2896"/>
        <n v="271.968"/>
        <n v="41.96"/>
        <n v="75.96"/>
        <n v="32.0768"/>
        <n v="787.53"/>
        <n v="47.3382"/>
        <n v="47.04"/>
        <n v="420.3906"/>
        <n v="308.85"/>
        <n v="0.7164"/>
        <n v="65.1392"/>
        <n v="35.982"/>
        <n v="20.04"/>
        <n v="66.24"/>
        <n v="8.82"/>
        <n v="839.43"/>
        <n v="671.93"/>
        <n v="75.1104"/>
        <n v="384.45"/>
        <n v="126.336"/>
        <n v="58.38"/>
        <n v="6.63"/>
        <n v="366.0544"/>
        <n v="5.98"/>
        <n v="43.5072"/>
        <n v="28.4"/>
        <n v="22.144"/>
        <n v="7.9488"/>
        <n v="20.94"/>
        <n v="10.4896"/>
        <n v="19.4528"/>
        <n v="277.7614"/>
        <n v="3.28"/>
        <n v="19.8528"/>
        <n v="503.96"/>
        <n v="7.16"/>
        <n v="176.8"/>
        <n v="29.7792"/>
        <n v="719.3088"/>
        <n v="14.28"/>
        <n v="5.9264"/>
        <n v="46.26"/>
        <n v="0.8838"/>
        <n v="17.3952"/>
        <n v="109.375"/>
        <n v="13.2568"/>
        <n v="28.1344"/>
        <n v="355.8144"/>
        <n v="83.92"/>
        <n v="16.64"/>
        <n v="18.944"/>
        <n v="93.06"/>
        <n v="4.4672"/>
        <n v="2.2"/>
        <n v="129.2544"/>
        <n v="5.5944"/>
        <n v="128.623"/>
        <n v="10.56"/>
        <n v="20.736"/>
        <n v="2001.86"/>
        <n v="257.2544"/>
        <n v="7.61"/>
        <n v="80.58"/>
        <n v="4.8528"/>
        <n v="20.37"/>
        <n v="0.3248"/>
        <n v="1835.9892"/>
        <n v="262.5792"/>
        <n v="79.9"/>
        <n v="11.2128"/>
        <n v="7.56"/>
        <n v="29.7664"/>
        <n v="725.84"/>
        <n v="209.93"/>
        <n v="0.416"/>
        <n v="831.072"/>
        <n v="113.408"/>
        <n v="76.2174"/>
        <n v="15.2768"/>
        <n v="240.3328"/>
        <n v="32.4"/>
        <n v="109.5375"/>
        <n v="26.8"/>
        <n v="9.84"/>
        <n v="45.48"/>
        <n v="4.89"/>
        <n v="12.1088"/>
        <n v="87.54"/>
        <n v="142.7072"/>
        <n v="79.3088"/>
        <n v="122.2938"/>
        <n v="201.216"/>
        <n v="12.7936"/>
        <n v="174.5388"/>
        <n v="49.68"/>
        <n v="3.8016"/>
        <n v="6.1696"/>
        <n v="4.96"/>
        <n v="14.2848"/>
        <n v="71.04"/>
        <n v="38.3808"/>
        <n v="6.79"/>
        <n v="310.9632"/>
        <n v="28.992"/>
        <n v="647.84"/>
        <n v="20.7"/>
        <n v="23.2"/>
        <n v="2.448"/>
        <n v="1041.8968"/>
        <n v="1.7304"/>
        <n v="50.96"/>
        <n v="41.9"/>
        <n v="206.501625"/>
        <n v="144.702"/>
        <n v="2.0992"/>
        <n v="18.688"/>
        <n v="197.1072"/>
        <n v="2.4924"/>
        <n v="60.6336"/>
        <n v="49.96"/>
        <n v="70.12"/>
        <n v="28.7616"/>
        <n v="7.6544"/>
        <n v="31.2576"/>
        <n v="35.91"/>
        <n v="179.95"/>
        <n v="139.86"/>
        <n v="95.92"/>
        <n v="307.04"/>
        <n v="5.78"/>
        <n v="9.32"/>
        <n v="157.4016"/>
        <n v="56.56"/>
        <n v="866.4"/>
        <n v="69.99"/>
        <n v="5.3376"/>
        <n v="56.8764"/>
        <n v="714.3"/>
        <n v="1.4436"/>
        <n v="705.5853"/>
        <n v="25.4976"/>
        <n v="187.0614"/>
        <n v="12.22"/>
        <n v="2.91"/>
        <n v="59.52"/>
        <n v="170.6184"/>
        <n v="63.88"/>
        <n v="103.6544"/>
        <n v="523.2906"/>
        <n v="103.92"/>
        <n v="18.848"/>
        <n v="101.8976"/>
        <n v="139.626304"/>
        <n v="0.9576"/>
        <n v="55.48"/>
        <n v="340.92"/>
        <n v="76.608"/>
        <n v="40.2"/>
        <n v="14.7"/>
        <n v="9.09"/>
        <n v="5.96"/>
        <n v="29.6"/>
        <n v="2188.7616"/>
        <n v="6.3936"/>
        <n v="449.15"/>
        <n v="93.98"/>
        <n v="113.9292"/>
        <n v="105.42"/>
        <n v="95.6928"/>
        <n v="6.786"/>
        <n v="12.736"/>
        <n v="2.74"/>
        <n v="126.3"/>
        <n v="5.7216"/>
        <n v="2999.95"/>
        <n v="14.7136"/>
        <n v="210.98"/>
        <n v="44.1408"/>
        <n v="22.2"/>
        <n v="547.1616"/>
        <n v="29.0688"/>
        <n v="152.576"/>
        <n v="47.94"/>
        <n v="979.95"/>
        <n v="13.4144"/>
        <n v="8.5232"/>
        <n v="8.6016"/>
        <n v="152.94"/>
        <n v="468.9"/>
        <n v="304.6912"/>
        <n v="517.4208"/>
        <n v="46.4896"/>
        <n v="33.024"/>
        <n v="200.2176"/>
        <n v="897.2544"/>
        <n v="27.6032"/>
        <n v="8.6592"/>
        <n v="1295.78"/>
        <n v="15.5648"/>
        <n v="42.6"/>
        <n v="10.4"/>
        <n v="3.96"/>
        <n v="299.5008"/>
        <n v="91.84"/>
        <n v="72.45"/>
        <n v="160.72"/>
        <n v="55.7696"/>
        <n v="51.52"/>
        <n v="376.3008"/>
        <n v="70.98"/>
        <n v="67.8272"/>
        <n v="7.4752"/>
        <n v="76.12"/>
        <n v="9.3056"/>
        <n v="86.3892"/>
        <n v="114.2208"/>
        <n v="0.9846"/>
        <n v="295.6608"/>
        <n v="6.7584"/>
        <n v="71.964"/>
        <n v="40.48"/>
        <n v="1.738"/>
        <n v="35.56"/>
        <n v="97.16"/>
        <n v="12.192"/>
        <n v="194.7072"/>
        <n v="14.304"/>
        <n v="392.94"/>
        <n v="5.6646"/>
        <n v="1049.2"/>
        <n v="18.84"/>
        <n v="330.4"/>
        <n v="132.52"/>
        <n v="6.48"/>
        <n v="209.3"/>
        <n v="25.248"/>
        <n v="14.8"/>
        <n v="379.4"/>
        <n v="97.82"/>
        <n v="90.8416"/>
        <n v="490.9604"/>
        <n v="799.5456"/>
        <n v="459.95"/>
        <n v="10.74"/>
        <n v="19.008"/>
        <n v="24.288"/>
        <n v="9.5904"/>
        <n v="15.648"/>
        <n v="61.44"/>
        <n v="0.5376"/>
        <n v="11.4816"/>
        <n v="3999.99"/>
        <n v="479.97"/>
        <n v="153.5872"/>
        <n v="104.01"/>
        <n v="166.24"/>
        <n v="158.6176"/>
        <n v="12.0576"/>
        <n v="209.88"/>
        <n v="295.9296"/>
        <n v="8.2944"/>
        <n v="119.96"/>
        <n v="19.5584"/>
        <n v="281.34"/>
        <n v="15.936"/>
        <n v="9.94"/>
        <n v="82.4448"/>
        <n v="47.8464"/>
        <n v="146.82"/>
        <n v="1652.94"/>
        <n v="103.936"/>
        <n v="36.4672"/>
        <n v="14.0544"/>
        <n v="182.72"/>
        <n v="242.94"/>
        <n v="49.98"/>
        <n v="9.4272"/>
        <n v="41.216"/>
        <n v="453.696"/>
        <n v="9.5936"/>
        <n v="58.05"/>
        <n v="959.9808"/>
        <n v="79.92"/>
        <n v="210.8909"/>
        <n v="24.56"/>
        <n v="10.5024"/>
        <n v="22.72"/>
        <n v="58.32"/>
        <n v="12.39"/>
        <n v="64.7892"/>
        <n v="11.36"/>
        <n v="248.704"/>
        <n v="641.96"/>
        <n v="18.28"/>
        <n v="26.208"/>
        <n v="435.2064"/>
        <n v="9.621"/>
        <n v="186.69"/>
        <n v="13.9648"/>
        <n v="279.1424"/>
        <n v="143.96"/>
        <n v="1091.168"/>
        <n v="9.96"/>
        <n v="20.16"/>
        <n v="132.79"/>
        <n v="227.136"/>
        <n v="22.23"/>
        <n v="355.32"/>
        <n v="34.5408"/>
        <n v="11.52"/>
        <n v="51.84"/>
        <n v="4.2752"/>
        <n v="33.1776"/>
        <n v="239.97"/>
        <n v="67.8"/>
        <n v="35"/>
        <n v="28.1728"/>
        <n v="10.2368"/>
        <n v="7.7312"/>
        <n v="16.8576"/>
        <n v="60.45"/>
        <n v="29.952"/>
        <n v="83.72"/>
        <n v="39.1168"/>
        <n v="115.36"/>
        <n v="5.16"/>
        <n v="185.88"/>
        <n v="44.46"/>
        <n v="39.96"/>
        <n v="7.36"/>
        <n v="153.1776"/>
        <n v="2.89"/>
        <n v="12.7488"/>
        <n v="13.473"/>
        <n v="342.441"/>
        <n v="34.44"/>
        <n v="153.728"/>
        <n v="322.59"/>
        <n v="1.7676"/>
        <n v="54.7776"/>
        <n v="30.84"/>
        <n v="13.48"/>
        <n v="31.4"/>
        <n v="17.46"/>
        <n v="11.1552"/>
        <n v="83.76"/>
        <n v="37.66"/>
        <n v="34.68"/>
        <n v="149.95"/>
        <n v="4.54"/>
        <n v="155.82"/>
        <n v="12.5184"/>
        <n v="103.6"/>
        <n v="46.96"/>
        <n v="2.6712"/>
        <n v="8.352"/>
        <n v="259.1808"/>
        <n v="258.5088"/>
        <n v="1199.8"/>
        <n v="46.94"/>
        <n v="69.9426"/>
        <n v="119.4816"/>
        <n v="85.14"/>
        <n v="673.2544"/>
        <n v="46.2"/>
        <n v="11.6736"/>
        <n v="9.7536"/>
        <n v="36.0448"/>
        <n v="159.99"/>
        <n v="17.12"/>
        <n v="4.8768"/>
        <n v="196.5825"/>
        <n v="413.1904"/>
        <n v="20.3776"/>
        <n v="21.7344"/>
        <n v="173.8"/>
        <n v="23.6736"/>
        <n v="204.6"/>
        <n v="6.24"/>
        <n v="21.88"/>
        <n v="3.6864"/>
        <n v="9.82"/>
        <n v="101.6832"/>
        <n v="160.93"/>
        <n v="0.324"/>
        <n v="2753.9838"/>
        <n v="34.02"/>
        <n v="539.3628"/>
        <n v="2.7136"/>
        <n v="6.3744"/>
        <n v="0.2224"/>
        <n v="520.05"/>
        <n v="933.536"/>
        <n v="11.6992"/>
        <n v="10.23"/>
        <n v="2715.93"/>
        <n v="10.67"/>
        <n v="44.02"/>
        <n v="2309.65"/>
        <n v="484.65"/>
        <n v="92.2368"/>
        <n v="5.664"/>
        <n v="44.75"/>
        <n v="76.7872"/>
        <n v="151.72"/>
        <n v="155.25"/>
        <n v="1618.37"/>
        <n v="13.96"/>
        <n v="22.74"/>
        <n v="4.9664"/>
        <n v="9.4464"/>
        <n v="177.2"/>
        <n v="12.5568"/>
        <n v="86.62"/>
        <n v="29.2992"/>
        <n v="19.1744"/>
        <n v="697.16"/>
        <n v="236.32"/>
        <n v="348.56"/>
        <n v="299.98"/>
        <n v="295.6352"/>
        <n v="18.912"/>
        <n v="17.8944"/>
        <n v="36.4"/>
        <n v="499.168"/>
        <n v="257.76"/>
        <n v="22.05"/>
        <n v="90.86"/>
        <n v="7.78"/>
        <n v="23.6277"/>
        <n v="3.8208"/>
        <n v="8.28"/>
        <n v="40.1088"/>
        <n v="26.4222"/>
        <n v="150.735"/>
        <n v="27.46"/>
        <n v="444.768"/>
        <n v="103.6416"/>
        <n v="5.5008"/>
        <n v="380.7552"/>
        <n v="159.98"/>
        <n v="43.6"/>
        <n v="6.6304"/>
        <n v="0.5616"/>
        <n v="99.98"/>
        <n v="138.56"/>
        <n v="11.6608"/>
        <n v="15.4496"/>
        <n v="40.08"/>
        <n v="101.96"/>
        <n v="1.3014"/>
        <n v="405.86"/>
        <m/>
      </sharedItems>
    </cacheField>
    <cacheField name="Error flag" numFmtId="0">
      <sharedItems count="2">
        <s v="OK"/>
        <s v="Check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39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1"/>
    <x v="1"/>
    <x v="1"/>
    <x v="0"/>
    <x v="1"/>
    <x v="1"/>
    <x v="1"/>
    <x v="0"/>
    <x v="1"/>
    <x v="1"/>
    <x v="1"/>
    <x v="1"/>
    <x v="1"/>
    <x v="1"/>
    <x v="1"/>
    <x v="1"/>
    <x v="1"/>
    <x v="0"/>
    <x v="0"/>
    <x v="1"/>
    <x v="1"/>
    <x v="1"/>
    <x v="1"/>
  </r>
  <r>
    <x v="2"/>
    <x v="2"/>
    <x v="2"/>
    <x v="2"/>
    <x v="1"/>
    <x v="2"/>
    <x v="2"/>
    <x v="0"/>
    <x v="0"/>
    <x v="2"/>
    <x v="2"/>
    <x v="2"/>
    <x v="0"/>
    <x v="2"/>
    <x v="0"/>
    <x v="2"/>
    <x v="2"/>
    <x v="2"/>
    <x v="1"/>
    <x v="1"/>
    <x v="2"/>
    <x v="2"/>
    <x v="2"/>
    <x v="1"/>
  </r>
  <r>
    <x v="3"/>
    <x v="3"/>
    <x v="3"/>
    <x v="3"/>
    <x v="1"/>
    <x v="3"/>
    <x v="3"/>
    <x v="0"/>
    <x v="0"/>
    <x v="1"/>
    <x v="1"/>
    <x v="3"/>
    <x v="1"/>
    <x v="3"/>
    <x v="0"/>
    <x v="3"/>
    <x v="3"/>
    <x v="3"/>
    <x v="2"/>
    <x v="0"/>
    <x v="3"/>
    <x v="3"/>
    <x v="3"/>
    <x v="1"/>
  </r>
  <r>
    <x v="4"/>
    <x v="4"/>
    <x v="4"/>
    <x v="4"/>
    <x v="1"/>
    <x v="4"/>
    <x v="4"/>
    <x v="0"/>
    <x v="0"/>
    <x v="3"/>
    <x v="3"/>
    <x v="4"/>
    <x v="0"/>
    <x v="4"/>
    <x v="1"/>
    <x v="4"/>
    <x v="4"/>
    <x v="4"/>
    <x v="3"/>
    <x v="2"/>
    <x v="4"/>
    <x v="4"/>
    <x v="4"/>
    <x v="1"/>
  </r>
  <r>
    <x v="5"/>
    <x v="5"/>
    <x v="5"/>
    <x v="5"/>
    <x v="1"/>
    <x v="5"/>
    <x v="5"/>
    <x v="0"/>
    <x v="0"/>
    <x v="4"/>
    <x v="4"/>
    <x v="5"/>
    <x v="1"/>
    <x v="5"/>
    <x v="1"/>
    <x v="5"/>
    <x v="5"/>
    <x v="5"/>
    <x v="3"/>
    <x v="2"/>
    <x v="5"/>
    <x v="5"/>
    <x v="5"/>
    <x v="1"/>
  </r>
  <r>
    <x v="6"/>
    <x v="6"/>
    <x v="6"/>
    <x v="6"/>
    <x v="1"/>
    <x v="6"/>
    <x v="6"/>
    <x v="2"/>
    <x v="0"/>
    <x v="5"/>
    <x v="5"/>
    <x v="6"/>
    <x v="2"/>
    <x v="6"/>
    <x v="1"/>
    <x v="6"/>
    <x v="6"/>
    <x v="6"/>
    <x v="1"/>
    <x v="3"/>
    <x v="6"/>
    <x v="6"/>
    <x v="6"/>
    <x v="1"/>
  </r>
  <r>
    <x v="7"/>
    <x v="7"/>
    <x v="7"/>
    <x v="7"/>
    <x v="1"/>
    <x v="7"/>
    <x v="7"/>
    <x v="0"/>
    <x v="0"/>
    <x v="6"/>
    <x v="6"/>
    <x v="7"/>
    <x v="2"/>
    <x v="7"/>
    <x v="1"/>
    <x v="7"/>
    <x v="7"/>
    <x v="7"/>
    <x v="4"/>
    <x v="0"/>
    <x v="7"/>
    <x v="7"/>
    <x v="7"/>
    <x v="1"/>
  </r>
  <r>
    <x v="8"/>
    <x v="8"/>
    <x v="8"/>
    <x v="8"/>
    <x v="0"/>
    <x v="8"/>
    <x v="8"/>
    <x v="0"/>
    <x v="0"/>
    <x v="7"/>
    <x v="7"/>
    <x v="8"/>
    <x v="1"/>
    <x v="8"/>
    <x v="1"/>
    <x v="7"/>
    <x v="8"/>
    <x v="8"/>
    <x v="0"/>
    <x v="0"/>
    <x v="8"/>
    <x v="8"/>
    <x v="8"/>
    <x v="1"/>
  </r>
  <r>
    <x v="9"/>
    <x v="9"/>
    <x v="9"/>
    <x v="9"/>
    <x v="0"/>
    <x v="9"/>
    <x v="9"/>
    <x v="0"/>
    <x v="0"/>
    <x v="8"/>
    <x v="1"/>
    <x v="9"/>
    <x v="1"/>
    <x v="9"/>
    <x v="1"/>
    <x v="8"/>
    <x v="9"/>
    <x v="9"/>
    <x v="0"/>
    <x v="0"/>
    <x v="9"/>
    <x v="9"/>
    <x v="9"/>
    <x v="1"/>
  </r>
  <r>
    <x v="10"/>
    <x v="10"/>
    <x v="10"/>
    <x v="10"/>
    <x v="1"/>
    <x v="10"/>
    <x v="10"/>
    <x v="1"/>
    <x v="0"/>
    <x v="9"/>
    <x v="8"/>
    <x v="10"/>
    <x v="2"/>
    <x v="10"/>
    <x v="1"/>
    <x v="8"/>
    <x v="10"/>
    <x v="10"/>
    <x v="2"/>
    <x v="0"/>
    <x v="10"/>
    <x v="10"/>
    <x v="10"/>
    <x v="1"/>
  </r>
  <r>
    <x v="11"/>
    <x v="11"/>
    <x v="11"/>
    <x v="11"/>
    <x v="0"/>
    <x v="11"/>
    <x v="11"/>
    <x v="0"/>
    <x v="0"/>
    <x v="10"/>
    <x v="9"/>
    <x v="11"/>
    <x v="3"/>
    <x v="11"/>
    <x v="0"/>
    <x v="9"/>
    <x v="11"/>
    <x v="11"/>
    <x v="0"/>
    <x v="4"/>
    <x v="11"/>
    <x v="11"/>
    <x v="11"/>
    <x v="1"/>
  </r>
  <r>
    <x v="12"/>
    <x v="12"/>
    <x v="12"/>
    <x v="12"/>
    <x v="1"/>
    <x v="12"/>
    <x v="12"/>
    <x v="0"/>
    <x v="0"/>
    <x v="11"/>
    <x v="7"/>
    <x v="12"/>
    <x v="1"/>
    <x v="2"/>
    <x v="0"/>
    <x v="2"/>
    <x v="2"/>
    <x v="12"/>
    <x v="3"/>
    <x v="0"/>
    <x v="12"/>
    <x v="12"/>
    <x v="12"/>
    <x v="1"/>
  </r>
  <r>
    <x v="13"/>
    <x v="13"/>
    <x v="13"/>
    <x v="13"/>
    <x v="0"/>
    <x v="13"/>
    <x v="13"/>
    <x v="0"/>
    <x v="0"/>
    <x v="1"/>
    <x v="1"/>
    <x v="13"/>
    <x v="1"/>
    <x v="12"/>
    <x v="1"/>
    <x v="5"/>
    <x v="12"/>
    <x v="13"/>
    <x v="0"/>
    <x v="2"/>
    <x v="13"/>
    <x v="13"/>
    <x v="13"/>
    <x v="1"/>
  </r>
  <r>
    <x v="14"/>
    <x v="14"/>
    <x v="14"/>
    <x v="14"/>
    <x v="1"/>
    <x v="14"/>
    <x v="14"/>
    <x v="0"/>
    <x v="0"/>
    <x v="10"/>
    <x v="9"/>
    <x v="11"/>
    <x v="3"/>
    <x v="13"/>
    <x v="0"/>
    <x v="0"/>
    <x v="13"/>
    <x v="14"/>
    <x v="2"/>
    <x v="5"/>
    <x v="14"/>
    <x v="14"/>
    <x v="14"/>
    <x v="1"/>
  </r>
  <r>
    <x v="15"/>
    <x v="15"/>
    <x v="15"/>
    <x v="15"/>
    <x v="0"/>
    <x v="15"/>
    <x v="15"/>
    <x v="2"/>
    <x v="0"/>
    <x v="12"/>
    <x v="5"/>
    <x v="14"/>
    <x v="2"/>
    <x v="14"/>
    <x v="1"/>
    <x v="4"/>
    <x v="14"/>
    <x v="15"/>
    <x v="3"/>
    <x v="2"/>
    <x v="15"/>
    <x v="15"/>
    <x v="15"/>
    <x v="1"/>
  </r>
  <r>
    <x v="16"/>
    <x v="16"/>
    <x v="16"/>
    <x v="5"/>
    <x v="2"/>
    <x v="16"/>
    <x v="16"/>
    <x v="1"/>
    <x v="0"/>
    <x v="13"/>
    <x v="5"/>
    <x v="15"/>
    <x v="2"/>
    <x v="15"/>
    <x v="2"/>
    <x v="10"/>
    <x v="15"/>
    <x v="16"/>
    <x v="2"/>
    <x v="2"/>
    <x v="16"/>
    <x v="16"/>
    <x v="16"/>
    <x v="1"/>
  </r>
  <r>
    <x v="17"/>
    <x v="17"/>
    <x v="17"/>
    <x v="16"/>
    <x v="1"/>
    <x v="17"/>
    <x v="17"/>
    <x v="2"/>
    <x v="0"/>
    <x v="12"/>
    <x v="5"/>
    <x v="16"/>
    <x v="2"/>
    <x v="16"/>
    <x v="1"/>
    <x v="11"/>
    <x v="16"/>
    <x v="17"/>
    <x v="5"/>
    <x v="2"/>
    <x v="17"/>
    <x v="17"/>
    <x v="17"/>
    <x v="1"/>
  </r>
  <r>
    <x v="18"/>
    <x v="18"/>
    <x v="18"/>
    <x v="17"/>
    <x v="1"/>
    <x v="18"/>
    <x v="18"/>
    <x v="1"/>
    <x v="0"/>
    <x v="14"/>
    <x v="10"/>
    <x v="17"/>
    <x v="2"/>
    <x v="17"/>
    <x v="2"/>
    <x v="10"/>
    <x v="17"/>
    <x v="18"/>
    <x v="6"/>
    <x v="2"/>
    <x v="18"/>
    <x v="18"/>
    <x v="18"/>
    <x v="1"/>
  </r>
  <r>
    <x v="19"/>
    <x v="19"/>
    <x v="19"/>
    <x v="18"/>
    <x v="1"/>
    <x v="19"/>
    <x v="19"/>
    <x v="1"/>
    <x v="0"/>
    <x v="1"/>
    <x v="1"/>
    <x v="13"/>
    <x v="1"/>
    <x v="18"/>
    <x v="1"/>
    <x v="7"/>
    <x v="18"/>
    <x v="19"/>
    <x v="0"/>
    <x v="0"/>
    <x v="19"/>
    <x v="19"/>
    <x v="19"/>
    <x v="1"/>
  </r>
  <r>
    <x v="20"/>
    <x v="20"/>
    <x v="20"/>
    <x v="19"/>
    <x v="1"/>
    <x v="20"/>
    <x v="20"/>
    <x v="1"/>
    <x v="0"/>
    <x v="15"/>
    <x v="2"/>
    <x v="18"/>
    <x v="0"/>
    <x v="19"/>
    <x v="1"/>
    <x v="7"/>
    <x v="19"/>
    <x v="20"/>
    <x v="0"/>
    <x v="2"/>
    <x v="20"/>
    <x v="20"/>
    <x v="20"/>
    <x v="1"/>
  </r>
  <r>
    <x v="21"/>
    <x v="21"/>
    <x v="21"/>
    <x v="20"/>
    <x v="2"/>
    <x v="21"/>
    <x v="21"/>
    <x v="1"/>
    <x v="0"/>
    <x v="16"/>
    <x v="11"/>
    <x v="19"/>
    <x v="2"/>
    <x v="20"/>
    <x v="2"/>
    <x v="12"/>
    <x v="20"/>
    <x v="21"/>
    <x v="0"/>
    <x v="0"/>
    <x v="21"/>
    <x v="21"/>
    <x v="21"/>
    <x v="1"/>
  </r>
  <r>
    <x v="22"/>
    <x v="22"/>
    <x v="22"/>
    <x v="21"/>
    <x v="0"/>
    <x v="22"/>
    <x v="22"/>
    <x v="0"/>
    <x v="0"/>
    <x v="17"/>
    <x v="12"/>
    <x v="20"/>
    <x v="2"/>
    <x v="21"/>
    <x v="1"/>
    <x v="7"/>
    <x v="21"/>
    <x v="22"/>
    <x v="6"/>
    <x v="0"/>
    <x v="22"/>
    <x v="22"/>
    <x v="22"/>
    <x v="1"/>
  </r>
  <r>
    <x v="23"/>
    <x v="23"/>
    <x v="23"/>
    <x v="22"/>
    <x v="1"/>
    <x v="23"/>
    <x v="23"/>
    <x v="0"/>
    <x v="0"/>
    <x v="18"/>
    <x v="13"/>
    <x v="21"/>
    <x v="3"/>
    <x v="22"/>
    <x v="2"/>
    <x v="12"/>
    <x v="22"/>
    <x v="23"/>
    <x v="3"/>
    <x v="0"/>
    <x v="23"/>
    <x v="23"/>
    <x v="23"/>
    <x v="1"/>
  </r>
  <r>
    <x v="24"/>
    <x v="24"/>
    <x v="24"/>
    <x v="23"/>
    <x v="1"/>
    <x v="24"/>
    <x v="24"/>
    <x v="0"/>
    <x v="0"/>
    <x v="19"/>
    <x v="14"/>
    <x v="22"/>
    <x v="2"/>
    <x v="23"/>
    <x v="1"/>
    <x v="5"/>
    <x v="23"/>
    <x v="24"/>
    <x v="4"/>
    <x v="0"/>
    <x v="24"/>
    <x v="24"/>
    <x v="24"/>
    <x v="1"/>
  </r>
  <r>
    <x v="25"/>
    <x v="25"/>
    <x v="25"/>
    <x v="24"/>
    <x v="1"/>
    <x v="25"/>
    <x v="25"/>
    <x v="1"/>
    <x v="0"/>
    <x v="20"/>
    <x v="15"/>
    <x v="23"/>
    <x v="3"/>
    <x v="24"/>
    <x v="1"/>
    <x v="13"/>
    <x v="24"/>
    <x v="25"/>
    <x v="2"/>
    <x v="0"/>
    <x v="25"/>
    <x v="25"/>
    <x v="25"/>
    <x v="1"/>
  </r>
  <r>
    <x v="26"/>
    <x v="26"/>
    <x v="26"/>
    <x v="25"/>
    <x v="2"/>
    <x v="26"/>
    <x v="26"/>
    <x v="0"/>
    <x v="0"/>
    <x v="21"/>
    <x v="15"/>
    <x v="24"/>
    <x v="3"/>
    <x v="25"/>
    <x v="1"/>
    <x v="7"/>
    <x v="25"/>
    <x v="26"/>
    <x v="4"/>
    <x v="0"/>
    <x v="26"/>
    <x v="26"/>
    <x v="26"/>
    <x v="1"/>
  </r>
  <r>
    <x v="27"/>
    <x v="27"/>
    <x v="27"/>
    <x v="26"/>
    <x v="1"/>
    <x v="27"/>
    <x v="27"/>
    <x v="0"/>
    <x v="0"/>
    <x v="1"/>
    <x v="1"/>
    <x v="25"/>
    <x v="1"/>
    <x v="26"/>
    <x v="2"/>
    <x v="12"/>
    <x v="26"/>
    <x v="27"/>
    <x v="0"/>
    <x v="0"/>
    <x v="27"/>
    <x v="27"/>
    <x v="27"/>
    <x v="0"/>
  </r>
  <r>
    <x v="28"/>
    <x v="28"/>
    <x v="28"/>
    <x v="27"/>
    <x v="1"/>
    <x v="28"/>
    <x v="28"/>
    <x v="2"/>
    <x v="0"/>
    <x v="22"/>
    <x v="10"/>
    <x v="26"/>
    <x v="2"/>
    <x v="27"/>
    <x v="0"/>
    <x v="9"/>
    <x v="27"/>
    <x v="28"/>
    <x v="1"/>
    <x v="4"/>
    <x v="28"/>
    <x v="28"/>
    <x v="28"/>
    <x v="1"/>
  </r>
  <r>
    <x v="29"/>
    <x v="29"/>
    <x v="29"/>
    <x v="28"/>
    <x v="1"/>
    <x v="29"/>
    <x v="29"/>
    <x v="1"/>
    <x v="0"/>
    <x v="23"/>
    <x v="16"/>
    <x v="27"/>
    <x v="1"/>
    <x v="28"/>
    <x v="1"/>
    <x v="8"/>
    <x v="28"/>
    <x v="29"/>
    <x v="7"/>
    <x v="2"/>
    <x v="29"/>
    <x v="29"/>
    <x v="29"/>
    <x v="1"/>
  </r>
  <r>
    <x v="30"/>
    <x v="30"/>
    <x v="30"/>
    <x v="29"/>
    <x v="2"/>
    <x v="30"/>
    <x v="30"/>
    <x v="0"/>
    <x v="0"/>
    <x v="24"/>
    <x v="17"/>
    <x v="28"/>
    <x v="0"/>
    <x v="29"/>
    <x v="1"/>
    <x v="4"/>
    <x v="29"/>
    <x v="30"/>
    <x v="0"/>
    <x v="0"/>
    <x v="30"/>
    <x v="30"/>
    <x v="30"/>
    <x v="1"/>
  </r>
  <r>
    <x v="31"/>
    <x v="31"/>
    <x v="31"/>
    <x v="30"/>
    <x v="1"/>
    <x v="31"/>
    <x v="31"/>
    <x v="0"/>
    <x v="0"/>
    <x v="20"/>
    <x v="15"/>
    <x v="29"/>
    <x v="3"/>
    <x v="30"/>
    <x v="1"/>
    <x v="5"/>
    <x v="30"/>
    <x v="31"/>
    <x v="8"/>
    <x v="2"/>
    <x v="31"/>
    <x v="31"/>
    <x v="31"/>
    <x v="1"/>
  </r>
  <r>
    <x v="32"/>
    <x v="32"/>
    <x v="32"/>
    <x v="31"/>
    <x v="0"/>
    <x v="14"/>
    <x v="14"/>
    <x v="0"/>
    <x v="0"/>
    <x v="25"/>
    <x v="12"/>
    <x v="30"/>
    <x v="2"/>
    <x v="31"/>
    <x v="1"/>
    <x v="4"/>
    <x v="31"/>
    <x v="32"/>
    <x v="3"/>
    <x v="0"/>
    <x v="32"/>
    <x v="32"/>
    <x v="32"/>
    <x v="1"/>
  </r>
  <r>
    <x v="33"/>
    <x v="33"/>
    <x v="33"/>
    <x v="32"/>
    <x v="1"/>
    <x v="32"/>
    <x v="32"/>
    <x v="0"/>
    <x v="0"/>
    <x v="26"/>
    <x v="18"/>
    <x v="31"/>
    <x v="0"/>
    <x v="32"/>
    <x v="0"/>
    <x v="9"/>
    <x v="32"/>
    <x v="33"/>
    <x v="7"/>
    <x v="2"/>
    <x v="33"/>
    <x v="33"/>
    <x v="33"/>
    <x v="1"/>
  </r>
  <r>
    <x v="34"/>
    <x v="34"/>
    <x v="34"/>
    <x v="33"/>
    <x v="2"/>
    <x v="33"/>
    <x v="33"/>
    <x v="1"/>
    <x v="0"/>
    <x v="12"/>
    <x v="5"/>
    <x v="16"/>
    <x v="2"/>
    <x v="33"/>
    <x v="1"/>
    <x v="5"/>
    <x v="33"/>
    <x v="34"/>
    <x v="3"/>
    <x v="3"/>
    <x v="34"/>
    <x v="34"/>
    <x v="34"/>
    <x v="1"/>
  </r>
  <r>
    <x v="35"/>
    <x v="35"/>
    <x v="35"/>
    <x v="34"/>
    <x v="0"/>
    <x v="32"/>
    <x v="32"/>
    <x v="0"/>
    <x v="0"/>
    <x v="12"/>
    <x v="5"/>
    <x v="32"/>
    <x v="2"/>
    <x v="34"/>
    <x v="0"/>
    <x v="3"/>
    <x v="34"/>
    <x v="35"/>
    <x v="1"/>
    <x v="6"/>
    <x v="35"/>
    <x v="35"/>
    <x v="35"/>
    <x v="1"/>
  </r>
  <r>
    <x v="36"/>
    <x v="36"/>
    <x v="1"/>
    <x v="35"/>
    <x v="2"/>
    <x v="34"/>
    <x v="34"/>
    <x v="1"/>
    <x v="0"/>
    <x v="27"/>
    <x v="19"/>
    <x v="33"/>
    <x v="0"/>
    <x v="35"/>
    <x v="1"/>
    <x v="6"/>
    <x v="35"/>
    <x v="36"/>
    <x v="8"/>
    <x v="0"/>
    <x v="36"/>
    <x v="36"/>
    <x v="36"/>
    <x v="1"/>
  </r>
  <r>
    <x v="37"/>
    <x v="37"/>
    <x v="36"/>
    <x v="36"/>
    <x v="1"/>
    <x v="35"/>
    <x v="35"/>
    <x v="0"/>
    <x v="0"/>
    <x v="8"/>
    <x v="1"/>
    <x v="34"/>
    <x v="1"/>
    <x v="36"/>
    <x v="1"/>
    <x v="8"/>
    <x v="36"/>
    <x v="37"/>
    <x v="1"/>
    <x v="0"/>
    <x v="37"/>
    <x v="37"/>
    <x v="37"/>
    <x v="1"/>
  </r>
  <r>
    <x v="38"/>
    <x v="38"/>
    <x v="37"/>
    <x v="37"/>
    <x v="1"/>
    <x v="36"/>
    <x v="36"/>
    <x v="1"/>
    <x v="0"/>
    <x v="28"/>
    <x v="3"/>
    <x v="35"/>
    <x v="0"/>
    <x v="37"/>
    <x v="1"/>
    <x v="11"/>
    <x v="37"/>
    <x v="38"/>
    <x v="2"/>
    <x v="2"/>
    <x v="38"/>
    <x v="38"/>
    <x v="38"/>
    <x v="1"/>
  </r>
  <r>
    <x v="39"/>
    <x v="39"/>
    <x v="38"/>
    <x v="38"/>
    <x v="2"/>
    <x v="37"/>
    <x v="37"/>
    <x v="2"/>
    <x v="0"/>
    <x v="22"/>
    <x v="10"/>
    <x v="36"/>
    <x v="2"/>
    <x v="38"/>
    <x v="1"/>
    <x v="7"/>
    <x v="38"/>
    <x v="39"/>
    <x v="3"/>
    <x v="2"/>
    <x v="39"/>
    <x v="39"/>
    <x v="39"/>
    <x v="1"/>
  </r>
  <r>
    <x v="40"/>
    <x v="40"/>
    <x v="39"/>
    <x v="39"/>
    <x v="0"/>
    <x v="22"/>
    <x v="22"/>
    <x v="0"/>
    <x v="0"/>
    <x v="29"/>
    <x v="20"/>
    <x v="37"/>
    <x v="0"/>
    <x v="39"/>
    <x v="0"/>
    <x v="9"/>
    <x v="39"/>
    <x v="40"/>
    <x v="0"/>
    <x v="0"/>
    <x v="40"/>
    <x v="40"/>
    <x v="40"/>
    <x v="1"/>
  </r>
  <r>
    <x v="41"/>
    <x v="41"/>
    <x v="40"/>
    <x v="40"/>
    <x v="1"/>
    <x v="38"/>
    <x v="38"/>
    <x v="0"/>
    <x v="0"/>
    <x v="30"/>
    <x v="11"/>
    <x v="38"/>
    <x v="2"/>
    <x v="40"/>
    <x v="2"/>
    <x v="12"/>
    <x v="40"/>
    <x v="41"/>
    <x v="8"/>
    <x v="0"/>
    <x v="41"/>
    <x v="41"/>
    <x v="41"/>
    <x v="1"/>
  </r>
  <r>
    <x v="42"/>
    <x v="42"/>
    <x v="41"/>
    <x v="41"/>
    <x v="0"/>
    <x v="39"/>
    <x v="39"/>
    <x v="2"/>
    <x v="0"/>
    <x v="12"/>
    <x v="5"/>
    <x v="14"/>
    <x v="2"/>
    <x v="41"/>
    <x v="1"/>
    <x v="7"/>
    <x v="41"/>
    <x v="42"/>
    <x v="2"/>
    <x v="2"/>
    <x v="42"/>
    <x v="42"/>
    <x v="42"/>
    <x v="1"/>
  </r>
  <r>
    <x v="43"/>
    <x v="43"/>
    <x v="42"/>
    <x v="42"/>
    <x v="1"/>
    <x v="40"/>
    <x v="40"/>
    <x v="1"/>
    <x v="0"/>
    <x v="1"/>
    <x v="1"/>
    <x v="1"/>
    <x v="1"/>
    <x v="42"/>
    <x v="1"/>
    <x v="8"/>
    <x v="42"/>
    <x v="43"/>
    <x v="3"/>
    <x v="0"/>
    <x v="43"/>
    <x v="43"/>
    <x v="43"/>
    <x v="1"/>
  </r>
  <r>
    <x v="44"/>
    <x v="44"/>
    <x v="43"/>
    <x v="43"/>
    <x v="0"/>
    <x v="41"/>
    <x v="41"/>
    <x v="0"/>
    <x v="0"/>
    <x v="31"/>
    <x v="11"/>
    <x v="39"/>
    <x v="2"/>
    <x v="43"/>
    <x v="1"/>
    <x v="4"/>
    <x v="43"/>
    <x v="44"/>
    <x v="0"/>
    <x v="0"/>
    <x v="44"/>
    <x v="44"/>
    <x v="44"/>
    <x v="1"/>
  </r>
  <r>
    <x v="45"/>
    <x v="45"/>
    <x v="44"/>
    <x v="44"/>
    <x v="1"/>
    <x v="42"/>
    <x v="42"/>
    <x v="2"/>
    <x v="0"/>
    <x v="32"/>
    <x v="21"/>
    <x v="40"/>
    <x v="1"/>
    <x v="44"/>
    <x v="1"/>
    <x v="5"/>
    <x v="44"/>
    <x v="45"/>
    <x v="8"/>
    <x v="7"/>
    <x v="45"/>
    <x v="45"/>
    <x v="45"/>
    <x v="1"/>
  </r>
  <r>
    <x v="46"/>
    <x v="46"/>
    <x v="45"/>
    <x v="45"/>
    <x v="0"/>
    <x v="43"/>
    <x v="43"/>
    <x v="2"/>
    <x v="0"/>
    <x v="20"/>
    <x v="15"/>
    <x v="29"/>
    <x v="3"/>
    <x v="45"/>
    <x v="0"/>
    <x v="3"/>
    <x v="45"/>
    <x v="46"/>
    <x v="2"/>
    <x v="0"/>
    <x v="46"/>
    <x v="46"/>
    <x v="46"/>
    <x v="1"/>
  </r>
  <r>
    <x v="47"/>
    <x v="47"/>
    <x v="46"/>
    <x v="46"/>
    <x v="2"/>
    <x v="44"/>
    <x v="44"/>
    <x v="0"/>
    <x v="0"/>
    <x v="8"/>
    <x v="1"/>
    <x v="34"/>
    <x v="1"/>
    <x v="46"/>
    <x v="1"/>
    <x v="5"/>
    <x v="46"/>
    <x v="47"/>
    <x v="3"/>
    <x v="2"/>
    <x v="47"/>
    <x v="47"/>
    <x v="47"/>
    <x v="1"/>
  </r>
  <r>
    <x v="48"/>
    <x v="48"/>
    <x v="47"/>
    <x v="47"/>
    <x v="1"/>
    <x v="45"/>
    <x v="45"/>
    <x v="1"/>
    <x v="0"/>
    <x v="33"/>
    <x v="11"/>
    <x v="41"/>
    <x v="2"/>
    <x v="47"/>
    <x v="1"/>
    <x v="6"/>
    <x v="47"/>
    <x v="19"/>
    <x v="4"/>
    <x v="0"/>
    <x v="48"/>
    <x v="48"/>
    <x v="19"/>
    <x v="1"/>
  </r>
  <r>
    <x v="49"/>
    <x v="49"/>
    <x v="48"/>
    <x v="48"/>
    <x v="1"/>
    <x v="46"/>
    <x v="46"/>
    <x v="2"/>
    <x v="0"/>
    <x v="22"/>
    <x v="10"/>
    <x v="26"/>
    <x v="2"/>
    <x v="48"/>
    <x v="1"/>
    <x v="4"/>
    <x v="48"/>
    <x v="48"/>
    <x v="2"/>
    <x v="2"/>
    <x v="49"/>
    <x v="49"/>
    <x v="48"/>
    <x v="1"/>
  </r>
  <r>
    <x v="50"/>
    <x v="50"/>
    <x v="49"/>
    <x v="49"/>
    <x v="0"/>
    <x v="47"/>
    <x v="47"/>
    <x v="0"/>
    <x v="0"/>
    <x v="30"/>
    <x v="11"/>
    <x v="38"/>
    <x v="2"/>
    <x v="49"/>
    <x v="1"/>
    <x v="4"/>
    <x v="49"/>
    <x v="49"/>
    <x v="6"/>
    <x v="0"/>
    <x v="50"/>
    <x v="50"/>
    <x v="49"/>
    <x v="1"/>
  </r>
  <r>
    <x v="51"/>
    <x v="51"/>
    <x v="50"/>
    <x v="50"/>
    <x v="1"/>
    <x v="48"/>
    <x v="48"/>
    <x v="0"/>
    <x v="0"/>
    <x v="34"/>
    <x v="22"/>
    <x v="42"/>
    <x v="1"/>
    <x v="50"/>
    <x v="2"/>
    <x v="12"/>
    <x v="50"/>
    <x v="50"/>
    <x v="4"/>
    <x v="2"/>
    <x v="51"/>
    <x v="51"/>
    <x v="50"/>
    <x v="1"/>
  </r>
  <r>
    <x v="52"/>
    <x v="52"/>
    <x v="51"/>
    <x v="51"/>
    <x v="1"/>
    <x v="49"/>
    <x v="49"/>
    <x v="0"/>
    <x v="0"/>
    <x v="35"/>
    <x v="3"/>
    <x v="43"/>
    <x v="0"/>
    <x v="51"/>
    <x v="2"/>
    <x v="12"/>
    <x v="51"/>
    <x v="51"/>
    <x v="7"/>
    <x v="2"/>
    <x v="52"/>
    <x v="52"/>
    <x v="51"/>
    <x v="1"/>
  </r>
  <r>
    <x v="53"/>
    <x v="53"/>
    <x v="52"/>
    <x v="52"/>
    <x v="1"/>
    <x v="50"/>
    <x v="50"/>
    <x v="2"/>
    <x v="0"/>
    <x v="36"/>
    <x v="10"/>
    <x v="44"/>
    <x v="2"/>
    <x v="52"/>
    <x v="2"/>
    <x v="12"/>
    <x v="52"/>
    <x v="52"/>
    <x v="1"/>
    <x v="2"/>
    <x v="53"/>
    <x v="53"/>
    <x v="52"/>
    <x v="1"/>
  </r>
  <r>
    <x v="54"/>
    <x v="54"/>
    <x v="53"/>
    <x v="53"/>
    <x v="1"/>
    <x v="51"/>
    <x v="51"/>
    <x v="1"/>
    <x v="0"/>
    <x v="20"/>
    <x v="15"/>
    <x v="45"/>
    <x v="3"/>
    <x v="53"/>
    <x v="0"/>
    <x v="3"/>
    <x v="53"/>
    <x v="53"/>
    <x v="0"/>
    <x v="0"/>
    <x v="54"/>
    <x v="54"/>
    <x v="53"/>
    <x v="1"/>
  </r>
  <r>
    <x v="55"/>
    <x v="55"/>
    <x v="54"/>
    <x v="54"/>
    <x v="1"/>
    <x v="52"/>
    <x v="52"/>
    <x v="0"/>
    <x v="0"/>
    <x v="37"/>
    <x v="23"/>
    <x v="46"/>
    <x v="2"/>
    <x v="54"/>
    <x v="1"/>
    <x v="8"/>
    <x v="54"/>
    <x v="54"/>
    <x v="0"/>
    <x v="0"/>
    <x v="55"/>
    <x v="55"/>
    <x v="54"/>
    <x v="1"/>
  </r>
  <r>
    <x v="56"/>
    <x v="56"/>
    <x v="55"/>
    <x v="55"/>
    <x v="0"/>
    <x v="53"/>
    <x v="53"/>
    <x v="0"/>
    <x v="0"/>
    <x v="38"/>
    <x v="24"/>
    <x v="47"/>
    <x v="3"/>
    <x v="55"/>
    <x v="1"/>
    <x v="13"/>
    <x v="55"/>
    <x v="55"/>
    <x v="9"/>
    <x v="2"/>
    <x v="56"/>
    <x v="56"/>
    <x v="55"/>
    <x v="1"/>
  </r>
  <r>
    <x v="57"/>
    <x v="57"/>
    <x v="56"/>
    <x v="56"/>
    <x v="1"/>
    <x v="54"/>
    <x v="54"/>
    <x v="0"/>
    <x v="0"/>
    <x v="4"/>
    <x v="4"/>
    <x v="5"/>
    <x v="1"/>
    <x v="56"/>
    <x v="0"/>
    <x v="2"/>
    <x v="56"/>
    <x v="56"/>
    <x v="3"/>
    <x v="0"/>
    <x v="57"/>
    <x v="57"/>
    <x v="56"/>
    <x v="1"/>
  </r>
  <r>
    <x v="58"/>
    <x v="58"/>
    <x v="57"/>
    <x v="57"/>
    <x v="1"/>
    <x v="55"/>
    <x v="55"/>
    <x v="1"/>
    <x v="0"/>
    <x v="39"/>
    <x v="18"/>
    <x v="48"/>
    <x v="0"/>
    <x v="57"/>
    <x v="1"/>
    <x v="5"/>
    <x v="57"/>
    <x v="57"/>
    <x v="8"/>
    <x v="7"/>
    <x v="58"/>
    <x v="58"/>
    <x v="57"/>
    <x v="1"/>
  </r>
  <r>
    <x v="59"/>
    <x v="59"/>
    <x v="1"/>
    <x v="35"/>
    <x v="2"/>
    <x v="56"/>
    <x v="56"/>
    <x v="0"/>
    <x v="0"/>
    <x v="40"/>
    <x v="13"/>
    <x v="49"/>
    <x v="3"/>
    <x v="58"/>
    <x v="0"/>
    <x v="3"/>
    <x v="58"/>
    <x v="58"/>
    <x v="3"/>
    <x v="0"/>
    <x v="59"/>
    <x v="59"/>
    <x v="58"/>
    <x v="1"/>
  </r>
  <r>
    <x v="60"/>
    <x v="60"/>
    <x v="58"/>
    <x v="58"/>
    <x v="0"/>
    <x v="57"/>
    <x v="57"/>
    <x v="2"/>
    <x v="0"/>
    <x v="12"/>
    <x v="5"/>
    <x v="16"/>
    <x v="2"/>
    <x v="59"/>
    <x v="0"/>
    <x v="9"/>
    <x v="59"/>
    <x v="59"/>
    <x v="3"/>
    <x v="4"/>
    <x v="60"/>
    <x v="60"/>
    <x v="59"/>
    <x v="1"/>
  </r>
  <r>
    <x v="61"/>
    <x v="61"/>
    <x v="59"/>
    <x v="59"/>
    <x v="1"/>
    <x v="58"/>
    <x v="58"/>
    <x v="0"/>
    <x v="0"/>
    <x v="41"/>
    <x v="10"/>
    <x v="50"/>
    <x v="2"/>
    <x v="60"/>
    <x v="0"/>
    <x v="2"/>
    <x v="60"/>
    <x v="60"/>
    <x v="4"/>
    <x v="5"/>
    <x v="61"/>
    <x v="61"/>
    <x v="60"/>
    <x v="1"/>
  </r>
  <r>
    <x v="62"/>
    <x v="62"/>
    <x v="60"/>
    <x v="44"/>
    <x v="1"/>
    <x v="59"/>
    <x v="59"/>
    <x v="0"/>
    <x v="0"/>
    <x v="42"/>
    <x v="16"/>
    <x v="51"/>
    <x v="1"/>
    <x v="61"/>
    <x v="1"/>
    <x v="5"/>
    <x v="61"/>
    <x v="61"/>
    <x v="0"/>
    <x v="7"/>
    <x v="62"/>
    <x v="62"/>
    <x v="61"/>
    <x v="1"/>
  </r>
  <r>
    <x v="63"/>
    <x v="63"/>
    <x v="61"/>
    <x v="54"/>
    <x v="0"/>
    <x v="60"/>
    <x v="60"/>
    <x v="2"/>
    <x v="0"/>
    <x v="1"/>
    <x v="1"/>
    <x v="25"/>
    <x v="1"/>
    <x v="27"/>
    <x v="0"/>
    <x v="9"/>
    <x v="62"/>
    <x v="62"/>
    <x v="0"/>
    <x v="2"/>
    <x v="63"/>
    <x v="63"/>
    <x v="62"/>
    <x v="1"/>
  </r>
  <r>
    <x v="64"/>
    <x v="64"/>
    <x v="62"/>
    <x v="60"/>
    <x v="2"/>
    <x v="61"/>
    <x v="61"/>
    <x v="1"/>
    <x v="0"/>
    <x v="38"/>
    <x v="24"/>
    <x v="47"/>
    <x v="3"/>
    <x v="62"/>
    <x v="2"/>
    <x v="10"/>
    <x v="63"/>
    <x v="63"/>
    <x v="1"/>
    <x v="8"/>
    <x v="64"/>
    <x v="64"/>
    <x v="63"/>
    <x v="1"/>
  </r>
  <r>
    <x v="65"/>
    <x v="65"/>
    <x v="63"/>
    <x v="61"/>
    <x v="1"/>
    <x v="62"/>
    <x v="62"/>
    <x v="0"/>
    <x v="0"/>
    <x v="43"/>
    <x v="1"/>
    <x v="52"/>
    <x v="1"/>
    <x v="63"/>
    <x v="1"/>
    <x v="4"/>
    <x v="64"/>
    <x v="64"/>
    <x v="3"/>
    <x v="0"/>
    <x v="65"/>
    <x v="65"/>
    <x v="64"/>
    <x v="1"/>
  </r>
  <r>
    <x v="66"/>
    <x v="66"/>
    <x v="64"/>
    <x v="62"/>
    <x v="0"/>
    <x v="63"/>
    <x v="63"/>
    <x v="1"/>
    <x v="0"/>
    <x v="10"/>
    <x v="9"/>
    <x v="11"/>
    <x v="3"/>
    <x v="64"/>
    <x v="0"/>
    <x v="3"/>
    <x v="65"/>
    <x v="65"/>
    <x v="0"/>
    <x v="2"/>
    <x v="66"/>
    <x v="66"/>
    <x v="65"/>
    <x v="1"/>
  </r>
  <r>
    <x v="67"/>
    <x v="67"/>
    <x v="65"/>
    <x v="19"/>
    <x v="1"/>
    <x v="64"/>
    <x v="64"/>
    <x v="1"/>
    <x v="0"/>
    <x v="8"/>
    <x v="1"/>
    <x v="34"/>
    <x v="1"/>
    <x v="65"/>
    <x v="1"/>
    <x v="8"/>
    <x v="66"/>
    <x v="66"/>
    <x v="3"/>
    <x v="0"/>
    <x v="67"/>
    <x v="67"/>
    <x v="66"/>
    <x v="1"/>
  </r>
  <r>
    <x v="68"/>
    <x v="68"/>
    <x v="66"/>
    <x v="63"/>
    <x v="1"/>
    <x v="65"/>
    <x v="65"/>
    <x v="0"/>
    <x v="0"/>
    <x v="44"/>
    <x v="25"/>
    <x v="53"/>
    <x v="2"/>
    <x v="66"/>
    <x v="1"/>
    <x v="6"/>
    <x v="67"/>
    <x v="67"/>
    <x v="3"/>
    <x v="0"/>
    <x v="68"/>
    <x v="68"/>
    <x v="67"/>
    <x v="1"/>
  </r>
  <r>
    <x v="69"/>
    <x v="69"/>
    <x v="67"/>
    <x v="64"/>
    <x v="1"/>
    <x v="66"/>
    <x v="66"/>
    <x v="0"/>
    <x v="0"/>
    <x v="45"/>
    <x v="1"/>
    <x v="54"/>
    <x v="1"/>
    <x v="38"/>
    <x v="1"/>
    <x v="7"/>
    <x v="38"/>
    <x v="68"/>
    <x v="2"/>
    <x v="0"/>
    <x v="69"/>
    <x v="69"/>
    <x v="68"/>
    <x v="1"/>
  </r>
  <r>
    <x v="70"/>
    <x v="70"/>
    <x v="68"/>
    <x v="65"/>
    <x v="1"/>
    <x v="67"/>
    <x v="67"/>
    <x v="2"/>
    <x v="0"/>
    <x v="46"/>
    <x v="24"/>
    <x v="55"/>
    <x v="3"/>
    <x v="67"/>
    <x v="0"/>
    <x v="3"/>
    <x v="68"/>
    <x v="69"/>
    <x v="6"/>
    <x v="2"/>
    <x v="70"/>
    <x v="70"/>
    <x v="69"/>
    <x v="1"/>
  </r>
  <r>
    <x v="71"/>
    <x v="71"/>
    <x v="5"/>
    <x v="66"/>
    <x v="1"/>
    <x v="68"/>
    <x v="68"/>
    <x v="1"/>
    <x v="0"/>
    <x v="47"/>
    <x v="6"/>
    <x v="56"/>
    <x v="2"/>
    <x v="68"/>
    <x v="2"/>
    <x v="10"/>
    <x v="69"/>
    <x v="70"/>
    <x v="10"/>
    <x v="0"/>
    <x v="71"/>
    <x v="71"/>
    <x v="70"/>
    <x v="1"/>
  </r>
  <r>
    <x v="72"/>
    <x v="72"/>
    <x v="69"/>
    <x v="67"/>
    <x v="2"/>
    <x v="69"/>
    <x v="69"/>
    <x v="2"/>
    <x v="0"/>
    <x v="48"/>
    <x v="16"/>
    <x v="57"/>
    <x v="1"/>
    <x v="69"/>
    <x v="1"/>
    <x v="6"/>
    <x v="70"/>
    <x v="71"/>
    <x v="1"/>
    <x v="2"/>
    <x v="72"/>
    <x v="72"/>
    <x v="71"/>
    <x v="1"/>
  </r>
  <r>
    <x v="73"/>
    <x v="73"/>
    <x v="70"/>
    <x v="68"/>
    <x v="2"/>
    <x v="70"/>
    <x v="70"/>
    <x v="1"/>
    <x v="0"/>
    <x v="49"/>
    <x v="1"/>
    <x v="58"/>
    <x v="1"/>
    <x v="70"/>
    <x v="1"/>
    <x v="4"/>
    <x v="71"/>
    <x v="72"/>
    <x v="2"/>
    <x v="0"/>
    <x v="73"/>
    <x v="73"/>
    <x v="72"/>
    <x v="1"/>
  </r>
  <r>
    <x v="74"/>
    <x v="74"/>
    <x v="71"/>
    <x v="69"/>
    <x v="1"/>
    <x v="71"/>
    <x v="71"/>
    <x v="2"/>
    <x v="0"/>
    <x v="4"/>
    <x v="4"/>
    <x v="59"/>
    <x v="1"/>
    <x v="71"/>
    <x v="1"/>
    <x v="8"/>
    <x v="72"/>
    <x v="73"/>
    <x v="3"/>
    <x v="0"/>
    <x v="74"/>
    <x v="74"/>
    <x v="73"/>
    <x v="1"/>
  </r>
  <r>
    <x v="75"/>
    <x v="75"/>
    <x v="72"/>
    <x v="70"/>
    <x v="0"/>
    <x v="72"/>
    <x v="72"/>
    <x v="0"/>
    <x v="0"/>
    <x v="4"/>
    <x v="4"/>
    <x v="60"/>
    <x v="1"/>
    <x v="59"/>
    <x v="0"/>
    <x v="9"/>
    <x v="59"/>
    <x v="74"/>
    <x v="0"/>
    <x v="2"/>
    <x v="75"/>
    <x v="75"/>
    <x v="74"/>
    <x v="1"/>
  </r>
  <r>
    <x v="76"/>
    <x v="76"/>
    <x v="73"/>
    <x v="71"/>
    <x v="1"/>
    <x v="73"/>
    <x v="73"/>
    <x v="0"/>
    <x v="0"/>
    <x v="50"/>
    <x v="26"/>
    <x v="61"/>
    <x v="2"/>
    <x v="72"/>
    <x v="1"/>
    <x v="1"/>
    <x v="73"/>
    <x v="1"/>
    <x v="0"/>
    <x v="0"/>
    <x v="1"/>
    <x v="1"/>
    <x v="1"/>
    <x v="1"/>
  </r>
  <r>
    <x v="77"/>
    <x v="77"/>
    <x v="74"/>
    <x v="72"/>
    <x v="2"/>
    <x v="74"/>
    <x v="74"/>
    <x v="0"/>
    <x v="0"/>
    <x v="1"/>
    <x v="1"/>
    <x v="62"/>
    <x v="1"/>
    <x v="73"/>
    <x v="1"/>
    <x v="4"/>
    <x v="74"/>
    <x v="75"/>
    <x v="8"/>
    <x v="0"/>
    <x v="76"/>
    <x v="76"/>
    <x v="75"/>
    <x v="1"/>
  </r>
  <r>
    <x v="78"/>
    <x v="78"/>
    <x v="75"/>
    <x v="16"/>
    <x v="0"/>
    <x v="75"/>
    <x v="75"/>
    <x v="0"/>
    <x v="0"/>
    <x v="10"/>
    <x v="9"/>
    <x v="63"/>
    <x v="3"/>
    <x v="74"/>
    <x v="2"/>
    <x v="12"/>
    <x v="75"/>
    <x v="76"/>
    <x v="0"/>
    <x v="2"/>
    <x v="77"/>
    <x v="77"/>
    <x v="76"/>
    <x v="1"/>
  </r>
  <r>
    <x v="79"/>
    <x v="79"/>
    <x v="76"/>
    <x v="73"/>
    <x v="1"/>
    <x v="76"/>
    <x v="76"/>
    <x v="0"/>
    <x v="0"/>
    <x v="51"/>
    <x v="27"/>
    <x v="64"/>
    <x v="1"/>
    <x v="75"/>
    <x v="1"/>
    <x v="11"/>
    <x v="76"/>
    <x v="77"/>
    <x v="1"/>
    <x v="0"/>
    <x v="78"/>
    <x v="78"/>
    <x v="77"/>
    <x v="1"/>
  </r>
  <r>
    <x v="80"/>
    <x v="80"/>
    <x v="77"/>
    <x v="0"/>
    <x v="1"/>
    <x v="77"/>
    <x v="77"/>
    <x v="0"/>
    <x v="0"/>
    <x v="4"/>
    <x v="4"/>
    <x v="60"/>
    <x v="1"/>
    <x v="76"/>
    <x v="1"/>
    <x v="5"/>
    <x v="77"/>
    <x v="78"/>
    <x v="0"/>
    <x v="2"/>
    <x v="79"/>
    <x v="79"/>
    <x v="78"/>
    <x v="1"/>
  </r>
  <r>
    <x v="81"/>
    <x v="81"/>
    <x v="78"/>
    <x v="74"/>
    <x v="1"/>
    <x v="78"/>
    <x v="78"/>
    <x v="0"/>
    <x v="0"/>
    <x v="52"/>
    <x v="5"/>
    <x v="65"/>
    <x v="2"/>
    <x v="77"/>
    <x v="1"/>
    <x v="8"/>
    <x v="78"/>
    <x v="79"/>
    <x v="3"/>
    <x v="2"/>
    <x v="80"/>
    <x v="80"/>
    <x v="79"/>
    <x v="1"/>
  </r>
  <r>
    <x v="82"/>
    <x v="82"/>
    <x v="79"/>
    <x v="75"/>
    <x v="1"/>
    <x v="79"/>
    <x v="79"/>
    <x v="0"/>
    <x v="0"/>
    <x v="1"/>
    <x v="1"/>
    <x v="25"/>
    <x v="1"/>
    <x v="78"/>
    <x v="1"/>
    <x v="4"/>
    <x v="79"/>
    <x v="80"/>
    <x v="3"/>
    <x v="0"/>
    <x v="81"/>
    <x v="81"/>
    <x v="80"/>
    <x v="1"/>
  </r>
  <r>
    <x v="83"/>
    <x v="83"/>
    <x v="80"/>
    <x v="76"/>
    <x v="1"/>
    <x v="80"/>
    <x v="80"/>
    <x v="1"/>
    <x v="0"/>
    <x v="22"/>
    <x v="10"/>
    <x v="36"/>
    <x v="2"/>
    <x v="79"/>
    <x v="1"/>
    <x v="6"/>
    <x v="80"/>
    <x v="81"/>
    <x v="0"/>
    <x v="3"/>
    <x v="82"/>
    <x v="82"/>
    <x v="81"/>
    <x v="1"/>
  </r>
  <r>
    <x v="84"/>
    <x v="84"/>
    <x v="81"/>
    <x v="77"/>
    <x v="0"/>
    <x v="81"/>
    <x v="81"/>
    <x v="0"/>
    <x v="0"/>
    <x v="12"/>
    <x v="5"/>
    <x v="66"/>
    <x v="2"/>
    <x v="80"/>
    <x v="1"/>
    <x v="6"/>
    <x v="81"/>
    <x v="82"/>
    <x v="6"/>
    <x v="3"/>
    <x v="83"/>
    <x v="83"/>
    <x v="82"/>
    <x v="1"/>
  </r>
  <r>
    <x v="85"/>
    <x v="85"/>
    <x v="82"/>
    <x v="78"/>
    <x v="0"/>
    <x v="32"/>
    <x v="32"/>
    <x v="0"/>
    <x v="0"/>
    <x v="46"/>
    <x v="24"/>
    <x v="55"/>
    <x v="3"/>
    <x v="81"/>
    <x v="0"/>
    <x v="9"/>
    <x v="82"/>
    <x v="83"/>
    <x v="2"/>
    <x v="4"/>
    <x v="84"/>
    <x v="84"/>
    <x v="83"/>
    <x v="1"/>
  </r>
  <r>
    <x v="86"/>
    <x v="86"/>
    <x v="83"/>
    <x v="79"/>
    <x v="1"/>
    <x v="82"/>
    <x v="82"/>
    <x v="2"/>
    <x v="0"/>
    <x v="20"/>
    <x v="15"/>
    <x v="29"/>
    <x v="3"/>
    <x v="82"/>
    <x v="1"/>
    <x v="8"/>
    <x v="83"/>
    <x v="84"/>
    <x v="8"/>
    <x v="0"/>
    <x v="85"/>
    <x v="85"/>
    <x v="84"/>
    <x v="1"/>
  </r>
  <r>
    <x v="87"/>
    <x v="87"/>
    <x v="29"/>
    <x v="80"/>
    <x v="0"/>
    <x v="83"/>
    <x v="83"/>
    <x v="1"/>
    <x v="0"/>
    <x v="27"/>
    <x v="10"/>
    <x v="67"/>
    <x v="2"/>
    <x v="83"/>
    <x v="1"/>
    <x v="7"/>
    <x v="84"/>
    <x v="85"/>
    <x v="0"/>
    <x v="2"/>
    <x v="86"/>
    <x v="86"/>
    <x v="85"/>
    <x v="1"/>
  </r>
  <r>
    <x v="88"/>
    <x v="88"/>
    <x v="84"/>
    <x v="81"/>
    <x v="0"/>
    <x v="84"/>
    <x v="84"/>
    <x v="2"/>
    <x v="0"/>
    <x v="53"/>
    <x v="28"/>
    <x v="68"/>
    <x v="0"/>
    <x v="84"/>
    <x v="2"/>
    <x v="10"/>
    <x v="85"/>
    <x v="86"/>
    <x v="6"/>
    <x v="0"/>
    <x v="87"/>
    <x v="87"/>
    <x v="86"/>
    <x v="1"/>
  </r>
  <r>
    <x v="89"/>
    <x v="89"/>
    <x v="85"/>
    <x v="82"/>
    <x v="1"/>
    <x v="85"/>
    <x v="85"/>
    <x v="0"/>
    <x v="0"/>
    <x v="54"/>
    <x v="29"/>
    <x v="69"/>
    <x v="3"/>
    <x v="85"/>
    <x v="1"/>
    <x v="5"/>
    <x v="86"/>
    <x v="87"/>
    <x v="0"/>
    <x v="0"/>
    <x v="88"/>
    <x v="88"/>
    <x v="87"/>
    <x v="1"/>
  </r>
  <r>
    <x v="90"/>
    <x v="90"/>
    <x v="86"/>
    <x v="83"/>
    <x v="1"/>
    <x v="86"/>
    <x v="86"/>
    <x v="2"/>
    <x v="0"/>
    <x v="1"/>
    <x v="1"/>
    <x v="3"/>
    <x v="1"/>
    <x v="86"/>
    <x v="2"/>
    <x v="12"/>
    <x v="87"/>
    <x v="88"/>
    <x v="7"/>
    <x v="0"/>
    <x v="89"/>
    <x v="89"/>
    <x v="88"/>
    <x v="1"/>
  </r>
  <r>
    <x v="91"/>
    <x v="91"/>
    <x v="87"/>
    <x v="18"/>
    <x v="1"/>
    <x v="87"/>
    <x v="87"/>
    <x v="1"/>
    <x v="0"/>
    <x v="55"/>
    <x v="5"/>
    <x v="70"/>
    <x v="2"/>
    <x v="87"/>
    <x v="1"/>
    <x v="7"/>
    <x v="88"/>
    <x v="89"/>
    <x v="3"/>
    <x v="2"/>
    <x v="90"/>
    <x v="90"/>
    <x v="89"/>
    <x v="1"/>
  </r>
  <r>
    <x v="92"/>
    <x v="92"/>
    <x v="88"/>
    <x v="84"/>
    <x v="2"/>
    <x v="88"/>
    <x v="88"/>
    <x v="2"/>
    <x v="0"/>
    <x v="20"/>
    <x v="15"/>
    <x v="45"/>
    <x v="3"/>
    <x v="88"/>
    <x v="0"/>
    <x v="0"/>
    <x v="89"/>
    <x v="90"/>
    <x v="6"/>
    <x v="2"/>
    <x v="91"/>
    <x v="91"/>
    <x v="90"/>
    <x v="1"/>
  </r>
  <r>
    <x v="93"/>
    <x v="93"/>
    <x v="89"/>
    <x v="85"/>
    <x v="1"/>
    <x v="89"/>
    <x v="89"/>
    <x v="1"/>
    <x v="0"/>
    <x v="56"/>
    <x v="1"/>
    <x v="71"/>
    <x v="1"/>
    <x v="89"/>
    <x v="1"/>
    <x v="11"/>
    <x v="90"/>
    <x v="91"/>
    <x v="2"/>
    <x v="0"/>
    <x v="92"/>
    <x v="92"/>
    <x v="91"/>
    <x v="1"/>
  </r>
  <r>
    <x v="94"/>
    <x v="94"/>
    <x v="90"/>
    <x v="86"/>
    <x v="1"/>
    <x v="90"/>
    <x v="90"/>
    <x v="0"/>
    <x v="0"/>
    <x v="57"/>
    <x v="24"/>
    <x v="72"/>
    <x v="3"/>
    <x v="90"/>
    <x v="1"/>
    <x v="8"/>
    <x v="91"/>
    <x v="92"/>
    <x v="0"/>
    <x v="2"/>
    <x v="93"/>
    <x v="93"/>
    <x v="92"/>
    <x v="1"/>
  </r>
  <r>
    <x v="95"/>
    <x v="95"/>
    <x v="44"/>
    <x v="87"/>
    <x v="1"/>
    <x v="91"/>
    <x v="91"/>
    <x v="2"/>
    <x v="0"/>
    <x v="58"/>
    <x v="30"/>
    <x v="73"/>
    <x v="3"/>
    <x v="91"/>
    <x v="1"/>
    <x v="7"/>
    <x v="92"/>
    <x v="93"/>
    <x v="3"/>
    <x v="0"/>
    <x v="94"/>
    <x v="94"/>
    <x v="93"/>
    <x v="1"/>
  </r>
  <r>
    <x v="96"/>
    <x v="96"/>
    <x v="91"/>
    <x v="88"/>
    <x v="1"/>
    <x v="92"/>
    <x v="92"/>
    <x v="1"/>
    <x v="0"/>
    <x v="10"/>
    <x v="9"/>
    <x v="74"/>
    <x v="3"/>
    <x v="92"/>
    <x v="1"/>
    <x v="5"/>
    <x v="93"/>
    <x v="94"/>
    <x v="0"/>
    <x v="7"/>
    <x v="95"/>
    <x v="95"/>
    <x v="94"/>
    <x v="1"/>
  </r>
  <r>
    <x v="97"/>
    <x v="97"/>
    <x v="92"/>
    <x v="89"/>
    <x v="1"/>
    <x v="93"/>
    <x v="93"/>
    <x v="0"/>
    <x v="0"/>
    <x v="59"/>
    <x v="24"/>
    <x v="75"/>
    <x v="3"/>
    <x v="93"/>
    <x v="1"/>
    <x v="4"/>
    <x v="94"/>
    <x v="95"/>
    <x v="3"/>
    <x v="2"/>
    <x v="96"/>
    <x v="96"/>
    <x v="95"/>
    <x v="1"/>
  </r>
  <r>
    <x v="98"/>
    <x v="98"/>
    <x v="93"/>
    <x v="90"/>
    <x v="2"/>
    <x v="94"/>
    <x v="94"/>
    <x v="0"/>
    <x v="0"/>
    <x v="60"/>
    <x v="22"/>
    <x v="76"/>
    <x v="1"/>
    <x v="94"/>
    <x v="0"/>
    <x v="2"/>
    <x v="95"/>
    <x v="96"/>
    <x v="0"/>
    <x v="5"/>
    <x v="97"/>
    <x v="97"/>
    <x v="96"/>
    <x v="1"/>
  </r>
  <r>
    <x v="99"/>
    <x v="99"/>
    <x v="94"/>
    <x v="91"/>
    <x v="0"/>
    <x v="95"/>
    <x v="95"/>
    <x v="0"/>
    <x v="0"/>
    <x v="61"/>
    <x v="5"/>
    <x v="77"/>
    <x v="2"/>
    <x v="95"/>
    <x v="1"/>
    <x v="6"/>
    <x v="96"/>
    <x v="97"/>
    <x v="0"/>
    <x v="3"/>
    <x v="98"/>
    <x v="98"/>
    <x v="97"/>
    <x v="1"/>
  </r>
  <r>
    <x v="100"/>
    <x v="100"/>
    <x v="95"/>
    <x v="92"/>
    <x v="1"/>
    <x v="96"/>
    <x v="96"/>
    <x v="1"/>
    <x v="0"/>
    <x v="47"/>
    <x v="18"/>
    <x v="78"/>
    <x v="0"/>
    <x v="96"/>
    <x v="0"/>
    <x v="3"/>
    <x v="97"/>
    <x v="98"/>
    <x v="2"/>
    <x v="2"/>
    <x v="99"/>
    <x v="99"/>
    <x v="98"/>
    <x v="1"/>
  </r>
  <r>
    <x v="101"/>
    <x v="101"/>
    <x v="34"/>
    <x v="93"/>
    <x v="1"/>
    <x v="97"/>
    <x v="97"/>
    <x v="0"/>
    <x v="0"/>
    <x v="62"/>
    <x v="1"/>
    <x v="79"/>
    <x v="1"/>
    <x v="97"/>
    <x v="2"/>
    <x v="10"/>
    <x v="98"/>
    <x v="99"/>
    <x v="6"/>
    <x v="2"/>
    <x v="100"/>
    <x v="100"/>
    <x v="99"/>
    <x v="1"/>
  </r>
  <r>
    <x v="102"/>
    <x v="102"/>
    <x v="96"/>
    <x v="94"/>
    <x v="1"/>
    <x v="98"/>
    <x v="98"/>
    <x v="0"/>
    <x v="0"/>
    <x v="63"/>
    <x v="12"/>
    <x v="80"/>
    <x v="2"/>
    <x v="98"/>
    <x v="1"/>
    <x v="7"/>
    <x v="99"/>
    <x v="100"/>
    <x v="6"/>
    <x v="0"/>
    <x v="101"/>
    <x v="101"/>
    <x v="100"/>
    <x v="1"/>
  </r>
  <r>
    <x v="103"/>
    <x v="103"/>
    <x v="97"/>
    <x v="95"/>
    <x v="0"/>
    <x v="99"/>
    <x v="99"/>
    <x v="1"/>
    <x v="0"/>
    <x v="61"/>
    <x v="5"/>
    <x v="77"/>
    <x v="2"/>
    <x v="99"/>
    <x v="2"/>
    <x v="12"/>
    <x v="100"/>
    <x v="101"/>
    <x v="0"/>
    <x v="2"/>
    <x v="102"/>
    <x v="102"/>
    <x v="101"/>
    <x v="1"/>
  </r>
  <r>
    <x v="104"/>
    <x v="104"/>
    <x v="98"/>
    <x v="96"/>
    <x v="1"/>
    <x v="100"/>
    <x v="100"/>
    <x v="1"/>
    <x v="0"/>
    <x v="64"/>
    <x v="24"/>
    <x v="81"/>
    <x v="3"/>
    <x v="100"/>
    <x v="1"/>
    <x v="1"/>
    <x v="101"/>
    <x v="102"/>
    <x v="0"/>
    <x v="2"/>
    <x v="103"/>
    <x v="103"/>
    <x v="102"/>
    <x v="1"/>
  </r>
  <r>
    <x v="105"/>
    <x v="105"/>
    <x v="99"/>
    <x v="97"/>
    <x v="1"/>
    <x v="101"/>
    <x v="101"/>
    <x v="0"/>
    <x v="0"/>
    <x v="1"/>
    <x v="1"/>
    <x v="3"/>
    <x v="1"/>
    <x v="87"/>
    <x v="1"/>
    <x v="7"/>
    <x v="88"/>
    <x v="103"/>
    <x v="4"/>
    <x v="0"/>
    <x v="104"/>
    <x v="104"/>
    <x v="103"/>
    <x v="1"/>
  </r>
  <r>
    <x v="106"/>
    <x v="106"/>
    <x v="100"/>
    <x v="98"/>
    <x v="2"/>
    <x v="102"/>
    <x v="102"/>
    <x v="0"/>
    <x v="0"/>
    <x v="65"/>
    <x v="24"/>
    <x v="82"/>
    <x v="3"/>
    <x v="101"/>
    <x v="1"/>
    <x v="13"/>
    <x v="102"/>
    <x v="104"/>
    <x v="0"/>
    <x v="2"/>
    <x v="105"/>
    <x v="105"/>
    <x v="104"/>
    <x v="1"/>
  </r>
  <r>
    <x v="107"/>
    <x v="107"/>
    <x v="101"/>
    <x v="99"/>
    <x v="1"/>
    <x v="103"/>
    <x v="103"/>
    <x v="1"/>
    <x v="0"/>
    <x v="66"/>
    <x v="12"/>
    <x v="83"/>
    <x v="2"/>
    <x v="102"/>
    <x v="1"/>
    <x v="8"/>
    <x v="103"/>
    <x v="105"/>
    <x v="8"/>
    <x v="0"/>
    <x v="106"/>
    <x v="106"/>
    <x v="105"/>
    <x v="1"/>
  </r>
  <r>
    <x v="108"/>
    <x v="108"/>
    <x v="102"/>
    <x v="100"/>
    <x v="1"/>
    <x v="104"/>
    <x v="104"/>
    <x v="0"/>
    <x v="0"/>
    <x v="29"/>
    <x v="18"/>
    <x v="84"/>
    <x v="0"/>
    <x v="103"/>
    <x v="0"/>
    <x v="9"/>
    <x v="104"/>
    <x v="106"/>
    <x v="0"/>
    <x v="2"/>
    <x v="107"/>
    <x v="107"/>
    <x v="106"/>
    <x v="1"/>
  </r>
  <r>
    <x v="109"/>
    <x v="109"/>
    <x v="103"/>
    <x v="101"/>
    <x v="1"/>
    <x v="105"/>
    <x v="105"/>
    <x v="1"/>
    <x v="0"/>
    <x v="35"/>
    <x v="3"/>
    <x v="43"/>
    <x v="0"/>
    <x v="104"/>
    <x v="1"/>
    <x v="5"/>
    <x v="105"/>
    <x v="107"/>
    <x v="2"/>
    <x v="7"/>
    <x v="108"/>
    <x v="108"/>
    <x v="107"/>
    <x v="1"/>
  </r>
  <r>
    <x v="110"/>
    <x v="110"/>
    <x v="104"/>
    <x v="102"/>
    <x v="1"/>
    <x v="37"/>
    <x v="37"/>
    <x v="2"/>
    <x v="0"/>
    <x v="67"/>
    <x v="2"/>
    <x v="85"/>
    <x v="0"/>
    <x v="105"/>
    <x v="0"/>
    <x v="2"/>
    <x v="106"/>
    <x v="108"/>
    <x v="0"/>
    <x v="1"/>
    <x v="109"/>
    <x v="109"/>
    <x v="108"/>
    <x v="1"/>
  </r>
  <r>
    <x v="111"/>
    <x v="111"/>
    <x v="105"/>
    <x v="38"/>
    <x v="1"/>
    <x v="106"/>
    <x v="106"/>
    <x v="1"/>
    <x v="0"/>
    <x v="68"/>
    <x v="1"/>
    <x v="86"/>
    <x v="1"/>
    <x v="106"/>
    <x v="1"/>
    <x v="4"/>
    <x v="107"/>
    <x v="109"/>
    <x v="0"/>
    <x v="0"/>
    <x v="110"/>
    <x v="110"/>
    <x v="109"/>
    <x v="1"/>
  </r>
  <r>
    <x v="112"/>
    <x v="112"/>
    <x v="30"/>
    <x v="103"/>
    <x v="0"/>
    <x v="107"/>
    <x v="107"/>
    <x v="0"/>
    <x v="0"/>
    <x v="22"/>
    <x v="10"/>
    <x v="26"/>
    <x v="2"/>
    <x v="107"/>
    <x v="1"/>
    <x v="4"/>
    <x v="108"/>
    <x v="110"/>
    <x v="1"/>
    <x v="2"/>
    <x v="111"/>
    <x v="111"/>
    <x v="110"/>
    <x v="1"/>
  </r>
  <r>
    <x v="113"/>
    <x v="113"/>
    <x v="106"/>
    <x v="104"/>
    <x v="0"/>
    <x v="108"/>
    <x v="108"/>
    <x v="2"/>
    <x v="0"/>
    <x v="69"/>
    <x v="11"/>
    <x v="87"/>
    <x v="2"/>
    <x v="59"/>
    <x v="0"/>
    <x v="9"/>
    <x v="59"/>
    <x v="111"/>
    <x v="2"/>
    <x v="0"/>
    <x v="112"/>
    <x v="112"/>
    <x v="111"/>
    <x v="1"/>
  </r>
  <r>
    <x v="114"/>
    <x v="114"/>
    <x v="107"/>
    <x v="105"/>
    <x v="0"/>
    <x v="109"/>
    <x v="109"/>
    <x v="0"/>
    <x v="0"/>
    <x v="8"/>
    <x v="1"/>
    <x v="9"/>
    <x v="1"/>
    <x v="108"/>
    <x v="0"/>
    <x v="9"/>
    <x v="109"/>
    <x v="112"/>
    <x v="0"/>
    <x v="2"/>
    <x v="113"/>
    <x v="113"/>
    <x v="112"/>
    <x v="1"/>
  </r>
  <r>
    <x v="115"/>
    <x v="115"/>
    <x v="108"/>
    <x v="106"/>
    <x v="1"/>
    <x v="110"/>
    <x v="110"/>
    <x v="0"/>
    <x v="0"/>
    <x v="70"/>
    <x v="1"/>
    <x v="88"/>
    <x v="1"/>
    <x v="109"/>
    <x v="1"/>
    <x v="4"/>
    <x v="110"/>
    <x v="113"/>
    <x v="8"/>
    <x v="0"/>
    <x v="114"/>
    <x v="114"/>
    <x v="113"/>
    <x v="1"/>
  </r>
  <r>
    <x v="116"/>
    <x v="116"/>
    <x v="107"/>
    <x v="10"/>
    <x v="2"/>
    <x v="111"/>
    <x v="111"/>
    <x v="0"/>
    <x v="0"/>
    <x v="20"/>
    <x v="15"/>
    <x v="23"/>
    <x v="3"/>
    <x v="110"/>
    <x v="1"/>
    <x v="7"/>
    <x v="111"/>
    <x v="114"/>
    <x v="4"/>
    <x v="0"/>
    <x v="115"/>
    <x v="115"/>
    <x v="114"/>
    <x v="1"/>
  </r>
  <r>
    <x v="117"/>
    <x v="117"/>
    <x v="109"/>
    <x v="107"/>
    <x v="1"/>
    <x v="112"/>
    <x v="112"/>
    <x v="1"/>
    <x v="0"/>
    <x v="22"/>
    <x v="10"/>
    <x v="36"/>
    <x v="2"/>
    <x v="111"/>
    <x v="0"/>
    <x v="3"/>
    <x v="112"/>
    <x v="115"/>
    <x v="5"/>
    <x v="6"/>
    <x v="116"/>
    <x v="116"/>
    <x v="115"/>
    <x v="1"/>
  </r>
  <r>
    <x v="118"/>
    <x v="118"/>
    <x v="96"/>
    <x v="108"/>
    <x v="0"/>
    <x v="113"/>
    <x v="113"/>
    <x v="0"/>
    <x v="0"/>
    <x v="20"/>
    <x v="15"/>
    <x v="29"/>
    <x v="3"/>
    <x v="112"/>
    <x v="2"/>
    <x v="12"/>
    <x v="113"/>
    <x v="116"/>
    <x v="3"/>
    <x v="0"/>
    <x v="117"/>
    <x v="117"/>
    <x v="116"/>
    <x v="1"/>
  </r>
  <r>
    <x v="119"/>
    <x v="119"/>
    <x v="110"/>
    <x v="109"/>
    <x v="1"/>
    <x v="114"/>
    <x v="114"/>
    <x v="1"/>
    <x v="0"/>
    <x v="45"/>
    <x v="5"/>
    <x v="89"/>
    <x v="2"/>
    <x v="113"/>
    <x v="1"/>
    <x v="6"/>
    <x v="114"/>
    <x v="117"/>
    <x v="0"/>
    <x v="3"/>
    <x v="118"/>
    <x v="118"/>
    <x v="117"/>
    <x v="1"/>
  </r>
  <r>
    <x v="120"/>
    <x v="120"/>
    <x v="111"/>
    <x v="110"/>
    <x v="0"/>
    <x v="115"/>
    <x v="115"/>
    <x v="1"/>
    <x v="0"/>
    <x v="12"/>
    <x v="5"/>
    <x v="66"/>
    <x v="2"/>
    <x v="114"/>
    <x v="2"/>
    <x v="14"/>
    <x v="115"/>
    <x v="118"/>
    <x v="3"/>
    <x v="8"/>
    <x v="119"/>
    <x v="119"/>
    <x v="118"/>
    <x v="1"/>
  </r>
  <r>
    <x v="121"/>
    <x v="121"/>
    <x v="112"/>
    <x v="111"/>
    <x v="1"/>
    <x v="116"/>
    <x v="116"/>
    <x v="0"/>
    <x v="0"/>
    <x v="22"/>
    <x v="10"/>
    <x v="26"/>
    <x v="2"/>
    <x v="115"/>
    <x v="2"/>
    <x v="10"/>
    <x v="116"/>
    <x v="119"/>
    <x v="6"/>
    <x v="2"/>
    <x v="120"/>
    <x v="120"/>
    <x v="119"/>
    <x v="1"/>
  </r>
  <r>
    <x v="122"/>
    <x v="122"/>
    <x v="113"/>
    <x v="112"/>
    <x v="1"/>
    <x v="117"/>
    <x v="117"/>
    <x v="0"/>
    <x v="0"/>
    <x v="71"/>
    <x v="1"/>
    <x v="90"/>
    <x v="1"/>
    <x v="116"/>
    <x v="2"/>
    <x v="12"/>
    <x v="117"/>
    <x v="120"/>
    <x v="0"/>
    <x v="0"/>
    <x v="121"/>
    <x v="121"/>
    <x v="120"/>
    <x v="1"/>
  </r>
  <r>
    <x v="123"/>
    <x v="123"/>
    <x v="114"/>
    <x v="46"/>
    <x v="1"/>
    <x v="118"/>
    <x v="118"/>
    <x v="1"/>
    <x v="0"/>
    <x v="72"/>
    <x v="3"/>
    <x v="91"/>
    <x v="0"/>
    <x v="117"/>
    <x v="1"/>
    <x v="8"/>
    <x v="118"/>
    <x v="121"/>
    <x v="3"/>
    <x v="2"/>
    <x v="122"/>
    <x v="122"/>
    <x v="121"/>
    <x v="1"/>
  </r>
  <r>
    <x v="124"/>
    <x v="124"/>
    <x v="115"/>
    <x v="113"/>
    <x v="1"/>
    <x v="38"/>
    <x v="38"/>
    <x v="0"/>
    <x v="0"/>
    <x v="73"/>
    <x v="30"/>
    <x v="92"/>
    <x v="3"/>
    <x v="118"/>
    <x v="1"/>
    <x v="13"/>
    <x v="119"/>
    <x v="122"/>
    <x v="4"/>
    <x v="0"/>
    <x v="123"/>
    <x v="123"/>
    <x v="122"/>
    <x v="1"/>
  </r>
  <r>
    <x v="125"/>
    <x v="125"/>
    <x v="34"/>
    <x v="114"/>
    <x v="1"/>
    <x v="119"/>
    <x v="119"/>
    <x v="1"/>
    <x v="0"/>
    <x v="74"/>
    <x v="24"/>
    <x v="93"/>
    <x v="3"/>
    <x v="119"/>
    <x v="1"/>
    <x v="7"/>
    <x v="120"/>
    <x v="123"/>
    <x v="8"/>
    <x v="2"/>
    <x v="124"/>
    <x v="124"/>
    <x v="123"/>
    <x v="1"/>
  </r>
  <r>
    <x v="126"/>
    <x v="126"/>
    <x v="116"/>
    <x v="115"/>
    <x v="0"/>
    <x v="120"/>
    <x v="120"/>
    <x v="1"/>
    <x v="0"/>
    <x v="8"/>
    <x v="1"/>
    <x v="94"/>
    <x v="1"/>
    <x v="120"/>
    <x v="1"/>
    <x v="7"/>
    <x v="121"/>
    <x v="124"/>
    <x v="6"/>
    <x v="0"/>
    <x v="125"/>
    <x v="125"/>
    <x v="124"/>
    <x v="1"/>
  </r>
  <r>
    <x v="127"/>
    <x v="127"/>
    <x v="117"/>
    <x v="116"/>
    <x v="2"/>
    <x v="66"/>
    <x v="66"/>
    <x v="0"/>
    <x v="0"/>
    <x v="8"/>
    <x v="1"/>
    <x v="9"/>
    <x v="1"/>
    <x v="121"/>
    <x v="2"/>
    <x v="12"/>
    <x v="122"/>
    <x v="125"/>
    <x v="2"/>
    <x v="0"/>
    <x v="126"/>
    <x v="126"/>
    <x v="125"/>
    <x v="1"/>
  </r>
  <r>
    <x v="128"/>
    <x v="128"/>
    <x v="118"/>
    <x v="31"/>
    <x v="2"/>
    <x v="121"/>
    <x v="121"/>
    <x v="1"/>
    <x v="0"/>
    <x v="75"/>
    <x v="1"/>
    <x v="95"/>
    <x v="1"/>
    <x v="122"/>
    <x v="1"/>
    <x v="4"/>
    <x v="123"/>
    <x v="66"/>
    <x v="0"/>
    <x v="0"/>
    <x v="127"/>
    <x v="127"/>
    <x v="66"/>
    <x v="1"/>
  </r>
  <r>
    <x v="129"/>
    <x v="129"/>
    <x v="119"/>
    <x v="117"/>
    <x v="1"/>
    <x v="122"/>
    <x v="122"/>
    <x v="1"/>
    <x v="0"/>
    <x v="10"/>
    <x v="9"/>
    <x v="11"/>
    <x v="3"/>
    <x v="123"/>
    <x v="1"/>
    <x v="4"/>
    <x v="124"/>
    <x v="13"/>
    <x v="0"/>
    <x v="2"/>
    <x v="128"/>
    <x v="128"/>
    <x v="13"/>
    <x v="1"/>
  </r>
  <r>
    <x v="130"/>
    <x v="130"/>
    <x v="120"/>
    <x v="118"/>
    <x v="0"/>
    <x v="56"/>
    <x v="56"/>
    <x v="0"/>
    <x v="0"/>
    <x v="12"/>
    <x v="5"/>
    <x v="32"/>
    <x v="2"/>
    <x v="124"/>
    <x v="1"/>
    <x v="5"/>
    <x v="125"/>
    <x v="126"/>
    <x v="1"/>
    <x v="3"/>
    <x v="129"/>
    <x v="129"/>
    <x v="126"/>
    <x v="1"/>
  </r>
  <r>
    <x v="131"/>
    <x v="131"/>
    <x v="121"/>
    <x v="85"/>
    <x v="1"/>
    <x v="123"/>
    <x v="123"/>
    <x v="0"/>
    <x v="0"/>
    <x v="1"/>
    <x v="1"/>
    <x v="25"/>
    <x v="1"/>
    <x v="125"/>
    <x v="0"/>
    <x v="2"/>
    <x v="126"/>
    <x v="127"/>
    <x v="1"/>
    <x v="2"/>
    <x v="130"/>
    <x v="130"/>
    <x v="127"/>
    <x v="1"/>
  </r>
  <r>
    <x v="132"/>
    <x v="132"/>
    <x v="120"/>
    <x v="119"/>
    <x v="1"/>
    <x v="14"/>
    <x v="14"/>
    <x v="0"/>
    <x v="0"/>
    <x v="32"/>
    <x v="21"/>
    <x v="40"/>
    <x v="1"/>
    <x v="126"/>
    <x v="1"/>
    <x v="4"/>
    <x v="14"/>
    <x v="128"/>
    <x v="1"/>
    <x v="2"/>
    <x v="131"/>
    <x v="131"/>
    <x v="128"/>
    <x v="1"/>
  </r>
  <r>
    <x v="133"/>
    <x v="133"/>
    <x v="122"/>
    <x v="120"/>
    <x v="0"/>
    <x v="124"/>
    <x v="124"/>
    <x v="1"/>
    <x v="0"/>
    <x v="76"/>
    <x v="2"/>
    <x v="96"/>
    <x v="0"/>
    <x v="127"/>
    <x v="1"/>
    <x v="5"/>
    <x v="127"/>
    <x v="129"/>
    <x v="2"/>
    <x v="7"/>
    <x v="132"/>
    <x v="132"/>
    <x v="129"/>
    <x v="1"/>
  </r>
  <r>
    <x v="134"/>
    <x v="134"/>
    <x v="73"/>
    <x v="71"/>
    <x v="0"/>
    <x v="125"/>
    <x v="125"/>
    <x v="2"/>
    <x v="0"/>
    <x v="38"/>
    <x v="24"/>
    <x v="47"/>
    <x v="3"/>
    <x v="128"/>
    <x v="1"/>
    <x v="13"/>
    <x v="128"/>
    <x v="130"/>
    <x v="2"/>
    <x v="2"/>
    <x v="133"/>
    <x v="133"/>
    <x v="130"/>
    <x v="1"/>
  </r>
  <r>
    <x v="135"/>
    <x v="135"/>
    <x v="58"/>
    <x v="58"/>
    <x v="2"/>
    <x v="126"/>
    <x v="126"/>
    <x v="1"/>
    <x v="0"/>
    <x v="77"/>
    <x v="22"/>
    <x v="97"/>
    <x v="1"/>
    <x v="129"/>
    <x v="0"/>
    <x v="3"/>
    <x v="129"/>
    <x v="131"/>
    <x v="7"/>
    <x v="2"/>
    <x v="134"/>
    <x v="134"/>
    <x v="131"/>
    <x v="1"/>
  </r>
  <r>
    <x v="136"/>
    <x v="136"/>
    <x v="99"/>
    <x v="121"/>
    <x v="1"/>
    <x v="63"/>
    <x v="63"/>
    <x v="1"/>
    <x v="0"/>
    <x v="78"/>
    <x v="30"/>
    <x v="98"/>
    <x v="3"/>
    <x v="130"/>
    <x v="1"/>
    <x v="4"/>
    <x v="130"/>
    <x v="132"/>
    <x v="1"/>
    <x v="0"/>
    <x v="135"/>
    <x v="135"/>
    <x v="132"/>
    <x v="1"/>
  </r>
  <r>
    <x v="137"/>
    <x v="137"/>
    <x v="123"/>
    <x v="122"/>
    <x v="1"/>
    <x v="101"/>
    <x v="101"/>
    <x v="0"/>
    <x v="0"/>
    <x v="22"/>
    <x v="10"/>
    <x v="36"/>
    <x v="2"/>
    <x v="131"/>
    <x v="0"/>
    <x v="2"/>
    <x v="131"/>
    <x v="133"/>
    <x v="3"/>
    <x v="5"/>
    <x v="136"/>
    <x v="136"/>
    <x v="133"/>
    <x v="1"/>
  </r>
  <r>
    <x v="138"/>
    <x v="138"/>
    <x v="124"/>
    <x v="123"/>
    <x v="0"/>
    <x v="127"/>
    <x v="127"/>
    <x v="1"/>
    <x v="0"/>
    <x v="20"/>
    <x v="15"/>
    <x v="23"/>
    <x v="3"/>
    <x v="132"/>
    <x v="0"/>
    <x v="3"/>
    <x v="132"/>
    <x v="134"/>
    <x v="0"/>
    <x v="0"/>
    <x v="137"/>
    <x v="137"/>
    <x v="134"/>
    <x v="1"/>
  </r>
  <r>
    <x v="139"/>
    <x v="139"/>
    <x v="125"/>
    <x v="124"/>
    <x v="1"/>
    <x v="33"/>
    <x v="33"/>
    <x v="1"/>
    <x v="0"/>
    <x v="79"/>
    <x v="12"/>
    <x v="99"/>
    <x v="2"/>
    <x v="133"/>
    <x v="1"/>
    <x v="8"/>
    <x v="133"/>
    <x v="135"/>
    <x v="3"/>
    <x v="0"/>
    <x v="138"/>
    <x v="138"/>
    <x v="135"/>
    <x v="1"/>
  </r>
  <r>
    <x v="140"/>
    <x v="140"/>
    <x v="106"/>
    <x v="104"/>
    <x v="1"/>
    <x v="128"/>
    <x v="128"/>
    <x v="2"/>
    <x v="0"/>
    <x v="80"/>
    <x v="30"/>
    <x v="100"/>
    <x v="3"/>
    <x v="134"/>
    <x v="1"/>
    <x v="5"/>
    <x v="134"/>
    <x v="136"/>
    <x v="3"/>
    <x v="0"/>
    <x v="139"/>
    <x v="139"/>
    <x v="136"/>
    <x v="1"/>
  </r>
  <r>
    <x v="141"/>
    <x v="141"/>
    <x v="4"/>
    <x v="125"/>
    <x v="2"/>
    <x v="129"/>
    <x v="129"/>
    <x v="0"/>
    <x v="0"/>
    <x v="81"/>
    <x v="17"/>
    <x v="101"/>
    <x v="0"/>
    <x v="135"/>
    <x v="1"/>
    <x v="8"/>
    <x v="135"/>
    <x v="137"/>
    <x v="8"/>
    <x v="0"/>
    <x v="140"/>
    <x v="140"/>
    <x v="137"/>
    <x v="1"/>
  </r>
  <r>
    <x v="142"/>
    <x v="142"/>
    <x v="126"/>
    <x v="126"/>
    <x v="0"/>
    <x v="130"/>
    <x v="130"/>
    <x v="1"/>
    <x v="0"/>
    <x v="82"/>
    <x v="22"/>
    <x v="102"/>
    <x v="1"/>
    <x v="136"/>
    <x v="0"/>
    <x v="3"/>
    <x v="136"/>
    <x v="138"/>
    <x v="6"/>
    <x v="2"/>
    <x v="141"/>
    <x v="141"/>
    <x v="138"/>
    <x v="1"/>
  </r>
  <r>
    <x v="143"/>
    <x v="143"/>
    <x v="127"/>
    <x v="127"/>
    <x v="1"/>
    <x v="131"/>
    <x v="131"/>
    <x v="1"/>
    <x v="0"/>
    <x v="83"/>
    <x v="30"/>
    <x v="103"/>
    <x v="3"/>
    <x v="137"/>
    <x v="0"/>
    <x v="3"/>
    <x v="137"/>
    <x v="139"/>
    <x v="3"/>
    <x v="0"/>
    <x v="142"/>
    <x v="142"/>
    <x v="139"/>
    <x v="1"/>
  </r>
  <r>
    <x v="144"/>
    <x v="144"/>
    <x v="128"/>
    <x v="128"/>
    <x v="1"/>
    <x v="132"/>
    <x v="132"/>
    <x v="1"/>
    <x v="0"/>
    <x v="84"/>
    <x v="2"/>
    <x v="104"/>
    <x v="0"/>
    <x v="138"/>
    <x v="2"/>
    <x v="10"/>
    <x v="138"/>
    <x v="140"/>
    <x v="0"/>
    <x v="2"/>
    <x v="143"/>
    <x v="143"/>
    <x v="140"/>
    <x v="1"/>
  </r>
  <r>
    <x v="145"/>
    <x v="145"/>
    <x v="129"/>
    <x v="129"/>
    <x v="2"/>
    <x v="133"/>
    <x v="133"/>
    <x v="1"/>
    <x v="0"/>
    <x v="10"/>
    <x v="9"/>
    <x v="105"/>
    <x v="3"/>
    <x v="139"/>
    <x v="1"/>
    <x v="8"/>
    <x v="139"/>
    <x v="141"/>
    <x v="6"/>
    <x v="2"/>
    <x v="144"/>
    <x v="144"/>
    <x v="141"/>
    <x v="1"/>
  </r>
  <r>
    <x v="146"/>
    <x v="146"/>
    <x v="130"/>
    <x v="130"/>
    <x v="1"/>
    <x v="134"/>
    <x v="134"/>
    <x v="2"/>
    <x v="0"/>
    <x v="20"/>
    <x v="15"/>
    <x v="23"/>
    <x v="3"/>
    <x v="140"/>
    <x v="0"/>
    <x v="9"/>
    <x v="140"/>
    <x v="142"/>
    <x v="8"/>
    <x v="9"/>
    <x v="145"/>
    <x v="145"/>
    <x v="142"/>
    <x v="1"/>
  </r>
  <r>
    <x v="147"/>
    <x v="147"/>
    <x v="111"/>
    <x v="131"/>
    <x v="1"/>
    <x v="135"/>
    <x v="135"/>
    <x v="1"/>
    <x v="0"/>
    <x v="85"/>
    <x v="1"/>
    <x v="106"/>
    <x v="1"/>
    <x v="141"/>
    <x v="1"/>
    <x v="13"/>
    <x v="141"/>
    <x v="87"/>
    <x v="0"/>
    <x v="0"/>
    <x v="146"/>
    <x v="146"/>
    <x v="87"/>
    <x v="1"/>
  </r>
  <r>
    <x v="148"/>
    <x v="148"/>
    <x v="131"/>
    <x v="132"/>
    <x v="1"/>
    <x v="136"/>
    <x v="136"/>
    <x v="1"/>
    <x v="0"/>
    <x v="86"/>
    <x v="1"/>
    <x v="107"/>
    <x v="1"/>
    <x v="142"/>
    <x v="1"/>
    <x v="5"/>
    <x v="142"/>
    <x v="143"/>
    <x v="4"/>
    <x v="2"/>
    <x v="147"/>
    <x v="147"/>
    <x v="143"/>
    <x v="1"/>
  </r>
  <r>
    <x v="149"/>
    <x v="149"/>
    <x v="132"/>
    <x v="133"/>
    <x v="0"/>
    <x v="137"/>
    <x v="137"/>
    <x v="1"/>
    <x v="0"/>
    <x v="87"/>
    <x v="18"/>
    <x v="108"/>
    <x v="0"/>
    <x v="143"/>
    <x v="0"/>
    <x v="3"/>
    <x v="143"/>
    <x v="144"/>
    <x v="8"/>
    <x v="2"/>
    <x v="148"/>
    <x v="148"/>
    <x v="144"/>
    <x v="1"/>
  </r>
  <r>
    <x v="150"/>
    <x v="150"/>
    <x v="133"/>
    <x v="134"/>
    <x v="2"/>
    <x v="138"/>
    <x v="138"/>
    <x v="0"/>
    <x v="0"/>
    <x v="10"/>
    <x v="9"/>
    <x v="105"/>
    <x v="3"/>
    <x v="144"/>
    <x v="2"/>
    <x v="10"/>
    <x v="144"/>
    <x v="145"/>
    <x v="3"/>
    <x v="8"/>
    <x v="149"/>
    <x v="149"/>
    <x v="145"/>
    <x v="1"/>
  </r>
  <r>
    <x v="151"/>
    <x v="151"/>
    <x v="134"/>
    <x v="135"/>
    <x v="0"/>
    <x v="139"/>
    <x v="139"/>
    <x v="0"/>
    <x v="0"/>
    <x v="10"/>
    <x v="9"/>
    <x v="63"/>
    <x v="3"/>
    <x v="145"/>
    <x v="2"/>
    <x v="10"/>
    <x v="145"/>
    <x v="65"/>
    <x v="0"/>
    <x v="8"/>
    <x v="150"/>
    <x v="150"/>
    <x v="146"/>
    <x v="1"/>
  </r>
  <r>
    <x v="152"/>
    <x v="152"/>
    <x v="135"/>
    <x v="136"/>
    <x v="0"/>
    <x v="140"/>
    <x v="140"/>
    <x v="0"/>
    <x v="0"/>
    <x v="1"/>
    <x v="1"/>
    <x v="62"/>
    <x v="1"/>
    <x v="146"/>
    <x v="1"/>
    <x v="5"/>
    <x v="146"/>
    <x v="146"/>
    <x v="8"/>
    <x v="2"/>
    <x v="151"/>
    <x v="151"/>
    <x v="147"/>
    <x v="1"/>
  </r>
  <r>
    <x v="153"/>
    <x v="153"/>
    <x v="136"/>
    <x v="137"/>
    <x v="1"/>
    <x v="141"/>
    <x v="141"/>
    <x v="1"/>
    <x v="0"/>
    <x v="8"/>
    <x v="1"/>
    <x v="34"/>
    <x v="1"/>
    <x v="147"/>
    <x v="1"/>
    <x v="5"/>
    <x v="147"/>
    <x v="147"/>
    <x v="0"/>
    <x v="2"/>
    <x v="152"/>
    <x v="152"/>
    <x v="148"/>
    <x v="1"/>
  </r>
  <r>
    <x v="154"/>
    <x v="154"/>
    <x v="137"/>
    <x v="138"/>
    <x v="0"/>
    <x v="107"/>
    <x v="107"/>
    <x v="0"/>
    <x v="0"/>
    <x v="88"/>
    <x v="7"/>
    <x v="109"/>
    <x v="1"/>
    <x v="148"/>
    <x v="1"/>
    <x v="13"/>
    <x v="148"/>
    <x v="148"/>
    <x v="6"/>
    <x v="0"/>
    <x v="153"/>
    <x v="153"/>
    <x v="149"/>
    <x v="1"/>
  </r>
  <r>
    <x v="155"/>
    <x v="155"/>
    <x v="138"/>
    <x v="139"/>
    <x v="0"/>
    <x v="63"/>
    <x v="63"/>
    <x v="1"/>
    <x v="0"/>
    <x v="10"/>
    <x v="9"/>
    <x v="11"/>
    <x v="3"/>
    <x v="149"/>
    <x v="1"/>
    <x v="8"/>
    <x v="149"/>
    <x v="149"/>
    <x v="6"/>
    <x v="2"/>
    <x v="154"/>
    <x v="154"/>
    <x v="150"/>
    <x v="1"/>
  </r>
  <r>
    <x v="156"/>
    <x v="156"/>
    <x v="139"/>
    <x v="140"/>
    <x v="1"/>
    <x v="79"/>
    <x v="79"/>
    <x v="0"/>
    <x v="0"/>
    <x v="89"/>
    <x v="5"/>
    <x v="110"/>
    <x v="2"/>
    <x v="8"/>
    <x v="1"/>
    <x v="7"/>
    <x v="8"/>
    <x v="150"/>
    <x v="6"/>
    <x v="2"/>
    <x v="155"/>
    <x v="155"/>
    <x v="151"/>
    <x v="1"/>
  </r>
  <r>
    <x v="157"/>
    <x v="157"/>
    <x v="140"/>
    <x v="141"/>
    <x v="1"/>
    <x v="142"/>
    <x v="142"/>
    <x v="0"/>
    <x v="0"/>
    <x v="8"/>
    <x v="1"/>
    <x v="34"/>
    <x v="1"/>
    <x v="62"/>
    <x v="2"/>
    <x v="10"/>
    <x v="63"/>
    <x v="151"/>
    <x v="3"/>
    <x v="2"/>
    <x v="156"/>
    <x v="156"/>
    <x v="152"/>
    <x v="1"/>
  </r>
  <r>
    <x v="158"/>
    <x v="158"/>
    <x v="141"/>
    <x v="142"/>
    <x v="1"/>
    <x v="143"/>
    <x v="143"/>
    <x v="0"/>
    <x v="0"/>
    <x v="90"/>
    <x v="31"/>
    <x v="111"/>
    <x v="3"/>
    <x v="150"/>
    <x v="1"/>
    <x v="8"/>
    <x v="150"/>
    <x v="122"/>
    <x v="3"/>
    <x v="0"/>
    <x v="157"/>
    <x v="157"/>
    <x v="122"/>
    <x v="1"/>
  </r>
  <r>
    <x v="159"/>
    <x v="159"/>
    <x v="142"/>
    <x v="143"/>
    <x v="2"/>
    <x v="144"/>
    <x v="144"/>
    <x v="2"/>
    <x v="0"/>
    <x v="20"/>
    <x v="15"/>
    <x v="29"/>
    <x v="3"/>
    <x v="112"/>
    <x v="2"/>
    <x v="12"/>
    <x v="113"/>
    <x v="152"/>
    <x v="8"/>
    <x v="0"/>
    <x v="158"/>
    <x v="158"/>
    <x v="153"/>
    <x v="1"/>
  </r>
  <r>
    <x v="160"/>
    <x v="160"/>
    <x v="143"/>
    <x v="144"/>
    <x v="1"/>
    <x v="145"/>
    <x v="145"/>
    <x v="0"/>
    <x v="0"/>
    <x v="20"/>
    <x v="15"/>
    <x v="45"/>
    <x v="3"/>
    <x v="151"/>
    <x v="0"/>
    <x v="0"/>
    <x v="151"/>
    <x v="153"/>
    <x v="4"/>
    <x v="2"/>
    <x v="159"/>
    <x v="159"/>
    <x v="154"/>
    <x v="1"/>
  </r>
  <r>
    <x v="161"/>
    <x v="161"/>
    <x v="131"/>
    <x v="145"/>
    <x v="1"/>
    <x v="96"/>
    <x v="96"/>
    <x v="1"/>
    <x v="0"/>
    <x v="35"/>
    <x v="3"/>
    <x v="43"/>
    <x v="0"/>
    <x v="93"/>
    <x v="1"/>
    <x v="4"/>
    <x v="94"/>
    <x v="154"/>
    <x v="1"/>
    <x v="2"/>
    <x v="160"/>
    <x v="160"/>
    <x v="155"/>
    <x v="1"/>
  </r>
  <r>
    <x v="162"/>
    <x v="162"/>
    <x v="144"/>
    <x v="146"/>
    <x v="2"/>
    <x v="146"/>
    <x v="146"/>
    <x v="1"/>
    <x v="0"/>
    <x v="38"/>
    <x v="32"/>
    <x v="112"/>
    <x v="0"/>
    <x v="152"/>
    <x v="1"/>
    <x v="6"/>
    <x v="152"/>
    <x v="155"/>
    <x v="7"/>
    <x v="0"/>
    <x v="161"/>
    <x v="161"/>
    <x v="156"/>
    <x v="1"/>
  </r>
  <r>
    <x v="163"/>
    <x v="163"/>
    <x v="145"/>
    <x v="147"/>
    <x v="1"/>
    <x v="147"/>
    <x v="147"/>
    <x v="0"/>
    <x v="0"/>
    <x v="20"/>
    <x v="15"/>
    <x v="29"/>
    <x v="3"/>
    <x v="153"/>
    <x v="1"/>
    <x v="1"/>
    <x v="153"/>
    <x v="156"/>
    <x v="0"/>
    <x v="0"/>
    <x v="162"/>
    <x v="162"/>
    <x v="157"/>
    <x v="1"/>
  </r>
  <r>
    <x v="164"/>
    <x v="164"/>
    <x v="146"/>
    <x v="148"/>
    <x v="1"/>
    <x v="148"/>
    <x v="148"/>
    <x v="0"/>
    <x v="0"/>
    <x v="8"/>
    <x v="1"/>
    <x v="9"/>
    <x v="1"/>
    <x v="21"/>
    <x v="1"/>
    <x v="7"/>
    <x v="21"/>
    <x v="22"/>
    <x v="6"/>
    <x v="0"/>
    <x v="22"/>
    <x v="22"/>
    <x v="22"/>
    <x v="1"/>
  </r>
  <r>
    <x v="165"/>
    <x v="165"/>
    <x v="147"/>
    <x v="149"/>
    <x v="3"/>
    <x v="149"/>
    <x v="149"/>
    <x v="1"/>
    <x v="0"/>
    <x v="91"/>
    <x v="29"/>
    <x v="113"/>
    <x v="3"/>
    <x v="154"/>
    <x v="1"/>
    <x v="5"/>
    <x v="154"/>
    <x v="157"/>
    <x v="6"/>
    <x v="0"/>
    <x v="163"/>
    <x v="163"/>
    <x v="158"/>
    <x v="1"/>
  </r>
  <r>
    <x v="166"/>
    <x v="166"/>
    <x v="148"/>
    <x v="150"/>
    <x v="1"/>
    <x v="150"/>
    <x v="150"/>
    <x v="0"/>
    <x v="0"/>
    <x v="92"/>
    <x v="5"/>
    <x v="114"/>
    <x v="2"/>
    <x v="155"/>
    <x v="1"/>
    <x v="4"/>
    <x v="155"/>
    <x v="110"/>
    <x v="1"/>
    <x v="2"/>
    <x v="111"/>
    <x v="111"/>
    <x v="110"/>
    <x v="1"/>
  </r>
  <r>
    <x v="167"/>
    <x v="167"/>
    <x v="149"/>
    <x v="151"/>
    <x v="1"/>
    <x v="151"/>
    <x v="151"/>
    <x v="0"/>
    <x v="0"/>
    <x v="93"/>
    <x v="16"/>
    <x v="115"/>
    <x v="1"/>
    <x v="156"/>
    <x v="1"/>
    <x v="5"/>
    <x v="156"/>
    <x v="158"/>
    <x v="1"/>
    <x v="7"/>
    <x v="164"/>
    <x v="164"/>
    <x v="159"/>
    <x v="1"/>
  </r>
  <r>
    <x v="168"/>
    <x v="168"/>
    <x v="150"/>
    <x v="152"/>
    <x v="2"/>
    <x v="152"/>
    <x v="152"/>
    <x v="1"/>
    <x v="0"/>
    <x v="94"/>
    <x v="10"/>
    <x v="116"/>
    <x v="2"/>
    <x v="157"/>
    <x v="1"/>
    <x v="4"/>
    <x v="157"/>
    <x v="141"/>
    <x v="6"/>
    <x v="2"/>
    <x v="165"/>
    <x v="165"/>
    <x v="141"/>
    <x v="1"/>
  </r>
  <r>
    <x v="169"/>
    <x v="169"/>
    <x v="151"/>
    <x v="153"/>
    <x v="1"/>
    <x v="153"/>
    <x v="153"/>
    <x v="1"/>
    <x v="0"/>
    <x v="47"/>
    <x v="31"/>
    <x v="117"/>
    <x v="3"/>
    <x v="158"/>
    <x v="0"/>
    <x v="2"/>
    <x v="158"/>
    <x v="159"/>
    <x v="2"/>
    <x v="4"/>
    <x v="166"/>
    <x v="166"/>
    <x v="160"/>
    <x v="1"/>
  </r>
  <r>
    <x v="170"/>
    <x v="170"/>
    <x v="152"/>
    <x v="27"/>
    <x v="1"/>
    <x v="154"/>
    <x v="154"/>
    <x v="0"/>
    <x v="0"/>
    <x v="12"/>
    <x v="5"/>
    <x v="14"/>
    <x v="2"/>
    <x v="159"/>
    <x v="1"/>
    <x v="6"/>
    <x v="159"/>
    <x v="160"/>
    <x v="3"/>
    <x v="3"/>
    <x v="167"/>
    <x v="167"/>
    <x v="161"/>
    <x v="1"/>
  </r>
  <r>
    <x v="171"/>
    <x v="171"/>
    <x v="99"/>
    <x v="154"/>
    <x v="2"/>
    <x v="155"/>
    <x v="155"/>
    <x v="1"/>
    <x v="0"/>
    <x v="8"/>
    <x v="1"/>
    <x v="9"/>
    <x v="1"/>
    <x v="160"/>
    <x v="1"/>
    <x v="4"/>
    <x v="160"/>
    <x v="161"/>
    <x v="2"/>
    <x v="0"/>
    <x v="168"/>
    <x v="168"/>
    <x v="162"/>
    <x v="1"/>
  </r>
  <r>
    <x v="172"/>
    <x v="172"/>
    <x v="153"/>
    <x v="155"/>
    <x v="0"/>
    <x v="156"/>
    <x v="156"/>
    <x v="1"/>
    <x v="0"/>
    <x v="79"/>
    <x v="12"/>
    <x v="99"/>
    <x v="2"/>
    <x v="161"/>
    <x v="2"/>
    <x v="12"/>
    <x v="161"/>
    <x v="162"/>
    <x v="0"/>
    <x v="0"/>
    <x v="169"/>
    <x v="169"/>
    <x v="163"/>
    <x v="1"/>
  </r>
  <r>
    <x v="173"/>
    <x v="173"/>
    <x v="154"/>
    <x v="156"/>
    <x v="1"/>
    <x v="157"/>
    <x v="157"/>
    <x v="0"/>
    <x v="0"/>
    <x v="95"/>
    <x v="2"/>
    <x v="118"/>
    <x v="0"/>
    <x v="162"/>
    <x v="0"/>
    <x v="2"/>
    <x v="162"/>
    <x v="163"/>
    <x v="3"/>
    <x v="1"/>
    <x v="170"/>
    <x v="170"/>
    <x v="164"/>
    <x v="1"/>
  </r>
  <r>
    <x v="174"/>
    <x v="174"/>
    <x v="155"/>
    <x v="157"/>
    <x v="1"/>
    <x v="158"/>
    <x v="158"/>
    <x v="1"/>
    <x v="0"/>
    <x v="10"/>
    <x v="9"/>
    <x v="11"/>
    <x v="3"/>
    <x v="163"/>
    <x v="2"/>
    <x v="14"/>
    <x v="163"/>
    <x v="164"/>
    <x v="6"/>
    <x v="7"/>
    <x v="171"/>
    <x v="171"/>
    <x v="165"/>
    <x v="1"/>
  </r>
  <r>
    <x v="175"/>
    <x v="175"/>
    <x v="156"/>
    <x v="158"/>
    <x v="2"/>
    <x v="159"/>
    <x v="159"/>
    <x v="0"/>
    <x v="0"/>
    <x v="74"/>
    <x v="24"/>
    <x v="93"/>
    <x v="3"/>
    <x v="164"/>
    <x v="1"/>
    <x v="8"/>
    <x v="164"/>
    <x v="165"/>
    <x v="8"/>
    <x v="2"/>
    <x v="172"/>
    <x v="172"/>
    <x v="166"/>
    <x v="1"/>
  </r>
  <r>
    <x v="176"/>
    <x v="176"/>
    <x v="157"/>
    <x v="159"/>
    <x v="1"/>
    <x v="160"/>
    <x v="160"/>
    <x v="0"/>
    <x v="0"/>
    <x v="20"/>
    <x v="15"/>
    <x v="29"/>
    <x v="3"/>
    <x v="165"/>
    <x v="1"/>
    <x v="5"/>
    <x v="165"/>
    <x v="166"/>
    <x v="6"/>
    <x v="2"/>
    <x v="173"/>
    <x v="173"/>
    <x v="167"/>
    <x v="1"/>
  </r>
  <r>
    <x v="177"/>
    <x v="177"/>
    <x v="158"/>
    <x v="160"/>
    <x v="0"/>
    <x v="161"/>
    <x v="161"/>
    <x v="0"/>
    <x v="0"/>
    <x v="96"/>
    <x v="4"/>
    <x v="119"/>
    <x v="1"/>
    <x v="166"/>
    <x v="2"/>
    <x v="10"/>
    <x v="166"/>
    <x v="167"/>
    <x v="0"/>
    <x v="2"/>
    <x v="174"/>
    <x v="174"/>
    <x v="168"/>
    <x v="1"/>
  </r>
  <r>
    <x v="178"/>
    <x v="178"/>
    <x v="159"/>
    <x v="161"/>
    <x v="0"/>
    <x v="162"/>
    <x v="162"/>
    <x v="1"/>
    <x v="0"/>
    <x v="97"/>
    <x v="10"/>
    <x v="120"/>
    <x v="2"/>
    <x v="167"/>
    <x v="1"/>
    <x v="5"/>
    <x v="167"/>
    <x v="168"/>
    <x v="3"/>
    <x v="3"/>
    <x v="175"/>
    <x v="175"/>
    <x v="169"/>
    <x v="1"/>
  </r>
  <r>
    <x v="179"/>
    <x v="179"/>
    <x v="160"/>
    <x v="162"/>
    <x v="1"/>
    <x v="163"/>
    <x v="163"/>
    <x v="2"/>
    <x v="0"/>
    <x v="98"/>
    <x v="33"/>
    <x v="121"/>
    <x v="1"/>
    <x v="168"/>
    <x v="1"/>
    <x v="5"/>
    <x v="168"/>
    <x v="169"/>
    <x v="3"/>
    <x v="2"/>
    <x v="176"/>
    <x v="176"/>
    <x v="170"/>
    <x v="1"/>
  </r>
  <r>
    <x v="180"/>
    <x v="180"/>
    <x v="161"/>
    <x v="163"/>
    <x v="0"/>
    <x v="164"/>
    <x v="164"/>
    <x v="1"/>
    <x v="0"/>
    <x v="99"/>
    <x v="34"/>
    <x v="122"/>
    <x v="3"/>
    <x v="169"/>
    <x v="1"/>
    <x v="7"/>
    <x v="169"/>
    <x v="170"/>
    <x v="0"/>
    <x v="0"/>
    <x v="177"/>
    <x v="177"/>
    <x v="171"/>
    <x v="1"/>
  </r>
  <r>
    <x v="181"/>
    <x v="181"/>
    <x v="89"/>
    <x v="164"/>
    <x v="1"/>
    <x v="6"/>
    <x v="6"/>
    <x v="2"/>
    <x v="0"/>
    <x v="25"/>
    <x v="12"/>
    <x v="30"/>
    <x v="2"/>
    <x v="170"/>
    <x v="1"/>
    <x v="15"/>
    <x v="170"/>
    <x v="171"/>
    <x v="6"/>
    <x v="0"/>
    <x v="178"/>
    <x v="178"/>
    <x v="172"/>
    <x v="1"/>
  </r>
  <r>
    <x v="182"/>
    <x v="182"/>
    <x v="162"/>
    <x v="165"/>
    <x v="0"/>
    <x v="165"/>
    <x v="165"/>
    <x v="0"/>
    <x v="0"/>
    <x v="12"/>
    <x v="5"/>
    <x v="66"/>
    <x v="2"/>
    <x v="171"/>
    <x v="1"/>
    <x v="7"/>
    <x v="171"/>
    <x v="172"/>
    <x v="3"/>
    <x v="2"/>
    <x v="179"/>
    <x v="179"/>
    <x v="173"/>
    <x v="1"/>
  </r>
  <r>
    <x v="183"/>
    <x v="183"/>
    <x v="163"/>
    <x v="166"/>
    <x v="2"/>
    <x v="166"/>
    <x v="166"/>
    <x v="0"/>
    <x v="0"/>
    <x v="100"/>
    <x v="2"/>
    <x v="123"/>
    <x v="0"/>
    <x v="172"/>
    <x v="1"/>
    <x v="4"/>
    <x v="172"/>
    <x v="173"/>
    <x v="0"/>
    <x v="2"/>
    <x v="180"/>
    <x v="180"/>
    <x v="174"/>
    <x v="1"/>
  </r>
  <r>
    <x v="184"/>
    <x v="184"/>
    <x v="164"/>
    <x v="167"/>
    <x v="1"/>
    <x v="70"/>
    <x v="70"/>
    <x v="1"/>
    <x v="0"/>
    <x v="40"/>
    <x v="3"/>
    <x v="124"/>
    <x v="0"/>
    <x v="173"/>
    <x v="1"/>
    <x v="8"/>
    <x v="173"/>
    <x v="174"/>
    <x v="4"/>
    <x v="2"/>
    <x v="181"/>
    <x v="181"/>
    <x v="175"/>
    <x v="1"/>
  </r>
  <r>
    <x v="185"/>
    <x v="185"/>
    <x v="165"/>
    <x v="168"/>
    <x v="1"/>
    <x v="167"/>
    <x v="167"/>
    <x v="0"/>
    <x v="0"/>
    <x v="20"/>
    <x v="15"/>
    <x v="23"/>
    <x v="3"/>
    <x v="174"/>
    <x v="1"/>
    <x v="6"/>
    <x v="174"/>
    <x v="175"/>
    <x v="3"/>
    <x v="0"/>
    <x v="182"/>
    <x v="182"/>
    <x v="176"/>
    <x v="1"/>
  </r>
  <r>
    <x v="186"/>
    <x v="186"/>
    <x v="166"/>
    <x v="169"/>
    <x v="1"/>
    <x v="168"/>
    <x v="168"/>
    <x v="0"/>
    <x v="0"/>
    <x v="8"/>
    <x v="1"/>
    <x v="94"/>
    <x v="1"/>
    <x v="175"/>
    <x v="2"/>
    <x v="12"/>
    <x v="175"/>
    <x v="176"/>
    <x v="1"/>
    <x v="0"/>
    <x v="183"/>
    <x v="183"/>
    <x v="177"/>
    <x v="1"/>
  </r>
  <r>
    <x v="187"/>
    <x v="187"/>
    <x v="132"/>
    <x v="170"/>
    <x v="1"/>
    <x v="169"/>
    <x v="169"/>
    <x v="1"/>
    <x v="0"/>
    <x v="4"/>
    <x v="4"/>
    <x v="59"/>
    <x v="1"/>
    <x v="176"/>
    <x v="1"/>
    <x v="4"/>
    <x v="176"/>
    <x v="177"/>
    <x v="2"/>
    <x v="0"/>
    <x v="184"/>
    <x v="184"/>
    <x v="178"/>
    <x v="1"/>
  </r>
  <r>
    <x v="188"/>
    <x v="188"/>
    <x v="92"/>
    <x v="171"/>
    <x v="1"/>
    <x v="170"/>
    <x v="170"/>
    <x v="0"/>
    <x v="0"/>
    <x v="101"/>
    <x v="1"/>
    <x v="125"/>
    <x v="1"/>
    <x v="177"/>
    <x v="1"/>
    <x v="8"/>
    <x v="177"/>
    <x v="178"/>
    <x v="7"/>
    <x v="0"/>
    <x v="185"/>
    <x v="185"/>
    <x v="179"/>
    <x v="1"/>
  </r>
  <r>
    <x v="189"/>
    <x v="189"/>
    <x v="167"/>
    <x v="172"/>
    <x v="1"/>
    <x v="171"/>
    <x v="171"/>
    <x v="0"/>
    <x v="0"/>
    <x v="1"/>
    <x v="1"/>
    <x v="25"/>
    <x v="1"/>
    <x v="178"/>
    <x v="0"/>
    <x v="9"/>
    <x v="178"/>
    <x v="179"/>
    <x v="1"/>
    <x v="2"/>
    <x v="186"/>
    <x v="186"/>
    <x v="180"/>
    <x v="1"/>
  </r>
  <r>
    <x v="190"/>
    <x v="190"/>
    <x v="44"/>
    <x v="173"/>
    <x v="1"/>
    <x v="146"/>
    <x v="146"/>
    <x v="1"/>
    <x v="0"/>
    <x v="102"/>
    <x v="0"/>
    <x v="126"/>
    <x v="0"/>
    <x v="179"/>
    <x v="1"/>
    <x v="4"/>
    <x v="179"/>
    <x v="180"/>
    <x v="8"/>
    <x v="0"/>
    <x v="187"/>
    <x v="187"/>
    <x v="181"/>
    <x v="1"/>
  </r>
  <r>
    <x v="191"/>
    <x v="191"/>
    <x v="168"/>
    <x v="174"/>
    <x v="1"/>
    <x v="133"/>
    <x v="133"/>
    <x v="1"/>
    <x v="0"/>
    <x v="1"/>
    <x v="1"/>
    <x v="62"/>
    <x v="1"/>
    <x v="180"/>
    <x v="1"/>
    <x v="8"/>
    <x v="180"/>
    <x v="181"/>
    <x v="6"/>
    <x v="0"/>
    <x v="188"/>
    <x v="188"/>
    <x v="182"/>
    <x v="1"/>
  </r>
  <r>
    <x v="192"/>
    <x v="192"/>
    <x v="169"/>
    <x v="175"/>
    <x v="2"/>
    <x v="32"/>
    <x v="32"/>
    <x v="0"/>
    <x v="0"/>
    <x v="103"/>
    <x v="22"/>
    <x v="127"/>
    <x v="1"/>
    <x v="181"/>
    <x v="2"/>
    <x v="12"/>
    <x v="181"/>
    <x v="182"/>
    <x v="4"/>
    <x v="2"/>
    <x v="189"/>
    <x v="189"/>
    <x v="183"/>
    <x v="1"/>
  </r>
  <r>
    <x v="193"/>
    <x v="193"/>
    <x v="15"/>
    <x v="15"/>
    <x v="1"/>
    <x v="172"/>
    <x v="172"/>
    <x v="1"/>
    <x v="0"/>
    <x v="104"/>
    <x v="31"/>
    <x v="128"/>
    <x v="3"/>
    <x v="182"/>
    <x v="0"/>
    <x v="3"/>
    <x v="182"/>
    <x v="183"/>
    <x v="6"/>
    <x v="0"/>
    <x v="190"/>
    <x v="190"/>
    <x v="184"/>
    <x v="1"/>
  </r>
  <r>
    <x v="194"/>
    <x v="194"/>
    <x v="170"/>
    <x v="176"/>
    <x v="0"/>
    <x v="173"/>
    <x v="173"/>
    <x v="0"/>
    <x v="0"/>
    <x v="25"/>
    <x v="35"/>
    <x v="129"/>
    <x v="0"/>
    <x v="183"/>
    <x v="0"/>
    <x v="9"/>
    <x v="183"/>
    <x v="184"/>
    <x v="6"/>
    <x v="0"/>
    <x v="191"/>
    <x v="191"/>
    <x v="185"/>
    <x v="1"/>
  </r>
  <r>
    <x v="195"/>
    <x v="195"/>
    <x v="51"/>
    <x v="177"/>
    <x v="0"/>
    <x v="25"/>
    <x v="25"/>
    <x v="1"/>
    <x v="0"/>
    <x v="105"/>
    <x v="12"/>
    <x v="130"/>
    <x v="2"/>
    <x v="184"/>
    <x v="0"/>
    <x v="3"/>
    <x v="184"/>
    <x v="77"/>
    <x v="0"/>
    <x v="0"/>
    <x v="192"/>
    <x v="192"/>
    <x v="77"/>
    <x v="1"/>
  </r>
  <r>
    <x v="196"/>
    <x v="196"/>
    <x v="171"/>
    <x v="178"/>
    <x v="2"/>
    <x v="174"/>
    <x v="174"/>
    <x v="2"/>
    <x v="0"/>
    <x v="106"/>
    <x v="15"/>
    <x v="131"/>
    <x v="3"/>
    <x v="185"/>
    <x v="2"/>
    <x v="14"/>
    <x v="185"/>
    <x v="185"/>
    <x v="8"/>
    <x v="0"/>
    <x v="193"/>
    <x v="193"/>
    <x v="186"/>
    <x v="1"/>
  </r>
  <r>
    <x v="197"/>
    <x v="197"/>
    <x v="172"/>
    <x v="179"/>
    <x v="1"/>
    <x v="175"/>
    <x v="175"/>
    <x v="1"/>
    <x v="0"/>
    <x v="52"/>
    <x v="5"/>
    <x v="65"/>
    <x v="2"/>
    <x v="186"/>
    <x v="1"/>
    <x v="8"/>
    <x v="186"/>
    <x v="186"/>
    <x v="4"/>
    <x v="2"/>
    <x v="194"/>
    <x v="194"/>
    <x v="187"/>
    <x v="1"/>
  </r>
  <r>
    <x v="198"/>
    <x v="198"/>
    <x v="173"/>
    <x v="180"/>
    <x v="1"/>
    <x v="176"/>
    <x v="176"/>
    <x v="2"/>
    <x v="0"/>
    <x v="107"/>
    <x v="3"/>
    <x v="132"/>
    <x v="0"/>
    <x v="187"/>
    <x v="1"/>
    <x v="5"/>
    <x v="187"/>
    <x v="187"/>
    <x v="0"/>
    <x v="7"/>
    <x v="195"/>
    <x v="195"/>
    <x v="188"/>
    <x v="1"/>
  </r>
  <r>
    <x v="199"/>
    <x v="199"/>
    <x v="112"/>
    <x v="181"/>
    <x v="2"/>
    <x v="72"/>
    <x v="72"/>
    <x v="0"/>
    <x v="0"/>
    <x v="90"/>
    <x v="31"/>
    <x v="111"/>
    <x v="3"/>
    <x v="188"/>
    <x v="1"/>
    <x v="7"/>
    <x v="188"/>
    <x v="188"/>
    <x v="1"/>
    <x v="0"/>
    <x v="196"/>
    <x v="196"/>
    <x v="189"/>
    <x v="1"/>
  </r>
  <r>
    <x v="200"/>
    <x v="200"/>
    <x v="174"/>
    <x v="182"/>
    <x v="1"/>
    <x v="177"/>
    <x v="177"/>
    <x v="0"/>
    <x v="0"/>
    <x v="108"/>
    <x v="2"/>
    <x v="133"/>
    <x v="0"/>
    <x v="189"/>
    <x v="1"/>
    <x v="5"/>
    <x v="189"/>
    <x v="189"/>
    <x v="0"/>
    <x v="7"/>
    <x v="197"/>
    <x v="197"/>
    <x v="190"/>
    <x v="1"/>
  </r>
  <r>
    <x v="201"/>
    <x v="201"/>
    <x v="1"/>
    <x v="183"/>
    <x v="0"/>
    <x v="178"/>
    <x v="178"/>
    <x v="2"/>
    <x v="0"/>
    <x v="22"/>
    <x v="10"/>
    <x v="36"/>
    <x v="2"/>
    <x v="190"/>
    <x v="2"/>
    <x v="14"/>
    <x v="190"/>
    <x v="190"/>
    <x v="3"/>
    <x v="4"/>
    <x v="198"/>
    <x v="198"/>
    <x v="191"/>
    <x v="1"/>
  </r>
  <r>
    <x v="202"/>
    <x v="202"/>
    <x v="175"/>
    <x v="184"/>
    <x v="1"/>
    <x v="179"/>
    <x v="179"/>
    <x v="1"/>
    <x v="0"/>
    <x v="12"/>
    <x v="5"/>
    <x v="32"/>
    <x v="2"/>
    <x v="191"/>
    <x v="1"/>
    <x v="4"/>
    <x v="191"/>
    <x v="191"/>
    <x v="7"/>
    <x v="2"/>
    <x v="199"/>
    <x v="199"/>
    <x v="192"/>
    <x v="1"/>
  </r>
  <r>
    <x v="203"/>
    <x v="203"/>
    <x v="176"/>
    <x v="185"/>
    <x v="0"/>
    <x v="51"/>
    <x v="51"/>
    <x v="1"/>
    <x v="0"/>
    <x v="20"/>
    <x v="15"/>
    <x v="23"/>
    <x v="3"/>
    <x v="192"/>
    <x v="0"/>
    <x v="9"/>
    <x v="192"/>
    <x v="192"/>
    <x v="3"/>
    <x v="9"/>
    <x v="200"/>
    <x v="200"/>
    <x v="193"/>
    <x v="1"/>
  </r>
  <r>
    <x v="204"/>
    <x v="204"/>
    <x v="64"/>
    <x v="62"/>
    <x v="0"/>
    <x v="7"/>
    <x v="7"/>
    <x v="0"/>
    <x v="0"/>
    <x v="66"/>
    <x v="12"/>
    <x v="83"/>
    <x v="2"/>
    <x v="193"/>
    <x v="0"/>
    <x v="3"/>
    <x v="193"/>
    <x v="193"/>
    <x v="8"/>
    <x v="0"/>
    <x v="201"/>
    <x v="201"/>
    <x v="194"/>
    <x v="1"/>
  </r>
  <r>
    <x v="205"/>
    <x v="205"/>
    <x v="177"/>
    <x v="186"/>
    <x v="0"/>
    <x v="180"/>
    <x v="180"/>
    <x v="0"/>
    <x v="0"/>
    <x v="38"/>
    <x v="14"/>
    <x v="134"/>
    <x v="2"/>
    <x v="194"/>
    <x v="0"/>
    <x v="3"/>
    <x v="194"/>
    <x v="194"/>
    <x v="8"/>
    <x v="0"/>
    <x v="202"/>
    <x v="202"/>
    <x v="195"/>
    <x v="1"/>
  </r>
  <r>
    <x v="206"/>
    <x v="206"/>
    <x v="178"/>
    <x v="187"/>
    <x v="0"/>
    <x v="181"/>
    <x v="181"/>
    <x v="0"/>
    <x v="0"/>
    <x v="109"/>
    <x v="15"/>
    <x v="135"/>
    <x v="3"/>
    <x v="195"/>
    <x v="1"/>
    <x v="8"/>
    <x v="195"/>
    <x v="195"/>
    <x v="3"/>
    <x v="0"/>
    <x v="203"/>
    <x v="203"/>
    <x v="196"/>
    <x v="1"/>
  </r>
  <r>
    <x v="207"/>
    <x v="207"/>
    <x v="179"/>
    <x v="188"/>
    <x v="1"/>
    <x v="182"/>
    <x v="182"/>
    <x v="1"/>
    <x v="0"/>
    <x v="59"/>
    <x v="24"/>
    <x v="75"/>
    <x v="3"/>
    <x v="196"/>
    <x v="0"/>
    <x v="2"/>
    <x v="196"/>
    <x v="196"/>
    <x v="0"/>
    <x v="8"/>
    <x v="204"/>
    <x v="204"/>
    <x v="197"/>
    <x v="1"/>
  </r>
  <r>
    <x v="208"/>
    <x v="208"/>
    <x v="180"/>
    <x v="24"/>
    <x v="1"/>
    <x v="175"/>
    <x v="175"/>
    <x v="1"/>
    <x v="0"/>
    <x v="110"/>
    <x v="26"/>
    <x v="136"/>
    <x v="2"/>
    <x v="197"/>
    <x v="2"/>
    <x v="12"/>
    <x v="197"/>
    <x v="197"/>
    <x v="6"/>
    <x v="0"/>
    <x v="205"/>
    <x v="205"/>
    <x v="198"/>
    <x v="1"/>
  </r>
  <r>
    <x v="209"/>
    <x v="209"/>
    <x v="181"/>
    <x v="189"/>
    <x v="1"/>
    <x v="183"/>
    <x v="183"/>
    <x v="0"/>
    <x v="0"/>
    <x v="3"/>
    <x v="1"/>
    <x v="137"/>
    <x v="1"/>
    <x v="198"/>
    <x v="0"/>
    <x v="9"/>
    <x v="198"/>
    <x v="198"/>
    <x v="0"/>
    <x v="2"/>
    <x v="206"/>
    <x v="206"/>
    <x v="199"/>
    <x v="1"/>
  </r>
  <r>
    <x v="210"/>
    <x v="210"/>
    <x v="182"/>
    <x v="152"/>
    <x v="1"/>
    <x v="173"/>
    <x v="173"/>
    <x v="0"/>
    <x v="0"/>
    <x v="27"/>
    <x v="10"/>
    <x v="67"/>
    <x v="2"/>
    <x v="199"/>
    <x v="0"/>
    <x v="9"/>
    <x v="199"/>
    <x v="199"/>
    <x v="3"/>
    <x v="4"/>
    <x v="207"/>
    <x v="207"/>
    <x v="200"/>
    <x v="1"/>
  </r>
  <r>
    <x v="211"/>
    <x v="211"/>
    <x v="83"/>
    <x v="190"/>
    <x v="1"/>
    <x v="98"/>
    <x v="98"/>
    <x v="0"/>
    <x v="0"/>
    <x v="4"/>
    <x v="4"/>
    <x v="60"/>
    <x v="1"/>
    <x v="200"/>
    <x v="1"/>
    <x v="6"/>
    <x v="200"/>
    <x v="200"/>
    <x v="6"/>
    <x v="0"/>
    <x v="208"/>
    <x v="208"/>
    <x v="201"/>
    <x v="1"/>
  </r>
  <r>
    <x v="212"/>
    <x v="212"/>
    <x v="183"/>
    <x v="135"/>
    <x v="1"/>
    <x v="184"/>
    <x v="184"/>
    <x v="2"/>
    <x v="0"/>
    <x v="42"/>
    <x v="16"/>
    <x v="51"/>
    <x v="1"/>
    <x v="201"/>
    <x v="0"/>
    <x v="3"/>
    <x v="201"/>
    <x v="201"/>
    <x v="1"/>
    <x v="2"/>
    <x v="209"/>
    <x v="209"/>
    <x v="202"/>
    <x v="1"/>
  </r>
  <r>
    <x v="213"/>
    <x v="213"/>
    <x v="184"/>
    <x v="191"/>
    <x v="1"/>
    <x v="185"/>
    <x v="185"/>
    <x v="2"/>
    <x v="0"/>
    <x v="111"/>
    <x v="10"/>
    <x v="138"/>
    <x v="2"/>
    <x v="202"/>
    <x v="0"/>
    <x v="3"/>
    <x v="202"/>
    <x v="202"/>
    <x v="2"/>
    <x v="6"/>
    <x v="210"/>
    <x v="210"/>
    <x v="203"/>
    <x v="1"/>
  </r>
  <r>
    <x v="214"/>
    <x v="214"/>
    <x v="185"/>
    <x v="192"/>
    <x v="1"/>
    <x v="103"/>
    <x v="103"/>
    <x v="1"/>
    <x v="0"/>
    <x v="112"/>
    <x v="5"/>
    <x v="139"/>
    <x v="2"/>
    <x v="203"/>
    <x v="0"/>
    <x v="0"/>
    <x v="203"/>
    <x v="203"/>
    <x v="0"/>
    <x v="10"/>
    <x v="211"/>
    <x v="211"/>
    <x v="204"/>
    <x v="1"/>
  </r>
  <r>
    <x v="215"/>
    <x v="215"/>
    <x v="186"/>
    <x v="120"/>
    <x v="0"/>
    <x v="113"/>
    <x v="113"/>
    <x v="0"/>
    <x v="0"/>
    <x v="22"/>
    <x v="10"/>
    <x v="26"/>
    <x v="2"/>
    <x v="204"/>
    <x v="1"/>
    <x v="5"/>
    <x v="204"/>
    <x v="204"/>
    <x v="3"/>
    <x v="3"/>
    <x v="212"/>
    <x v="212"/>
    <x v="205"/>
    <x v="1"/>
  </r>
  <r>
    <x v="216"/>
    <x v="216"/>
    <x v="139"/>
    <x v="140"/>
    <x v="1"/>
    <x v="186"/>
    <x v="186"/>
    <x v="1"/>
    <x v="0"/>
    <x v="113"/>
    <x v="15"/>
    <x v="140"/>
    <x v="3"/>
    <x v="205"/>
    <x v="1"/>
    <x v="4"/>
    <x v="205"/>
    <x v="205"/>
    <x v="8"/>
    <x v="0"/>
    <x v="213"/>
    <x v="213"/>
    <x v="206"/>
    <x v="1"/>
  </r>
  <r>
    <x v="217"/>
    <x v="217"/>
    <x v="187"/>
    <x v="193"/>
    <x v="0"/>
    <x v="187"/>
    <x v="187"/>
    <x v="0"/>
    <x v="0"/>
    <x v="8"/>
    <x v="1"/>
    <x v="94"/>
    <x v="1"/>
    <x v="206"/>
    <x v="1"/>
    <x v="7"/>
    <x v="206"/>
    <x v="206"/>
    <x v="3"/>
    <x v="0"/>
    <x v="214"/>
    <x v="214"/>
    <x v="207"/>
    <x v="1"/>
  </r>
  <r>
    <x v="218"/>
    <x v="218"/>
    <x v="188"/>
    <x v="194"/>
    <x v="1"/>
    <x v="120"/>
    <x v="120"/>
    <x v="1"/>
    <x v="0"/>
    <x v="1"/>
    <x v="1"/>
    <x v="141"/>
    <x v="1"/>
    <x v="207"/>
    <x v="2"/>
    <x v="10"/>
    <x v="207"/>
    <x v="207"/>
    <x v="4"/>
    <x v="2"/>
    <x v="215"/>
    <x v="215"/>
    <x v="208"/>
    <x v="1"/>
  </r>
  <r>
    <x v="219"/>
    <x v="219"/>
    <x v="189"/>
    <x v="195"/>
    <x v="1"/>
    <x v="188"/>
    <x v="188"/>
    <x v="0"/>
    <x v="0"/>
    <x v="21"/>
    <x v="15"/>
    <x v="24"/>
    <x v="3"/>
    <x v="132"/>
    <x v="0"/>
    <x v="3"/>
    <x v="132"/>
    <x v="208"/>
    <x v="3"/>
    <x v="0"/>
    <x v="216"/>
    <x v="216"/>
    <x v="209"/>
    <x v="1"/>
  </r>
  <r>
    <x v="220"/>
    <x v="220"/>
    <x v="190"/>
    <x v="196"/>
    <x v="1"/>
    <x v="189"/>
    <x v="189"/>
    <x v="1"/>
    <x v="0"/>
    <x v="20"/>
    <x v="15"/>
    <x v="23"/>
    <x v="3"/>
    <x v="208"/>
    <x v="1"/>
    <x v="8"/>
    <x v="208"/>
    <x v="209"/>
    <x v="1"/>
    <x v="0"/>
    <x v="217"/>
    <x v="217"/>
    <x v="210"/>
    <x v="1"/>
  </r>
  <r>
    <x v="221"/>
    <x v="221"/>
    <x v="191"/>
    <x v="197"/>
    <x v="1"/>
    <x v="190"/>
    <x v="190"/>
    <x v="0"/>
    <x v="0"/>
    <x v="70"/>
    <x v="1"/>
    <x v="142"/>
    <x v="1"/>
    <x v="209"/>
    <x v="2"/>
    <x v="12"/>
    <x v="209"/>
    <x v="210"/>
    <x v="3"/>
    <x v="0"/>
    <x v="218"/>
    <x v="218"/>
    <x v="211"/>
    <x v="1"/>
  </r>
  <r>
    <x v="222"/>
    <x v="222"/>
    <x v="192"/>
    <x v="151"/>
    <x v="1"/>
    <x v="191"/>
    <x v="191"/>
    <x v="0"/>
    <x v="0"/>
    <x v="20"/>
    <x v="15"/>
    <x v="23"/>
    <x v="3"/>
    <x v="36"/>
    <x v="1"/>
    <x v="8"/>
    <x v="36"/>
    <x v="211"/>
    <x v="0"/>
    <x v="0"/>
    <x v="219"/>
    <x v="219"/>
    <x v="212"/>
    <x v="1"/>
  </r>
  <r>
    <x v="223"/>
    <x v="223"/>
    <x v="193"/>
    <x v="198"/>
    <x v="2"/>
    <x v="192"/>
    <x v="192"/>
    <x v="2"/>
    <x v="0"/>
    <x v="1"/>
    <x v="1"/>
    <x v="62"/>
    <x v="1"/>
    <x v="210"/>
    <x v="1"/>
    <x v="1"/>
    <x v="210"/>
    <x v="212"/>
    <x v="0"/>
    <x v="0"/>
    <x v="220"/>
    <x v="220"/>
    <x v="213"/>
    <x v="1"/>
  </r>
  <r>
    <x v="224"/>
    <x v="224"/>
    <x v="194"/>
    <x v="199"/>
    <x v="2"/>
    <x v="193"/>
    <x v="193"/>
    <x v="0"/>
    <x v="0"/>
    <x v="22"/>
    <x v="10"/>
    <x v="26"/>
    <x v="2"/>
    <x v="211"/>
    <x v="2"/>
    <x v="10"/>
    <x v="211"/>
    <x v="213"/>
    <x v="4"/>
    <x v="2"/>
    <x v="221"/>
    <x v="221"/>
    <x v="214"/>
    <x v="1"/>
  </r>
  <r>
    <x v="225"/>
    <x v="225"/>
    <x v="3"/>
    <x v="200"/>
    <x v="0"/>
    <x v="194"/>
    <x v="194"/>
    <x v="2"/>
    <x v="0"/>
    <x v="114"/>
    <x v="5"/>
    <x v="143"/>
    <x v="2"/>
    <x v="212"/>
    <x v="2"/>
    <x v="10"/>
    <x v="212"/>
    <x v="214"/>
    <x v="8"/>
    <x v="2"/>
    <x v="222"/>
    <x v="222"/>
    <x v="215"/>
    <x v="1"/>
  </r>
  <r>
    <x v="226"/>
    <x v="226"/>
    <x v="80"/>
    <x v="76"/>
    <x v="1"/>
    <x v="195"/>
    <x v="195"/>
    <x v="0"/>
    <x v="0"/>
    <x v="30"/>
    <x v="15"/>
    <x v="144"/>
    <x v="3"/>
    <x v="213"/>
    <x v="1"/>
    <x v="7"/>
    <x v="213"/>
    <x v="215"/>
    <x v="1"/>
    <x v="0"/>
    <x v="223"/>
    <x v="223"/>
    <x v="216"/>
    <x v="1"/>
  </r>
  <r>
    <x v="227"/>
    <x v="227"/>
    <x v="195"/>
    <x v="201"/>
    <x v="1"/>
    <x v="196"/>
    <x v="196"/>
    <x v="0"/>
    <x v="0"/>
    <x v="4"/>
    <x v="4"/>
    <x v="60"/>
    <x v="1"/>
    <x v="214"/>
    <x v="2"/>
    <x v="12"/>
    <x v="214"/>
    <x v="216"/>
    <x v="0"/>
    <x v="0"/>
    <x v="224"/>
    <x v="224"/>
    <x v="217"/>
    <x v="1"/>
  </r>
  <r>
    <x v="228"/>
    <x v="228"/>
    <x v="196"/>
    <x v="202"/>
    <x v="0"/>
    <x v="197"/>
    <x v="197"/>
    <x v="0"/>
    <x v="0"/>
    <x v="26"/>
    <x v="18"/>
    <x v="31"/>
    <x v="0"/>
    <x v="215"/>
    <x v="0"/>
    <x v="2"/>
    <x v="215"/>
    <x v="217"/>
    <x v="3"/>
    <x v="8"/>
    <x v="225"/>
    <x v="225"/>
    <x v="218"/>
    <x v="1"/>
  </r>
  <r>
    <x v="229"/>
    <x v="229"/>
    <x v="17"/>
    <x v="16"/>
    <x v="1"/>
    <x v="198"/>
    <x v="198"/>
    <x v="0"/>
    <x v="0"/>
    <x v="115"/>
    <x v="36"/>
    <x v="145"/>
    <x v="0"/>
    <x v="216"/>
    <x v="1"/>
    <x v="11"/>
    <x v="216"/>
    <x v="218"/>
    <x v="0"/>
    <x v="0"/>
    <x v="226"/>
    <x v="226"/>
    <x v="219"/>
    <x v="1"/>
  </r>
  <r>
    <x v="230"/>
    <x v="230"/>
    <x v="197"/>
    <x v="203"/>
    <x v="1"/>
    <x v="183"/>
    <x v="183"/>
    <x v="0"/>
    <x v="0"/>
    <x v="116"/>
    <x v="1"/>
    <x v="146"/>
    <x v="1"/>
    <x v="217"/>
    <x v="1"/>
    <x v="5"/>
    <x v="217"/>
    <x v="219"/>
    <x v="7"/>
    <x v="2"/>
    <x v="227"/>
    <x v="227"/>
    <x v="220"/>
    <x v="1"/>
  </r>
  <r>
    <x v="231"/>
    <x v="231"/>
    <x v="198"/>
    <x v="204"/>
    <x v="1"/>
    <x v="199"/>
    <x v="199"/>
    <x v="1"/>
    <x v="0"/>
    <x v="117"/>
    <x v="22"/>
    <x v="147"/>
    <x v="1"/>
    <x v="218"/>
    <x v="1"/>
    <x v="5"/>
    <x v="218"/>
    <x v="220"/>
    <x v="0"/>
    <x v="7"/>
    <x v="228"/>
    <x v="228"/>
    <x v="221"/>
    <x v="1"/>
  </r>
  <r>
    <x v="232"/>
    <x v="232"/>
    <x v="105"/>
    <x v="205"/>
    <x v="0"/>
    <x v="182"/>
    <x v="182"/>
    <x v="1"/>
    <x v="0"/>
    <x v="20"/>
    <x v="15"/>
    <x v="23"/>
    <x v="3"/>
    <x v="61"/>
    <x v="1"/>
    <x v="5"/>
    <x v="61"/>
    <x v="221"/>
    <x v="1"/>
    <x v="2"/>
    <x v="229"/>
    <x v="229"/>
    <x v="222"/>
    <x v="1"/>
  </r>
  <r>
    <x v="233"/>
    <x v="233"/>
    <x v="199"/>
    <x v="206"/>
    <x v="1"/>
    <x v="200"/>
    <x v="200"/>
    <x v="0"/>
    <x v="0"/>
    <x v="118"/>
    <x v="32"/>
    <x v="148"/>
    <x v="0"/>
    <x v="219"/>
    <x v="1"/>
    <x v="8"/>
    <x v="219"/>
    <x v="222"/>
    <x v="8"/>
    <x v="0"/>
    <x v="230"/>
    <x v="230"/>
    <x v="223"/>
    <x v="1"/>
  </r>
  <r>
    <x v="234"/>
    <x v="234"/>
    <x v="200"/>
    <x v="207"/>
    <x v="2"/>
    <x v="201"/>
    <x v="201"/>
    <x v="0"/>
    <x v="0"/>
    <x v="119"/>
    <x v="25"/>
    <x v="149"/>
    <x v="2"/>
    <x v="220"/>
    <x v="0"/>
    <x v="3"/>
    <x v="220"/>
    <x v="223"/>
    <x v="3"/>
    <x v="0"/>
    <x v="231"/>
    <x v="231"/>
    <x v="224"/>
    <x v="1"/>
  </r>
  <r>
    <x v="235"/>
    <x v="235"/>
    <x v="201"/>
    <x v="208"/>
    <x v="2"/>
    <x v="166"/>
    <x v="166"/>
    <x v="0"/>
    <x v="0"/>
    <x v="46"/>
    <x v="24"/>
    <x v="55"/>
    <x v="3"/>
    <x v="36"/>
    <x v="1"/>
    <x v="8"/>
    <x v="36"/>
    <x v="224"/>
    <x v="3"/>
    <x v="2"/>
    <x v="232"/>
    <x v="232"/>
    <x v="225"/>
    <x v="1"/>
  </r>
  <r>
    <x v="236"/>
    <x v="236"/>
    <x v="202"/>
    <x v="209"/>
    <x v="1"/>
    <x v="202"/>
    <x v="202"/>
    <x v="0"/>
    <x v="0"/>
    <x v="1"/>
    <x v="1"/>
    <x v="13"/>
    <x v="1"/>
    <x v="221"/>
    <x v="1"/>
    <x v="8"/>
    <x v="221"/>
    <x v="73"/>
    <x v="3"/>
    <x v="0"/>
    <x v="74"/>
    <x v="74"/>
    <x v="73"/>
    <x v="1"/>
  </r>
  <r>
    <x v="237"/>
    <x v="237"/>
    <x v="203"/>
    <x v="210"/>
    <x v="1"/>
    <x v="57"/>
    <x v="57"/>
    <x v="2"/>
    <x v="0"/>
    <x v="120"/>
    <x v="37"/>
    <x v="150"/>
    <x v="1"/>
    <x v="222"/>
    <x v="2"/>
    <x v="16"/>
    <x v="222"/>
    <x v="225"/>
    <x v="1"/>
    <x v="0"/>
    <x v="233"/>
    <x v="233"/>
    <x v="226"/>
    <x v="1"/>
  </r>
  <r>
    <x v="238"/>
    <x v="238"/>
    <x v="204"/>
    <x v="211"/>
    <x v="1"/>
    <x v="203"/>
    <x v="203"/>
    <x v="0"/>
    <x v="0"/>
    <x v="12"/>
    <x v="5"/>
    <x v="16"/>
    <x v="2"/>
    <x v="20"/>
    <x v="2"/>
    <x v="12"/>
    <x v="20"/>
    <x v="226"/>
    <x v="8"/>
    <x v="2"/>
    <x v="234"/>
    <x v="234"/>
    <x v="227"/>
    <x v="1"/>
  </r>
  <r>
    <x v="239"/>
    <x v="239"/>
    <x v="205"/>
    <x v="212"/>
    <x v="2"/>
    <x v="204"/>
    <x v="204"/>
    <x v="1"/>
    <x v="0"/>
    <x v="66"/>
    <x v="12"/>
    <x v="151"/>
    <x v="2"/>
    <x v="215"/>
    <x v="0"/>
    <x v="2"/>
    <x v="215"/>
    <x v="227"/>
    <x v="0"/>
    <x v="0"/>
    <x v="235"/>
    <x v="235"/>
    <x v="228"/>
    <x v="1"/>
  </r>
  <r>
    <x v="240"/>
    <x v="240"/>
    <x v="206"/>
    <x v="213"/>
    <x v="2"/>
    <x v="109"/>
    <x v="109"/>
    <x v="0"/>
    <x v="0"/>
    <x v="1"/>
    <x v="1"/>
    <x v="3"/>
    <x v="1"/>
    <x v="223"/>
    <x v="2"/>
    <x v="10"/>
    <x v="223"/>
    <x v="228"/>
    <x v="3"/>
    <x v="2"/>
    <x v="236"/>
    <x v="236"/>
    <x v="229"/>
    <x v="1"/>
  </r>
  <r>
    <x v="241"/>
    <x v="241"/>
    <x v="207"/>
    <x v="214"/>
    <x v="1"/>
    <x v="205"/>
    <x v="205"/>
    <x v="0"/>
    <x v="0"/>
    <x v="104"/>
    <x v="31"/>
    <x v="128"/>
    <x v="3"/>
    <x v="224"/>
    <x v="1"/>
    <x v="13"/>
    <x v="224"/>
    <x v="229"/>
    <x v="1"/>
    <x v="0"/>
    <x v="237"/>
    <x v="237"/>
    <x v="230"/>
    <x v="1"/>
  </r>
  <r>
    <x v="242"/>
    <x v="242"/>
    <x v="208"/>
    <x v="215"/>
    <x v="1"/>
    <x v="206"/>
    <x v="206"/>
    <x v="2"/>
    <x v="0"/>
    <x v="121"/>
    <x v="2"/>
    <x v="152"/>
    <x v="0"/>
    <x v="225"/>
    <x v="0"/>
    <x v="9"/>
    <x v="225"/>
    <x v="230"/>
    <x v="3"/>
    <x v="2"/>
    <x v="238"/>
    <x v="238"/>
    <x v="231"/>
    <x v="1"/>
  </r>
  <r>
    <x v="243"/>
    <x v="243"/>
    <x v="37"/>
    <x v="216"/>
    <x v="1"/>
    <x v="207"/>
    <x v="207"/>
    <x v="0"/>
    <x v="0"/>
    <x v="10"/>
    <x v="9"/>
    <x v="63"/>
    <x v="3"/>
    <x v="226"/>
    <x v="1"/>
    <x v="7"/>
    <x v="226"/>
    <x v="231"/>
    <x v="3"/>
    <x v="2"/>
    <x v="239"/>
    <x v="239"/>
    <x v="232"/>
    <x v="1"/>
  </r>
  <r>
    <x v="244"/>
    <x v="244"/>
    <x v="209"/>
    <x v="217"/>
    <x v="0"/>
    <x v="208"/>
    <x v="208"/>
    <x v="1"/>
    <x v="0"/>
    <x v="1"/>
    <x v="1"/>
    <x v="1"/>
    <x v="1"/>
    <x v="227"/>
    <x v="0"/>
    <x v="9"/>
    <x v="227"/>
    <x v="232"/>
    <x v="8"/>
    <x v="2"/>
    <x v="240"/>
    <x v="240"/>
    <x v="233"/>
    <x v="1"/>
  </r>
  <r>
    <x v="245"/>
    <x v="245"/>
    <x v="210"/>
    <x v="218"/>
    <x v="1"/>
    <x v="209"/>
    <x v="209"/>
    <x v="0"/>
    <x v="0"/>
    <x v="1"/>
    <x v="1"/>
    <x v="3"/>
    <x v="1"/>
    <x v="228"/>
    <x v="0"/>
    <x v="3"/>
    <x v="228"/>
    <x v="233"/>
    <x v="3"/>
    <x v="0"/>
    <x v="241"/>
    <x v="241"/>
    <x v="234"/>
    <x v="1"/>
  </r>
  <r>
    <x v="246"/>
    <x v="246"/>
    <x v="211"/>
    <x v="219"/>
    <x v="0"/>
    <x v="210"/>
    <x v="210"/>
    <x v="0"/>
    <x v="0"/>
    <x v="122"/>
    <x v="19"/>
    <x v="153"/>
    <x v="0"/>
    <x v="229"/>
    <x v="2"/>
    <x v="10"/>
    <x v="229"/>
    <x v="234"/>
    <x v="1"/>
    <x v="0"/>
    <x v="242"/>
    <x v="242"/>
    <x v="235"/>
    <x v="1"/>
  </r>
  <r>
    <x v="247"/>
    <x v="247"/>
    <x v="212"/>
    <x v="220"/>
    <x v="1"/>
    <x v="211"/>
    <x v="211"/>
    <x v="0"/>
    <x v="0"/>
    <x v="123"/>
    <x v="16"/>
    <x v="154"/>
    <x v="1"/>
    <x v="230"/>
    <x v="1"/>
    <x v="7"/>
    <x v="230"/>
    <x v="235"/>
    <x v="0"/>
    <x v="2"/>
    <x v="243"/>
    <x v="243"/>
    <x v="236"/>
    <x v="1"/>
  </r>
  <r>
    <x v="248"/>
    <x v="248"/>
    <x v="213"/>
    <x v="221"/>
    <x v="0"/>
    <x v="212"/>
    <x v="212"/>
    <x v="0"/>
    <x v="0"/>
    <x v="22"/>
    <x v="10"/>
    <x v="155"/>
    <x v="2"/>
    <x v="231"/>
    <x v="1"/>
    <x v="5"/>
    <x v="231"/>
    <x v="236"/>
    <x v="2"/>
    <x v="3"/>
    <x v="244"/>
    <x v="244"/>
    <x v="237"/>
    <x v="1"/>
  </r>
  <r>
    <x v="249"/>
    <x v="249"/>
    <x v="155"/>
    <x v="222"/>
    <x v="1"/>
    <x v="88"/>
    <x v="88"/>
    <x v="2"/>
    <x v="0"/>
    <x v="20"/>
    <x v="15"/>
    <x v="29"/>
    <x v="3"/>
    <x v="232"/>
    <x v="1"/>
    <x v="5"/>
    <x v="232"/>
    <x v="237"/>
    <x v="6"/>
    <x v="2"/>
    <x v="245"/>
    <x v="245"/>
    <x v="238"/>
    <x v="1"/>
  </r>
  <r>
    <x v="250"/>
    <x v="250"/>
    <x v="214"/>
    <x v="223"/>
    <x v="1"/>
    <x v="213"/>
    <x v="213"/>
    <x v="0"/>
    <x v="0"/>
    <x v="0"/>
    <x v="0"/>
    <x v="0"/>
    <x v="0"/>
    <x v="233"/>
    <x v="1"/>
    <x v="6"/>
    <x v="233"/>
    <x v="238"/>
    <x v="3"/>
    <x v="0"/>
    <x v="246"/>
    <x v="246"/>
    <x v="239"/>
    <x v="1"/>
  </r>
  <r>
    <x v="251"/>
    <x v="251"/>
    <x v="215"/>
    <x v="224"/>
    <x v="2"/>
    <x v="214"/>
    <x v="214"/>
    <x v="0"/>
    <x v="0"/>
    <x v="124"/>
    <x v="6"/>
    <x v="156"/>
    <x v="2"/>
    <x v="234"/>
    <x v="2"/>
    <x v="12"/>
    <x v="234"/>
    <x v="239"/>
    <x v="4"/>
    <x v="0"/>
    <x v="247"/>
    <x v="247"/>
    <x v="240"/>
    <x v="1"/>
  </r>
  <r>
    <x v="252"/>
    <x v="252"/>
    <x v="216"/>
    <x v="225"/>
    <x v="2"/>
    <x v="20"/>
    <x v="20"/>
    <x v="1"/>
    <x v="0"/>
    <x v="93"/>
    <x v="16"/>
    <x v="115"/>
    <x v="1"/>
    <x v="235"/>
    <x v="2"/>
    <x v="10"/>
    <x v="235"/>
    <x v="240"/>
    <x v="7"/>
    <x v="2"/>
    <x v="248"/>
    <x v="248"/>
    <x v="241"/>
    <x v="1"/>
  </r>
  <r>
    <x v="253"/>
    <x v="253"/>
    <x v="217"/>
    <x v="226"/>
    <x v="1"/>
    <x v="215"/>
    <x v="215"/>
    <x v="0"/>
    <x v="0"/>
    <x v="24"/>
    <x v="24"/>
    <x v="157"/>
    <x v="3"/>
    <x v="213"/>
    <x v="1"/>
    <x v="7"/>
    <x v="213"/>
    <x v="241"/>
    <x v="5"/>
    <x v="2"/>
    <x v="249"/>
    <x v="249"/>
    <x v="242"/>
    <x v="1"/>
  </r>
  <r>
    <x v="254"/>
    <x v="254"/>
    <x v="218"/>
    <x v="227"/>
    <x v="1"/>
    <x v="38"/>
    <x v="38"/>
    <x v="0"/>
    <x v="0"/>
    <x v="5"/>
    <x v="5"/>
    <x v="6"/>
    <x v="2"/>
    <x v="236"/>
    <x v="2"/>
    <x v="12"/>
    <x v="236"/>
    <x v="242"/>
    <x v="0"/>
    <x v="2"/>
    <x v="250"/>
    <x v="250"/>
    <x v="243"/>
    <x v="1"/>
  </r>
  <r>
    <x v="255"/>
    <x v="255"/>
    <x v="123"/>
    <x v="228"/>
    <x v="2"/>
    <x v="216"/>
    <x v="216"/>
    <x v="2"/>
    <x v="0"/>
    <x v="20"/>
    <x v="15"/>
    <x v="45"/>
    <x v="3"/>
    <x v="237"/>
    <x v="1"/>
    <x v="5"/>
    <x v="237"/>
    <x v="243"/>
    <x v="4"/>
    <x v="2"/>
    <x v="251"/>
    <x v="251"/>
    <x v="244"/>
    <x v="1"/>
  </r>
  <r>
    <x v="256"/>
    <x v="256"/>
    <x v="219"/>
    <x v="50"/>
    <x v="0"/>
    <x v="158"/>
    <x v="158"/>
    <x v="1"/>
    <x v="0"/>
    <x v="22"/>
    <x v="10"/>
    <x v="155"/>
    <x v="2"/>
    <x v="25"/>
    <x v="1"/>
    <x v="7"/>
    <x v="25"/>
    <x v="244"/>
    <x v="5"/>
    <x v="2"/>
    <x v="252"/>
    <x v="252"/>
    <x v="245"/>
    <x v="1"/>
  </r>
  <r>
    <x v="257"/>
    <x v="257"/>
    <x v="173"/>
    <x v="229"/>
    <x v="0"/>
    <x v="217"/>
    <x v="217"/>
    <x v="0"/>
    <x v="0"/>
    <x v="8"/>
    <x v="1"/>
    <x v="94"/>
    <x v="1"/>
    <x v="238"/>
    <x v="0"/>
    <x v="9"/>
    <x v="238"/>
    <x v="245"/>
    <x v="0"/>
    <x v="2"/>
    <x v="253"/>
    <x v="253"/>
    <x v="246"/>
    <x v="1"/>
  </r>
  <r>
    <x v="258"/>
    <x v="258"/>
    <x v="220"/>
    <x v="230"/>
    <x v="2"/>
    <x v="53"/>
    <x v="53"/>
    <x v="0"/>
    <x v="0"/>
    <x v="108"/>
    <x v="2"/>
    <x v="133"/>
    <x v="0"/>
    <x v="239"/>
    <x v="0"/>
    <x v="3"/>
    <x v="239"/>
    <x v="246"/>
    <x v="8"/>
    <x v="2"/>
    <x v="254"/>
    <x v="254"/>
    <x v="247"/>
    <x v="1"/>
  </r>
  <r>
    <x v="259"/>
    <x v="259"/>
    <x v="221"/>
    <x v="51"/>
    <x v="1"/>
    <x v="218"/>
    <x v="218"/>
    <x v="0"/>
    <x v="0"/>
    <x v="12"/>
    <x v="5"/>
    <x v="32"/>
    <x v="2"/>
    <x v="240"/>
    <x v="1"/>
    <x v="13"/>
    <x v="240"/>
    <x v="247"/>
    <x v="3"/>
    <x v="2"/>
    <x v="255"/>
    <x v="255"/>
    <x v="248"/>
    <x v="1"/>
  </r>
  <r>
    <x v="260"/>
    <x v="260"/>
    <x v="222"/>
    <x v="231"/>
    <x v="0"/>
    <x v="158"/>
    <x v="158"/>
    <x v="1"/>
    <x v="0"/>
    <x v="125"/>
    <x v="1"/>
    <x v="158"/>
    <x v="1"/>
    <x v="241"/>
    <x v="1"/>
    <x v="7"/>
    <x v="241"/>
    <x v="248"/>
    <x v="0"/>
    <x v="0"/>
    <x v="256"/>
    <x v="256"/>
    <x v="249"/>
    <x v="1"/>
  </r>
  <r>
    <x v="261"/>
    <x v="261"/>
    <x v="223"/>
    <x v="232"/>
    <x v="0"/>
    <x v="219"/>
    <x v="219"/>
    <x v="0"/>
    <x v="0"/>
    <x v="40"/>
    <x v="3"/>
    <x v="124"/>
    <x v="0"/>
    <x v="242"/>
    <x v="1"/>
    <x v="8"/>
    <x v="242"/>
    <x v="249"/>
    <x v="6"/>
    <x v="2"/>
    <x v="257"/>
    <x v="257"/>
    <x v="250"/>
    <x v="1"/>
  </r>
  <r>
    <x v="262"/>
    <x v="262"/>
    <x v="224"/>
    <x v="35"/>
    <x v="1"/>
    <x v="220"/>
    <x v="220"/>
    <x v="0"/>
    <x v="0"/>
    <x v="1"/>
    <x v="1"/>
    <x v="62"/>
    <x v="1"/>
    <x v="243"/>
    <x v="1"/>
    <x v="1"/>
    <x v="243"/>
    <x v="156"/>
    <x v="0"/>
    <x v="0"/>
    <x v="162"/>
    <x v="162"/>
    <x v="157"/>
    <x v="1"/>
  </r>
  <r>
    <x v="263"/>
    <x v="263"/>
    <x v="225"/>
    <x v="228"/>
    <x v="0"/>
    <x v="221"/>
    <x v="221"/>
    <x v="0"/>
    <x v="0"/>
    <x v="8"/>
    <x v="1"/>
    <x v="94"/>
    <x v="1"/>
    <x v="184"/>
    <x v="0"/>
    <x v="3"/>
    <x v="184"/>
    <x v="250"/>
    <x v="3"/>
    <x v="0"/>
    <x v="258"/>
    <x v="258"/>
    <x v="251"/>
    <x v="1"/>
  </r>
  <r>
    <x v="264"/>
    <x v="264"/>
    <x v="80"/>
    <x v="233"/>
    <x v="0"/>
    <x v="222"/>
    <x v="222"/>
    <x v="0"/>
    <x v="0"/>
    <x v="67"/>
    <x v="2"/>
    <x v="85"/>
    <x v="0"/>
    <x v="244"/>
    <x v="1"/>
    <x v="6"/>
    <x v="244"/>
    <x v="251"/>
    <x v="1"/>
    <x v="2"/>
    <x v="259"/>
    <x v="259"/>
    <x v="252"/>
    <x v="1"/>
  </r>
  <r>
    <x v="265"/>
    <x v="265"/>
    <x v="214"/>
    <x v="234"/>
    <x v="2"/>
    <x v="223"/>
    <x v="223"/>
    <x v="0"/>
    <x v="0"/>
    <x v="4"/>
    <x v="4"/>
    <x v="59"/>
    <x v="1"/>
    <x v="245"/>
    <x v="1"/>
    <x v="13"/>
    <x v="245"/>
    <x v="252"/>
    <x v="0"/>
    <x v="0"/>
    <x v="253"/>
    <x v="253"/>
    <x v="253"/>
    <x v="1"/>
  </r>
  <r>
    <x v="266"/>
    <x v="266"/>
    <x v="226"/>
    <x v="235"/>
    <x v="2"/>
    <x v="224"/>
    <x v="224"/>
    <x v="0"/>
    <x v="0"/>
    <x v="1"/>
    <x v="1"/>
    <x v="141"/>
    <x v="1"/>
    <x v="246"/>
    <x v="2"/>
    <x v="10"/>
    <x v="246"/>
    <x v="253"/>
    <x v="3"/>
    <x v="2"/>
    <x v="260"/>
    <x v="260"/>
    <x v="254"/>
    <x v="1"/>
  </r>
  <r>
    <x v="267"/>
    <x v="267"/>
    <x v="172"/>
    <x v="179"/>
    <x v="1"/>
    <x v="225"/>
    <x v="225"/>
    <x v="1"/>
    <x v="0"/>
    <x v="4"/>
    <x v="4"/>
    <x v="59"/>
    <x v="1"/>
    <x v="247"/>
    <x v="1"/>
    <x v="4"/>
    <x v="247"/>
    <x v="254"/>
    <x v="7"/>
    <x v="0"/>
    <x v="261"/>
    <x v="261"/>
    <x v="255"/>
    <x v="1"/>
  </r>
  <r>
    <x v="268"/>
    <x v="268"/>
    <x v="116"/>
    <x v="236"/>
    <x v="1"/>
    <x v="226"/>
    <x v="226"/>
    <x v="0"/>
    <x v="0"/>
    <x v="20"/>
    <x v="15"/>
    <x v="23"/>
    <x v="3"/>
    <x v="243"/>
    <x v="1"/>
    <x v="1"/>
    <x v="243"/>
    <x v="255"/>
    <x v="2"/>
    <x v="0"/>
    <x v="262"/>
    <x v="262"/>
    <x v="256"/>
    <x v="1"/>
  </r>
  <r>
    <x v="269"/>
    <x v="269"/>
    <x v="54"/>
    <x v="237"/>
    <x v="1"/>
    <x v="227"/>
    <x v="227"/>
    <x v="0"/>
    <x v="0"/>
    <x v="126"/>
    <x v="4"/>
    <x v="159"/>
    <x v="1"/>
    <x v="248"/>
    <x v="1"/>
    <x v="8"/>
    <x v="248"/>
    <x v="66"/>
    <x v="3"/>
    <x v="0"/>
    <x v="67"/>
    <x v="67"/>
    <x v="66"/>
    <x v="1"/>
  </r>
  <r>
    <x v="270"/>
    <x v="270"/>
    <x v="227"/>
    <x v="238"/>
    <x v="0"/>
    <x v="228"/>
    <x v="228"/>
    <x v="0"/>
    <x v="0"/>
    <x v="85"/>
    <x v="1"/>
    <x v="106"/>
    <x v="1"/>
    <x v="247"/>
    <x v="1"/>
    <x v="4"/>
    <x v="247"/>
    <x v="256"/>
    <x v="9"/>
    <x v="0"/>
    <x v="263"/>
    <x v="263"/>
    <x v="257"/>
    <x v="1"/>
  </r>
  <r>
    <x v="271"/>
    <x v="271"/>
    <x v="228"/>
    <x v="239"/>
    <x v="1"/>
    <x v="229"/>
    <x v="229"/>
    <x v="0"/>
    <x v="0"/>
    <x v="22"/>
    <x v="10"/>
    <x v="26"/>
    <x v="2"/>
    <x v="249"/>
    <x v="1"/>
    <x v="7"/>
    <x v="249"/>
    <x v="257"/>
    <x v="0"/>
    <x v="2"/>
    <x v="264"/>
    <x v="264"/>
    <x v="258"/>
    <x v="1"/>
  </r>
  <r>
    <x v="272"/>
    <x v="272"/>
    <x v="229"/>
    <x v="240"/>
    <x v="1"/>
    <x v="230"/>
    <x v="230"/>
    <x v="0"/>
    <x v="0"/>
    <x v="1"/>
    <x v="1"/>
    <x v="25"/>
    <x v="1"/>
    <x v="250"/>
    <x v="1"/>
    <x v="15"/>
    <x v="250"/>
    <x v="258"/>
    <x v="6"/>
    <x v="0"/>
    <x v="265"/>
    <x v="265"/>
    <x v="259"/>
    <x v="1"/>
  </r>
  <r>
    <x v="273"/>
    <x v="273"/>
    <x v="96"/>
    <x v="241"/>
    <x v="1"/>
    <x v="231"/>
    <x v="231"/>
    <x v="0"/>
    <x v="0"/>
    <x v="60"/>
    <x v="22"/>
    <x v="76"/>
    <x v="1"/>
    <x v="15"/>
    <x v="2"/>
    <x v="10"/>
    <x v="15"/>
    <x v="259"/>
    <x v="3"/>
    <x v="2"/>
    <x v="266"/>
    <x v="266"/>
    <x v="260"/>
    <x v="1"/>
  </r>
  <r>
    <x v="274"/>
    <x v="274"/>
    <x v="230"/>
    <x v="242"/>
    <x v="1"/>
    <x v="232"/>
    <x v="232"/>
    <x v="0"/>
    <x v="0"/>
    <x v="102"/>
    <x v="0"/>
    <x v="126"/>
    <x v="0"/>
    <x v="251"/>
    <x v="0"/>
    <x v="9"/>
    <x v="251"/>
    <x v="260"/>
    <x v="8"/>
    <x v="0"/>
    <x v="267"/>
    <x v="267"/>
    <x v="261"/>
    <x v="1"/>
  </r>
  <r>
    <x v="275"/>
    <x v="275"/>
    <x v="231"/>
    <x v="243"/>
    <x v="1"/>
    <x v="233"/>
    <x v="233"/>
    <x v="0"/>
    <x v="0"/>
    <x v="127"/>
    <x v="21"/>
    <x v="160"/>
    <x v="1"/>
    <x v="252"/>
    <x v="2"/>
    <x v="10"/>
    <x v="252"/>
    <x v="261"/>
    <x v="0"/>
    <x v="2"/>
    <x v="268"/>
    <x v="268"/>
    <x v="262"/>
    <x v="1"/>
  </r>
  <r>
    <x v="276"/>
    <x v="276"/>
    <x v="232"/>
    <x v="244"/>
    <x v="1"/>
    <x v="234"/>
    <x v="234"/>
    <x v="0"/>
    <x v="0"/>
    <x v="128"/>
    <x v="5"/>
    <x v="161"/>
    <x v="2"/>
    <x v="253"/>
    <x v="1"/>
    <x v="8"/>
    <x v="253"/>
    <x v="262"/>
    <x v="0"/>
    <x v="2"/>
    <x v="269"/>
    <x v="269"/>
    <x v="263"/>
    <x v="1"/>
  </r>
  <r>
    <x v="277"/>
    <x v="277"/>
    <x v="233"/>
    <x v="245"/>
    <x v="1"/>
    <x v="235"/>
    <x v="235"/>
    <x v="0"/>
    <x v="0"/>
    <x v="70"/>
    <x v="1"/>
    <x v="142"/>
    <x v="1"/>
    <x v="254"/>
    <x v="1"/>
    <x v="6"/>
    <x v="254"/>
    <x v="263"/>
    <x v="0"/>
    <x v="0"/>
    <x v="270"/>
    <x v="270"/>
    <x v="264"/>
    <x v="1"/>
  </r>
  <r>
    <x v="278"/>
    <x v="278"/>
    <x v="216"/>
    <x v="220"/>
    <x v="2"/>
    <x v="236"/>
    <x v="236"/>
    <x v="0"/>
    <x v="0"/>
    <x v="10"/>
    <x v="9"/>
    <x v="63"/>
    <x v="3"/>
    <x v="255"/>
    <x v="1"/>
    <x v="15"/>
    <x v="255"/>
    <x v="264"/>
    <x v="0"/>
    <x v="2"/>
    <x v="271"/>
    <x v="271"/>
    <x v="265"/>
    <x v="1"/>
  </r>
  <r>
    <x v="279"/>
    <x v="279"/>
    <x v="87"/>
    <x v="246"/>
    <x v="1"/>
    <x v="237"/>
    <x v="237"/>
    <x v="0"/>
    <x v="0"/>
    <x v="10"/>
    <x v="9"/>
    <x v="74"/>
    <x v="3"/>
    <x v="256"/>
    <x v="2"/>
    <x v="10"/>
    <x v="256"/>
    <x v="265"/>
    <x v="3"/>
    <x v="8"/>
    <x v="272"/>
    <x v="272"/>
    <x v="266"/>
    <x v="1"/>
  </r>
  <r>
    <x v="280"/>
    <x v="280"/>
    <x v="234"/>
    <x v="247"/>
    <x v="1"/>
    <x v="238"/>
    <x v="238"/>
    <x v="0"/>
    <x v="0"/>
    <x v="67"/>
    <x v="2"/>
    <x v="85"/>
    <x v="0"/>
    <x v="257"/>
    <x v="1"/>
    <x v="7"/>
    <x v="257"/>
    <x v="266"/>
    <x v="8"/>
    <x v="2"/>
    <x v="273"/>
    <x v="273"/>
    <x v="267"/>
    <x v="1"/>
  </r>
  <r>
    <x v="281"/>
    <x v="281"/>
    <x v="235"/>
    <x v="248"/>
    <x v="1"/>
    <x v="239"/>
    <x v="239"/>
    <x v="0"/>
    <x v="0"/>
    <x v="10"/>
    <x v="9"/>
    <x v="63"/>
    <x v="3"/>
    <x v="258"/>
    <x v="1"/>
    <x v="5"/>
    <x v="258"/>
    <x v="267"/>
    <x v="0"/>
    <x v="7"/>
    <x v="274"/>
    <x v="274"/>
    <x v="268"/>
    <x v="1"/>
  </r>
  <r>
    <x v="282"/>
    <x v="282"/>
    <x v="236"/>
    <x v="249"/>
    <x v="2"/>
    <x v="240"/>
    <x v="240"/>
    <x v="1"/>
    <x v="0"/>
    <x v="61"/>
    <x v="5"/>
    <x v="162"/>
    <x v="2"/>
    <x v="166"/>
    <x v="2"/>
    <x v="10"/>
    <x v="166"/>
    <x v="268"/>
    <x v="3"/>
    <x v="2"/>
    <x v="275"/>
    <x v="275"/>
    <x v="269"/>
    <x v="1"/>
  </r>
  <r>
    <x v="283"/>
    <x v="283"/>
    <x v="108"/>
    <x v="250"/>
    <x v="0"/>
    <x v="241"/>
    <x v="241"/>
    <x v="1"/>
    <x v="0"/>
    <x v="10"/>
    <x v="9"/>
    <x v="105"/>
    <x v="3"/>
    <x v="259"/>
    <x v="1"/>
    <x v="4"/>
    <x v="259"/>
    <x v="269"/>
    <x v="0"/>
    <x v="2"/>
    <x v="276"/>
    <x v="276"/>
    <x v="270"/>
    <x v="0"/>
  </r>
  <r>
    <x v="284"/>
    <x v="284"/>
    <x v="237"/>
    <x v="251"/>
    <x v="0"/>
    <x v="242"/>
    <x v="242"/>
    <x v="0"/>
    <x v="0"/>
    <x v="129"/>
    <x v="24"/>
    <x v="163"/>
    <x v="3"/>
    <x v="260"/>
    <x v="2"/>
    <x v="10"/>
    <x v="260"/>
    <x v="270"/>
    <x v="11"/>
    <x v="8"/>
    <x v="277"/>
    <x v="277"/>
    <x v="271"/>
    <x v="1"/>
  </r>
  <r>
    <x v="285"/>
    <x v="285"/>
    <x v="238"/>
    <x v="176"/>
    <x v="0"/>
    <x v="243"/>
    <x v="243"/>
    <x v="1"/>
    <x v="0"/>
    <x v="20"/>
    <x v="15"/>
    <x v="164"/>
    <x v="3"/>
    <x v="261"/>
    <x v="0"/>
    <x v="3"/>
    <x v="261"/>
    <x v="271"/>
    <x v="0"/>
    <x v="0"/>
    <x v="278"/>
    <x v="278"/>
    <x v="272"/>
    <x v="1"/>
  </r>
  <r>
    <x v="286"/>
    <x v="286"/>
    <x v="58"/>
    <x v="252"/>
    <x v="1"/>
    <x v="244"/>
    <x v="244"/>
    <x v="0"/>
    <x v="0"/>
    <x v="22"/>
    <x v="10"/>
    <x v="26"/>
    <x v="2"/>
    <x v="262"/>
    <x v="1"/>
    <x v="5"/>
    <x v="262"/>
    <x v="272"/>
    <x v="1"/>
    <x v="3"/>
    <x v="279"/>
    <x v="279"/>
    <x v="273"/>
    <x v="1"/>
  </r>
  <r>
    <x v="287"/>
    <x v="287"/>
    <x v="239"/>
    <x v="253"/>
    <x v="1"/>
    <x v="245"/>
    <x v="245"/>
    <x v="1"/>
    <x v="0"/>
    <x v="130"/>
    <x v="12"/>
    <x v="165"/>
    <x v="2"/>
    <x v="263"/>
    <x v="0"/>
    <x v="9"/>
    <x v="263"/>
    <x v="40"/>
    <x v="0"/>
    <x v="0"/>
    <x v="280"/>
    <x v="280"/>
    <x v="40"/>
    <x v="1"/>
  </r>
  <r>
    <x v="288"/>
    <x v="288"/>
    <x v="175"/>
    <x v="184"/>
    <x v="1"/>
    <x v="246"/>
    <x v="246"/>
    <x v="2"/>
    <x v="0"/>
    <x v="20"/>
    <x v="15"/>
    <x v="29"/>
    <x v="3"/>
    <x v="264"/>
    <x v="0"/>
    <x v="3"/>
    <x v="264"/>
    <x v="273"/>
    <x v="2"/>
    <x v="0"/>
    <x v="281"/>
    <x v="281"/>
    <x v="274"/>
    <x v="1"/>
  </r>
  <r>
    <x v="289"/>
    <x v="289"/>
    <x v="240"/>
    <x v="254"/>
    <x v="1"/>
    <x v="247"/>
    <x v="247"/>
    <x v="0"/>
    <x v="0"/>
    <x v="4"/>
    <x v="4"/>
    <x v="60"/>
    <x v="1"/>
    <x v="265"/>
    <x v="1"/>
    <x v="6"/>
    <x v="265"/>
    <x v="274"/>
    <x v="0"/>
    <x v="0"/>
    <x v="282"/>
    <x v="282"/>
    <x v="275"/>
    <x v="1"/>
  </r>
  <r>
    <x v="290"/>
    <x v="290"/>
    <x v="94"/>
    <x v="91"/>
    <x v="1"/>
    <x v="95"/>
    <x v="95"/>
    <x v="0"/>
    <x v="0"/>
    <x v="8"/>
    <x v="1"/>
    <x v="34"/>
    <x v="1"/>
    <x v="266"/>
    <x v="1"/>
    <x v="5"/>
    <x v="266"/>
    <x v="275"/>
    <x v="1"/>
    <x v="2"/>
    <x v="283"/>
    <x v="283"/>
    <x v="276"/>
    <x v="1"/>
  </r>
  <r>
    <x v="291"/>
    <x v="291"/>
    <x v="25"/>
    <x v="10"/>
    <x v="0"/>
    <x v="248"/>
    <x v="248"/>
    <x v="0"/>
    <x v="0"/>
    <x v="34"/>
    <x v="22"/>
    <x v="42"/>
    <x v="1"/>
    <x v="267"/>
    <x v="1"/>
    <x v="7"/>
    <x v="267"/>
    <x v="276"/>
    <x v="3"/>
    <x v="2"/>
    <x v="284"/>
    <x v="284"/>
    <x v="277"/>
    <x v="1"/>
  </r>
  <r>
    <x v="292"/>
    <x v="292"/>
    <x v="241"/>
    <x v="255"/>
    <x v="0"/>
    <x v="205"/>
    <x v="205"/>
    <x v="0"/>
    <x v="0"/>
    <x v="100"/>
    <x v="2"/>
    <x v="123"/>
    <x v="0"/>
    <x v="268"/>
    <x v="2"/>
    <x v="12"/>
    <x v="268"/>
    <x v="277"/>
    <x v="3"/>
    <x v="2"/>
    <x v="285"/>
    <x v="285"/>
    <x v="278"/>
    <x v="1"/>
  </r>
  <r>
    <x v="293"/>
    <x v="293"/>
    <x v="242"/>
    <x v="256"/>
    <x v="0"/>
    <x v="249"/>
    <x v="249"/>
    <x v="1"/>
    <x v="0"/>
    <x v="131"/>
    <x v="32"/>
    <x v="166"/>
    <x v="0"/>
    <x v="269"/>
    <x v="0"/>
    <x v="9"/>
    <x v="269"/>
    <x v="278"/>
    <x v="3"/>
    <x v="0"/>
    <x v="286"/>
    <x v="286"/>
    <x v="279"/>
    <x v="1"/>
  </r>
  <r>
    <x v="294"/>
    <x v="294"/>
    <x v="243"/>
    <x v="257"/>
    <x v="1"/>
    <x v="250"/>
    <x v="250"/>
    <x v="0"/>
    <x v="0"/>
    <x v="34"/>
    <x v="22"/>
    <x v="42"/>
    <x v="1"/>
    <x v="270"/>
    <x v="1"/>
    <x v="5"/>
    <x v="270"/>
    <x v="279"/>
    <x v="3"/>
    <x v="7"/>
    <x v="287"/>
    <x v="287"/>
    <x v="280"/>
    <x v="1"/>
  </r>
  <r>
    <x v="295"/>
    <x v="295"/>
    <x v="244"/>
    <x v="258"/>
    <x v="1"/>
    <x v="46"/>
    <x v="46"/>
    <x v="2"/>
    <x v="0"/>
    <x v="132"/>
    <x v="1"/>
    <x v="167"/>
    <x v="1"/>
    <x v="271"/>
    <x v="0"/>
    <x v="3"/>
    <x v="271"/>
    <x v="280"/>
    <x v="1"/>
    <x v="0"/>
    <x v="288"/>
    <x v="288"/>
    <x v="281"/>
    <x v="1"/>
  </r>
  <r>
    <x v="296"/>
    <x v="296"/>
    <x v="122"/>
    <x v="259"/>
    <x v="1"/>
    <x v="251"/>
    <x v="251"/>
    <x v="1"/>
    <x v="0"/>
    <x v="31"/>
    <x v="11"/>
    <x v="39"/>
    <x v="2"/>
    <x v="272"/>
    <x v="0"/>
    <x v="3"/>
    <x v="272"/>
    <x v="281"/>
    <x v="3"/>
    <x v="0"/>
    <x v="289"/>
    <x v="289"/>
    <x v="282"/>
    <x v="1"/>
  </r>
  <r>
    <x v="297"/>
    <x v="297"/>
    <x v="245"/>
    <x v="260"/>
    <x v="0"/>
    <x v="252"/>
    <x v="252"/>
    <x v="0"/>
    <x v="0"/>
    <x v="133"/>
    <x v="1"/>
    <x v="168"/>
    <x v="1"/>
    <x v="273"/>
    <x v="1"/>
    <x v="7"/>
    <x v="273"/>
    <x v="282"/>
    <x v="0"/>
    <x v="0"/>
    <x v="290"/>
    <x v="290"/>
    <x v="283"/>
    <x v="1"/>
  </r>
  <r>
    <x v="298"/>
    <x v="298"/>
    <x v="193"/>
    <x v="261"/>
    <x v="1"/>
    <x v="253"/>
    <x v="253"/>
    <x v="0"/>
    <x v="0"/>
    <x v="134"/>
    <x v="12"/>
    <x v="169"/>
    <x v="2"/>
    <x v="274"/>
    <x v="2"/>
    <x v="12"/>
    <x v="274"/>
    <x v="283"/>
    <x v="6"/>
    <x v="0"/>
    <x v="291"/>
    <x v="291"/>
    <x v="284"/>
    <x v="1"/>
  </r>
  <r>
    <x v="299"/>
    <x v="299"/>
    <x v="246"/>
    <x v="262"/>
    <x v="1"/>
    <x v="69"/>
    <x v="69"/>
    <x v="2"/>
    <x v="0"/>
    <x v="135"/>
    <x v="30"/>
    <x v="170"/>
    <x v="3"/>
    <x v="275"/>
    <x v="1"/>
    <x v="4"/>
    <x v="275"/>
    <x v="284"/>
    <x v="8"/>
    <x v="0"/>
    <x v="292"/>
    <x v="292"/>
    <x v="285"/>
    <x v="1"/>
  </r>
  <r>
    <x v="300"/>
    <x v="300"/>
    <x v="247"/>
    <x v="263"/>
    <x v="1"/>
    <x v="254"/>
    <x v="254"/>
    <x v="2"/>
    <x v="0"/>
    <x v="38"/>
    <x v="14"/>
    <x v="134"/>
    <x v="2"/>
    <x v="276"/>
    <x v="1"/>
    <x v="6"/>
    <x v="276"/>
    <x v="285"/>
    <x v="0"/>
    <x v="0"/>
    <x v="293"/>
    <x v="293"/>
    <x v="286"/>
    <x v="1"/>
  </r>
  <r>
    <x v="301"/>
    <x v="301"/>
    <x v="178"/>
    <x v="264"/>
    <x v="1"/>
    <x v="121"/>
    <x v="121"/>
    <x v="1"/>
    <x v="0"/>
    <x v="136"/>
    <x v="16"/>
    <x v="171"/>
    <x v="1"/>
    <x v="277"/>
    <x v="1"/>
    <x v="13"/>
    <x v="224"/>
    <x v="286"/>
    <x v="1"/>
    <x v="2"/>
    <x v="294"/>
    <x v="294"/>
    <x v="287"/>
    <x v="1"/>
  </r>
  <r>
    <x v="302"/>
    <x v="302"/>
    <x v="25"/>
    <x v="265"/>
    <x v="0"/>
    <x v="255"/>
    <x v="255"/>
    <x v="1"/>
    <x v="0"/>
    <x v="137"/>
    <x v="4"/>
    <x v="172"/>
    <x v="1"/>
    <x v="278"/>
    <x v="0"/>
    <x v="3"/>
    <x v="277"/>
    <x v="287"/>
    <x v="6"/>
    <x v="0"/>
    <x v="295"/>
    <x v="295"/>
    <x v="288"/>
    <x v="1"/>
  </r>
  <r>
    <x v="303"/>
    <x v="303"/>
    <x v="248"/>
    <x v="154"/>
    <x v="1"/>
    <x v="256"/>
    <x v="256"/>
    <x v="2"/>
    <x v="0"/>
    <x v="20"/>
    <x v="15"/>
    <x v="23"/>
    <x v="3"/>
    <x v="29"/>
    <x v="1"/>
    <x v="4"/>
    <x v="29"/>
    <x v="288"/>
    <x v="11"/>
    <x v="0"/>
    <x v="296"/>
    <x v="296"/>
    <x v="289"/>
    <x v="1"/>
  </r>
  <r>
    <x v="304"/>
    <x v="304"/>
    <x v="249"/>
    <x v="266"/>
    <x v="1"/>
    <x v="153"/>
    <x v="153"/>
    <x v="1"/>
    <x v="0"/>
    <x v="20"/>
    <x v="15"/>
    <x v="45"/>
    <x v="3"/>
    <x v="279"/>
    <x v="1"/>
    <x v="4"/>
    <x v="278"/>
    <x v="289"/>
    <x v="0"/>
    <x v="0"/>
    <x v="297"/>
    <x v="297"/>
    <x v="290"/>
    <x v="1"/>
  </r>
  <r>
    <x v="305"/>
    <x v="305"/>
    <x v="250"/>
    <x v="267"/>
    <x v="1"/>
    <x v="257"/>
    <x v="257"/>
    <x v="0"/>
    <x v="0"/>
    <x v="38"/>
    <x v="24"/>
    <x v="47"/>
    <x v="3"/>
    <x v="280"/>
    <x v="1"/>
    <x v="6"/>
    <x v="279"/>
    <x v="290"/>
    <x v="0"/>
    <x v="2"/>
    <x v="298"/>
    <x v="298"/>
    <x v="291"/>
    <x v="1"/>
  </r>
  <r>
    <x v="306"/>
    <x v="306"/>
    <x v="251"/>
    <x v="268"/>
    <x v="3"/>
    <x v="258"/>
    <x v="258"/>
    <x v="2"/>
    <x v="0"/>
    <x v="34"/>
    <x v="10"/>
    <x v="173"/>
    <x v="2"/>
    <x v="281"/>
    <x v="0"/>
    <x v="9"/>
    <x v="280"/>
    <x v="291"/>
    <x v="0"/>
    <x v="4"/>
    <x v="299"/>
    <x v="299"/>
    <x v="292"/>
    <x v="1"/>
  </r>
  <r>
    <x v="307"/>
    <x v="307"/>
    <x v="252"/>
    <x v="269"/>
    <x v="1"/>
    <x v="90"/>
    <x v="90"/>
    <x v="0"/>
    <x v="0"/>
    <x v="81"/>
    <x v="5"/>
    <x v="174"/>
    <x v="2"/>
    <x v="257"/>
    <x v="1"/>
    <x v="7"/>
    <x v="257"/>
    <x v="292"/>
    <x v="2"/>
    <x v="2"/>
    <x v="300"/>
    <x v="300"/>
    <x v="293"/>
    <x v="1"/>
  </r>
  <r>
    <x v="308"/>
    <x v="308"/>
    <x v="253"/>
    <x v="270"/>
    <x v="1"/>
    <x v="259"/>
    <x v="259"/>
    <x v="1"/>
    <x v="0"/>
    <x v="20"/>
    <x v="15"/>
    <x v="164"/>
    <x v="3"/>
    <x v="282"/>
    <x v="1"/>
    <x v="7"/>
    <x v="281"/>
    <x v="293"/>
    <x v="1"/>
    <x v="0"/>
    <x v="301"/>
    <x v="301"/>
    <x v="294"/>
    <x v="1"/>
  </r>
  <r>
    <x v="309"/>
    <x v="309"/>
    <x v="254"/>
    <x v="271"/>
    <x v="3"/>
    <x v="116"/>
    <x v="116"/>
    <x v="0"/>
    <x v="0"/>
    <x v="103"/>
    <x v="0"/>
    <x v="175"/>
    <x v="0"/>
    <x v="55"/>
    <x v="1"/>
    <x v="13"/>
    <x v="55"/>
    <x v="294"/>
    <x v="3"/>
    <x v="0"/>
    <x v="302"/>
    <x v="302"/>
    <x v="295"/>
    <x v="1"/>
  </r>
  <r>
    <x v="310"/>
    <x v="310"/>
    <x v="110"/>
    <x v="272"/>
    <x v="0"/>
    <x v="260"/>
    <x v="260"/>
    <x v="1"/>
    <x v="0"/>
    <x v="61"/>
    <x v="5"/>
    <x v="176"/>
    <x v="2"/>
    <x v="283"/>
    <x v="1"/>
    <x v="15"/>
    <x v="282"/>
    <x v="295"/>
    <x v="3"/>
    <x v="2"/>
    <x v="303"/>
    <x v="303"/>
    <x v="296"/>
    <x v="1"/>
  </r>
  <r>
    <x v="311"/>
    <x v="311"/>
    <x v="163"/>
    <x v="166"/>
    <x v="2"/>
    <x v="261"/>
    <x v="261"/>
    <x v="0"/>
    <x v="0"/>
    <x v="138"/>
    <x v="24"/>
    <x v="177"/>
    <x v="3"/>
    <x v="284"/>
    <x v="0"/>
    <x v="3"/>
    <x v="283"/>
    <x v="296"/>
    <x v="1"/>
    <x v="2"/>
    <x v="304"/>
    <x v="304"/>
    <x v="297"/>
    <x v="1"/>
  </r>
  <r>
    <x v="312"/>
    <x v="312"/>
    <x v="255"/>
    <x v="198"/>
    <x v="1"/>
    <x v="246"/>
    <x v="246"/>
    <x v="2"/>
    <x v="0"/>
    <x v="22"/>
    <x v="10"/>
    <x v="155"/>
    <x v="2"/>
    <x v="285"/>
    <x v="0"/>
    <x v="3"/>
    <x v="284"/>
    <x v="297"/>
    <x v="3"/>
    <x v="6"/>
    <x v="305"/>
    <x v="305"/>
    <x v="298"/>
    <x v="1"/>
  </r>
  <r>
    <x v="313"/>
    <x v="313"/>
    <x v="140"/>
    <x v="273"/>
    <x v="1"/>
    <x v="143"/>
    <x v="143"/>
    <x v="0"/>
    <x v="0"/>
    <x v="94"/>
    <x v="10"/>
    <x v="116"/>
    <x v="2"/>
    <x v="286"/>
    <x v="1"/>
    <x v="8"/>
    <x v="285"/>
    <x v="298"/>
    <x v="1"/>
    <x v="2"/>
    <x v="306"/>
    <x v="306"/>
    <x v="299"/>
    <x v="1"/>
  </r>
  <r>
    <x v="314"/>
    <x v="314"/>
    <x v="256"/>
    <x v="274"/>
    <x v="2"/>
    <x v="262"/>
    <x v="262"/>
    <x v="0"/>
    <x v="0"/>
    <x v="38"/>
    <x v="14"/>
    <x v="134"/>
    <x v="2"/>
    <x v="287"/>
    <x v="1"/>
    <x v="6"/>
    <x v="286"/>
    <x v="299"/>
    <x v="3"/>
    <x v="0"/>
    <x v="307"/>
    <x v="307"/>
    <x v="300"/>
    <x v="1"/>
  </r>
  <r>
    <x v="315"/>
    <x v="315"/>
    <x v="257"/>
    <x v="275"/>
    <x v="1"/>
    <x v="263"/>
    <x v="263"/>
    <x v="0"/>
    <x v="0"/>
    <x v="139"/>
    <x v="5"/>
    <x v="178"/>
    <x v="2"/>
    <x v="288"/>
    <x v="1"/>
    <x v="6"/>
    <x v="287"/>
    <x v="300"/>
    <x v="3"/>
    <x v="3"/>
    <x v="308"/>
    <x v="308"/>
    <x v="301"/>
    <x v="1"/>
  </r>
  <r>
    <x v="316"/>
    <x v="316"/>
    <x v="258"/>
    <x v="71"/>
    <x v="1"/>
    <x v="264"/>
    <x v="264"/>
    <x v="0"/>
    <x v="0"/>
    <x v="20"/>
    <x v="15"/>
    <x v="23"/>
    <x v="3"/>
    <x v="289"/>
    <x v="1"/>
    <x v="5"/>
    <x v="288"/>
    <x v="301"/>
    <x v="3"/>
    <x v="2"/>
    <x v="309"/>
    <x v="309"/>
    <x v="302"/>
    <x v="1"/>
  </r>
  <r>
    <x v="317"/>
    <x v="317"/>
    <x v="259"/>
    <x v="276"/>
    <x v="3"/>
    <x v="265"/>
    <x v="265"/>
    <x v="1"/>
    <x v="0"/>
    <x v="140"/>
    <x v="3"/>
    <x v="179"/>
    <x v="0"/>
    <x v="290"/>
    <x v="2"/>
    <x v="14"/>
    <x v="289"/>
    <x v="302"/>
    <x v="6"/>
    <x v="5"/>
    <x v="310"/>
    <x v="310"/>
    <x v="303"/>
    <x v="1"/>
  </r>
  <r>
    <x v="318"/>
    <x v="318"/>
    <x v="260"/>
    <x v="277"/>
    <x v="2"/>
    <x v="266"/>
    <x v="266"/>
    <x v="0"/>
    <x v="0"/>
    <x v="25"/>
    <x v="35"/>
    <x v="129"/>
    <x v="0"/>
    <x v="291"/>
    <x v="2"/>
    <x v="12"/>
    <x v="290"/>
    <x v="303"/>
    <x v="3"/>
    <x v="0"/>
    <x v="311"/>
    <x v="311"/>
    <x v="304"/>
    <x v="1"/>
  </r>
  <r>
    <x v="319"/>
    <x v="319"/>
    <x v="53"/>
    <x v="168"/>
    <x v="1"/>
    <x v="267"/>
    <x v="267"/>
    <x v="0"/>
    <x v="0"/>
    <x v="20"/>
    <x v="15"/>
    <x v="45"/>
    <x v="3"/>
    <x v="292"/>
    <x v="0"/>
    <x v="0"/>
    <x v="291"/>
    <x v="304"/>
    <x v="0"/>
    <x v="2"/>
    <x v="312"/>
    <x v="312"/>
    <x v="305"/>
    <x v="1"/>
  </r>
  <r>
    <x v="320"/>
    <x v="320"/>
    <x v="261"/>
    <x v="278"/>
    <x v="0"/>
    <x v="268"/>
    <x v="268"/>
    <x v="0"/>
    <x v="0"/>
    <x v="141"/>
    <x v="17"/>
    <x v="180"/>
    <x v="0"/>
    <x v="293"/>
    <x v="0"/>
    <x v="3"/>
    <x v="292"/>
    <x v="305"/>
    <x v="8"/>
    <x v="0"/>
    <x v="313"/>
    <x v="313"/>
    <x v="306"/>
    <x v="1"/>
  </r>
  <r>
    <x v="321"/>
    <x v="321"/>
    <x v="262"/>
    <x v="279"/>
    <x v="1"/>
    <x v="269"/>
    <x v="269"/>
    <x v="0"/>
    <x v="0"/>
    <x v="1"/>
    <x v="1"/>
    <x v="1"/>
    <x v="1"/>
    <x v="294"/>
    <x v="2"/>
    <x v="12"/>
    <x v="293"/>
    <x v="306"/>
    <x v="8"/>
    <x v="0"/>
    <x v="314"/>
    <x v="314"/>
    <x v="307"/>
    <x v="1"/>
  </r>
  <r>
    <x v="322"/>
    <x v="322"/>
    <x v="263"/>
    <x v="280"/>
    <x v="2"/>
    <x v="270"/>
    <x v="270"/>
    <x v="2"/>
    <x v="0"/>
    <x v="142"/>
    <x v="9"/>
    <x v="181"/>
    <x v="3"/>
    <x v="139"/>
    <x v="1"/>
    <x v="8"/>
    <x v="139"/>
    <x v="307"/>
    <x v="7"/>
    <x v="2"/>
    <x v="315"/>
    <x v="315"/>
    <x v="308"/>
    <x v="1"/>
  </r>
  <r>
    <x v="323"/>
    <x v="323"/>
    <x v="264"/>
    <x v="221"/>
    <x v="1"/>
    <x v="114"/>
    <x v="114"/>
    <x v="1"/>
    <x v="0"/>
    <x v="138"/>
    <x v="24"/>
    <x v="177"/>
    <x v="3"/>
    <x v="96"/>
    <x v="0"/>
    <x v="3"/>
    <x v="97"/>
    <x v="308"/>
    <x v="3"/>
    <x v="2"/>
    <x v="316"/>
    <x v="316"/>
    <x v="309"/>
    <x v="1"/>
  </r>
  <r>
    <x v="324"/>
    <x v="324"/>
    <x v="254"/>
    <x v="281"/>
    <x v="0"/>
    <x v="155"/>
    <x v="155"/>
    <x v="1"/>
    <x v="0"/>
    <x v="4"/>
    <x v="4"/>
    <x v="5"/>
    <x v="1"/>
    <x v="295"/>
    <x v="0"/>
    <x v="3"/>
    <x v="294"/>
    <x v="309"/>
    <x v="3"/>
    <x v="0"/>
    <x v="317"/>
    <x v="317"/>
    <x v="310"/>
    <x v="1"/>
  </r>
  <r>
    <x v="325"/>
    <x v="325"/>
    <x v="265"/>
    <x v="282"/>
    <x v="1"/>
    <x v="271"/>
    <x v="271"/>
    <x v="0"/>
    <x v="0"/>
    <x v="85"/>
    <x v="1"/>
    <x v="106"/>
    <x v="1"/>
    <x v="296"/>
    <x v="0"/>
    <x v="2"/>
    <x v="295"/>
    <x v="310"/>
    <x v="3"/>
    <x v="2"/>
    <x v="318"/>
    <x v="318"/>
    <x v="311"/>
    <x v="1"/>
  </r>
  <r>
    <x v="326"/>
    <x v="326"/>
    <x v="171"/>
    <x v="101"/>
    <x v="1"/>
    <x v="272"/>
    <x v="272"/>
    <x v="1"/>
    <x v="0"/>
    <x v="143"/>
    <x v="3"/>
    <x v="182"/>
    <x v="0"/>
    <x v="297"/>
    <x v="1"/>
    <x v="4"/>
    <x v="296"/>
    <x v="311"/>
    <x v="0"/>
    <x v="2"/>
    <x v="319"/>
    <x v="319"/>
    <x v="312"/>
    <x v="1"/>
  </r>
  <r>
    <x v="327"/>
    <x v="327"/>
    <x v="266"/>
    <x v="283"/>
    <x v="2"/>
    <x v="273"/>
    <x v="273"/>
    <x v="0"/>
    <x v="0"/>
    <x v="20"/>
    <x v="15"/>
    <x v="45"/>
    <x v="3"/>
    <x v="121"/>
    <x v="2"/>
    <x v="12"/>
    <x v="122"/>
    <x v="312"/>
    <x v="6"/>
    <x v="0"/>
    <x v="320"/>
    <x v="320"/>
    <x v="313"/>
    <x v="1"/>
  </r>
  <r>
    <x v="328"/>
    <x v="328"/>
    <x v="267"/>
    <x v="284"/>
    <x v="2"/>
    <x v="274"/>
    <x v="274"/>
    <x v="2"/>
    <x v="0"/>
    <x v="20"/>
    <x v="15"/>
    <x v="45"/>
    <x v="3"/>
    <x v="205"/>
    <x v="1"/>
    <x v="4"/>
    <x v="205"/>
    <x v="205"/>
    <x v="8"/>
    <x v="0"/>
    <x v="213"/>
    <x v="213"/>
    <x v="206"/>
    <x v="1"/>
  </r>
  <r>
    <x v="329"/>
    <x v="329"/>
    <x v="213"/>
    <x v="285"/>
    <x v="1"/>
    <x v="275"/>
    <x v="275"/>
    <x v="0"/>
    <x v="0"/>
    <x v="144"/>
    <x v="2"/>
    <x v="183"/>
    <x v="0"/>
    <x v="298"/>
    <x v="1"/>
    <x v="11"/>
    <x v="297"/>
    <x v="313"/>
    <x v="6"/>
    <x v="2"/>
    <x v="321"/>
    <x v="321"/>
    <x v="314"/>
    <x v="1"/>
  </r>
  <r>
    <x v="330"/>
    <x v="330"/>
    <x v="240"/>
    <x v="286"/>
    <x v="1"/>
    <x v="276"/>
    <x v="276"/>
    <x v="1"/>
    <x v="0"/>
    <x v="145"/>
    <x v="15"/>
    <x v="184"/>
    <x v="3"/>
    <x v="299"/>
    <x v="1"/>
    <x v="6"/>
    <x v="298"/>
    <x v="314"/>
    <x v="4"/>
    <x v="0"/>
    <x v="322"/>
    <x v="322"/>
    <x v="315"/>
    <x v="1"/>
  </r>
  <r>
    <x v="331"/>
    <x v="331"/>
    <x v="268"/>
    <x v="287"/>
    <x v="0"/>
    <x v="114"/>
    <x v="114"/>
    <x v="1"/>
    <x v="0"/>
    <x v="4"/>
    <x v="4"/>
    <x v="59"/>
    <x v="1"/>
    <x v="300"/>
    <x v="1"/>
    <x v="5"/>
    <x v="299"/>
    <x v="315"/>
    <x v="1"/>
    <x v="2"/>
    <x v="323"/>
    <x v="323"/>
    <x v="316"/>
    <x v="1"/>
  </r>
  <r>
    <x v="332"/>
    <x v="332"/>
    <x v="269"/>
    <x v="288"/>
    <x v="2"/>
    <x v="277"/>
    <x v="277"/>
    <x v="0"/>
    <x v="0"/>
    <x v="18"/>
    <x v="13"/>
    <x v="21"/>
    <x v="3"/>
    <x v="301"/>
    <x v="0"/>
    <x v="3"/>
    <x v="300"/>
    <x v="316"/>
    <x v="0"/>
    <x v="0"/>
    <x v="324"/>
    <x v="324"/>
    <x v="317"/>
    <x v="1"/>
  </r>
  <r>
    <x v="333"/>
    <x v="333"/>
    <x v="241"/>
    <x v="289"/>
    <x v="1"/>
    <x v="110"/>
    <x v="110"/>
    <x v="0"/>
    <x v="0"/>
    <x v="46"/>
    <x v="24"/>
    <x v="55"/>
    <x v="3"/>
    <x v="302"/>
    <x v="0"/>
    <x v="3"/>
    <x v="301"/>
    <x v="317"/>
    <x v="3"/>
    <x v="2"/>
    <x v="325"/>
    <x v="325"/>
    <x v="318"/>
    <x v="1"/>
  </r>
  <r>
    <x v="334"/>
    <x v="334"/>
    <x v="270"/>
    <x v="290"/>
    <x v="1"/>
    <x v="278"/>
    <x v="278"/>
    <x v="2"/>
    <x v="0"/>
    <x v="11"/>
    <x v="7"/>
    <x v="12"/>
    <x v="1"/>
    <x v="303"/>
    <x v="1"/>
    <x v="5"/>
    <x v="302"/>
    <x v="318"/>
    <x v="3"/>
    <x v="2"/>
    <x v="326"/>
    <x v="326"/>
    <x v="319"/>
    <x v="1"/>
  </r>
  <r>
    <x v="335"/>
    <x v="335"/>
    <x v="271"/>
    <x v="291"/>
    <x v="1"/>
    <x v="279"/>
    <x v="279"/>
    <x v="2"/>
    <x v="0"/>
    <x v="1"/>
    <x v="1"/>
    <x v="62"/>
    <x v="1"/>
    <x v="304"/>
    <x v="1"/>
    <x v="4"/>
    <x v="303"/>
    <x v="319"/>
    <x v="3"/>
    <x v="0"/>
    <x v="327"/>
    <x v="327"/>
    <x v="320"/>
    <x v="1"/>
  </r>
  <r>
    <x v="336"/>
    <x v="336"/>
    <x v="272"/>
    <x v="292"/>
    <x v="1"/>
    <x v="172"/>
    <x v="172"/>
    <x v="1"/>
    <x v="0"/>
    <x v="66"/>
    <x v="12"/>
    <x v="185"/>
    <x v="2"/>
    <x v="305"/>
    <x v="0"/>
    <x v="2"/>
    <x v="304"/>
    <x v="320"/>
    <x v="3"/>
    <x v="0"/>
    <x v="328"/>
    <x v="328"/>
    <x v="321"/>
    <x v="1"/>
  </r>
  <r>
    <x v="337"/>
    <x v="337"/>
    <x v="273"/>
    <x v="293"/>
    <x v="1"/>
    <x v="280"/>
    <x v="280"/>
    <x v="2"/>
    <x v="0"/>
    <x v="10"/>
    <x v="9"/>
    <x v="11"/>
    <x v="3"/>
    <x v="306"/>
    <x v="0"/>
    <x v="3"/>
    <x v="305"/>
    <x v="321"/>
    <x v="1"/>
    <x v="2"/>
    <x v="329"/>
    <x v="329"/>
    <x v="322"/>
    <x v="1"/>
  </r>
  <r>
    <x v="338"/>
    <x v="338"/>
    <x v="274"/>
    <x v="294"/>
    <x v="1"/>
    <x v="281"/>
    <x v="281"/>
    <x v="1"/>
    <x v="0"/>
    <x v="146"/>
    <x v="2"/>
    <x v="186"/>
    <x v="0"/>
    <x v="307"/>
    <x v="1"/>
    <x v="15"/>
    <x v="306"/>
    <x v="322"/>
    <x v="2"/>
    <x v="2"/>
    <x v="330"/>
    <x v="330"/>
    <x v="323"/>
    <x v="1"/>
  </r>
  <r>
    <x v="339"/>
    <x v="339"/>
    <x v="118"/>
    <x v="295"/>
    <x v="1"/>
    <x v="282"/>
    <x v="282"/>
    <x v="0"/>
    <x v="0"/>
    <x v="89"/>
    <x v="5"/>
    <x v="110"/>
    <x v="2"/>
    <x v="308"/>
    <x v="1"/>
    <x v="11"/>
    <x v="307"/>
    <x v="323"/>
    <x v="0"/>
    <x v="2"/>
    <x v="331"/>
    <x v="331"/>
    <x v="324"/>
    <x v="1"/>
  </r>
  <r>
    <x v="340"/>
    <x v="340"/>
    <x v="275"/>
    <x v="296"/>
    <x v="2"/>
    <x v="283"/>
    <x v="283"/>
    <x v="0"/>
    <x v="0"/>
    <x v="147"/>
    <x v="15"/>
    <x v="187"/>
    <x v="3"/>
    <x v="309"/>
    <x v="1"/>
    <x v="4"/>
    <x v="308"/>
    <x v="324"/>
    <x v="7"/>
    <x v="0"/>
    <x v="332"/>
    <x v="332"/>
    <x v="325"/>
    <x v="1"/>
  </r>
  <r>
    <x v="341"/>
    <x v="341"/>
    <x v="276"/>
    <x v="212"/>
    <x v="1"/>
    <x v="284"/>
    <x v="284"/>
    <x v="2"/>
    <x v="0"/>
    <x v="4"/>
    <x v="4"/>
    <x v="60"/>
    <x v="1"/>
    <x v="310"/>
    <x v="1"/>
    <x v="7"/>
    <x v="309"/>
    <x v="325"/>
    <x v="3"/>
    <x v="0"/>
    <x v="333"/>
    <x v="333"/>
    <x v="326"/>
    <x v="1"/>
  </r>
  <r>
    <x v="342"/>
    <x v="342"/>
    <x v="78"/>
    <x v="74"/>
    <x v="1"/>
    <x v="47"/>
    <x v="47"/>
    <x v="0"/>
    <x v="0"/>
    <x v="8"/>
    <x v="1"/>
    <x v="94"/>
    <x v="1"/>
    <x v="311"/>
    <x v="2"/>
    <x v="12"/>
    <x v="310"/>
    <x v="326"/>
    <x v="0"/>
    <x v="0"/>
    <x v="334"/>
    <x v="334"/>
    <x v="327"/>
    <x v="1"/>
  </r>
  <r>
    <x v="343"/>
    <x v="343"/>
    <x v="277"/>
    <x v="297"/>
    <x v="1"/>
    <x v="285"/>
    <x v="285"/>
    <x v="2"/>
    <x v="0"/>
    <x v="14"/>
    <x v="10"/>
    <x v="17"/>
    <x v="2"/>
    <x v="312"/>
    <x v="1"/>
    <x v="1"/>
    <x v="311"/>
    <x v="327"/>
    <x v="3"/>
    <x v="2"/>
    <x v="335"/>
    <x v="335"/>
    <x v="328"/>
    <x v="1"/>
  </r>
  <r>
    <x v="344"/>
    <x v="344"/>
    <x v="278"/>
    <x v="134"/>
    <x v="1"/>
    <x v="286"/>
    <x v="286"/>
    <x v="0"/>
    <x v="0"/>
    <x v="61"/>
    <x v="5"/>
    <x v="77"/>
    <x v="2"/>
    <x v="250"/>
    <x v="1"/>
    <x v="15"/>
    <x v="250"/>
    <x v="258"/>
    <x v="1"/>
    <x v="2"/>
    <x v="336"/>
    <x v="336"/>
    <x v="329"/>
    <x v="1"/>
  </r>
  <r>
    <x v="345"/>
    <x v="345"/>
    <x v="279"/>
    <x v="248"/>
    <x v="3"/>
    <x v="186"/>
    <x v="186"/>
    <x v="1"/>
    <x v="0"/>
    <x v="70"/>
    <x v="1"/>
    <x v="188"/>
    <x v="1"/>
    <x v="313"/>
    <x v="0"/>
    <x v="2"/>
    <x v="312"/>
    <x v="328"/>
    <x v="11"/>
    <x v="2"/>
    <x v="337"/>
    <x v="337"/>
    <x v="330"/>
    <x v="1"/>
  </r>
  <r>
    <x v="346"/>
    <x v="346"/>
    <x v="231"/>
    <x v="298"/>
    <x v="0"/>
    <x v="287"/>
    <x v="287"/>
    <x v="0"/>
    <x v="0"/>
    <x v="148"/>
    <x v="10"/>
    <x v="189"/>
    <x v="2"/>
    <x v="314"/>
    <x v="2"/>
    <x v="10"/>
    <x v="313"/>
    <x v="329"/>
    <x v="8"/>
    <x v="2"/>
    <x v="338"/>
    <x v="338"/>
    <x v="331"/>
    <x v="1"/>
  </r>
  <r>
    <x v="347"/>
    <x v="347"/>
    <x v="280"/>
    <x v="299"/>
    <x v="1"/>
    <x v="288"/>
    <x v="288"/>
    <x v="0"/>
    <x v="0"/>
    <x v="149"/>
    <x v="12"/>
    <x v="190"/>
    <x v="2"/>
    <x v="315"/>
    <x v="1"/>
    <x v="5"/>
    <x v="314"/>
    <x v="330"/>
    <x v="3"/>
    <x v="0"/>
    <x v="339"/>
    <x v="339"/>
    <x v="332"/>
    <x v="1"/>
  </r>
  <r>
    <x v="348"/>
    <x v="348"/>
    <x v="281"/>
    <x v="300"/>
    <x v="2"/>
    <x v="289"/>
    <x v="289"/>
    <x v="1"/>
    <x v="0"/>
    <x v="8"/>
    <x v="1"/>
    <x v="94"/>
    <x v="1"/>
    <x v="316"/>
    <x v="2"/>
    <x v="16"/>
    <x v="315"/>
    <x v="331"/>
    <x v="3"/>
    <x v="2"/>
    <x v="340"/>
    <x v="340"/>
    <x v="333"/>
    <x v="1"/>
  </r>
  <r>
    <x v="349"/>
    <x v="349"/>
    <x v="214"/>
    <x v="301"/>
    <x v="1"/>
    <x v="234"/>
    <x v="234"/>
    <x v="0"/>
    <x v="0"/>
    <x v="1"/>
    <x v="1"/>
    <x v="1"/>
    <x v="1"/>
    <x v="285"/>
    <x v="0"/>
    <x v="3"/>
    <x v="284"/>
    <x v="332"/>
    <x v="6"/>
    <x v="0"/>
    <x v="341"/>
    <x v="341"/>
    <x v="334"/>
    <x v="1"/>
  </r>
  <r>
    <x v="350"/>
    <x v="350"/>
    <x v="31"/>
    <x v="42"/>
    <x v="1"/>
    <x v="240"/>
    <x v="240"/>
    <x v="1"/>
    <x v="0"/>
    <x v="108"/>
    <x v="2"/>
    <x v="133"/>
    <x v="0"/>
    <x v="317"/>
    <x v="0"/>
    <x v="2"/>
    <x v="316"/>
    <x v="333"/>
    <x v="6"/>
    <x v="1"/>
    <x v="342"/>
    <x v="342"/>
    <x v="335"/>
    <x v="1"/>
  </r>
  <r>
    <x v="351"/>
    <x v="351"/>
    <x v="282"/>
    <x v="302"/>
    <x v="1"/>
    <x v="290"/>
    <x v="290"/>
    <x v="0"/>
    <x v="0"/>
    <x v="150"/>
    <x v="11"/>
    <x v="191"/>
    <x v="2"/>
    <x v="318"/>
    <x v="1"/>
    <x v="7"/>
    <x v="317"/>
    <x v="334"/>
    <x v="0"/>
    <x v="0"/>
    <x v="343"/>
    <x v="343"/>
    <x v="336"/>
    <x v="1"/>
  </r>
  <r>
    <x v="352"/>
    <x v="352"/>
    <x v="283"/>
    <x v="303"/>
    <x v="1"/>
    <x v="291"/>
    <x v="291"/>
    <x v="1"/>
    <x v="0"/>
    <x v="20"/>
    <x v="15"/>
    <x v="29"/>
    <x v="3"/>
    <x v="258"/>
    <x v="1"/>
    <x v="5"/>
    <x v="258"/>
    <x v="335"/>
    <x v="3"/>
    <x v="2"/>
    <x v="344"/>
    <x v="344"/>
    <x v="337"/>
    <x v="1"/>
  </r>
  <r>
    <x v="353"/>
    <x v="353"/>
    <x v="65"/>
    <x v="304"/>
    <x v="1"/>
    <x v="292"/>
    <x v="292"/>
    <x v="1"/>
    <x v="0"/>
    <x v="124"/>
    <x v="6"/>
    <x v="156"/>
    <x v="2"/>
    <x v="319"/>
    <x v="1"/>
    <x v="4"/>
    <x v="318"/>
    <x v="336"/>
    <x v="6"/>
    <x v="0"/>
    <x v="345"/>
    <x v="345"/>
    <x v="338"/>
    <x v="1"/>
  </r>
  <r>
    <x v="354"/>
    <x v="354"/>
    <x v="284"/>
    <x v="305"/>
    <x v="1"/>
    <x v="239"/>
    <x v="239"/>
    <x v="0"/>
    <x v="0"/>
    <x v="1"/>
    <x v="1"/>
    <x v="25"/>
    <x v="1"/>
    <x v="320"/>
    <x v="1"/>
    <x v="4"/>
    <x v="319"/>
    <x v="337"/>
    <x v="5"/>
    <x v="0"/>
    <x v="346"/>
    <x v="346"/>
    <x v="339"/>
    <x v="1"/>
  </r>
  <r>
    <x v="355"/>
    <x v="355"/>
    <x v="132"/>
    <x v="170"/>
    <x v="1"/>
    <x v="36"/>
    <x v="36"/>
    <x v="1"/>
    <x v="0"/>
    <x v="118"/>
    <x v="32"/>
    <x v="148"/>
    <x v="0"/>
    <x v="321"/>
    <x v="1"/>
    <x v="1"/>
    <x v="320"/>
    <x v="338"/>
    <x v="3"/>
    <x v="0"/>
    <x v="347"/>
    <x v="347"/>
    <x v="340"/>
    <x v="1"/>
  </r>
  <r>
    <x v="356"/>
    <x v="356"/>
    <x v="285"/>
    <x v="95"/>
    <x v="1"/>
    <x v="293"/>
    <x v="293"/>
    <x v="0"/>
    <x v="0"/>
    <x v="38"/>
    <x v="24"/>
    <x v="47"/>
    <x v="3"/>
    <x v="322"/>
    <x v="2"/>
    <x v="10"/>
    <x v="321"/>
    <x v="339"/>
    <x v="3"/>
    <x v="8"/>
    <x v="348"/>
    <x v="348"/>
    <x v="341"/>
    <x v="1"/>
  </r>
  <r>
    <x v="357"/>
    <x v="357"/>
    <x v="286"/>
    <x v="306"/>
    <x v="0"/>
    <x v="294"/>
    <x v="294"/>
    <x v="1"/>
    <x v="0"/>
    <x v="151"/>
    <x v="28"/>
    <x v="192"/>
    <x v="0"/>
    <x v="75"/>
    <x v="1"/>
    <x v="11"/>
    <x v="76"/>
    <x v="340"/>
    <x v="0"/>
    <x v="0"/>
    <x v="349"/>
    <x v="349"/>
    <x v="342"/>
    <x v="1"/>
  </r>
  <r>
    <x v="358"/>
    <x v="358"/>
    <x v="287"/>
    <x v="307"/>
    <x v="1"/>
    <x v="295"/>
    <x v="295"/>
    <x v="1"/>
    <x v="0"/>
    <x v="84"/>
    <x v="2"/>
    <x v="104"/>
    <x v="0"/>
    <x v="323"/>
    <x v="0"/>
    <x v="3"/>
    <x v="322"/>
    <x v="341"/>
    <x v="0"/>
    <x v="2"/>
    <x v="350"/>
    <x v="350"/>
    <x v="343"/>
    <x v="1"/>
  </r>
  <r>
    <x v="359"/>
    <x v="359"/>
    <x v="288"/>
    <x v="308"/>
    <x v="1"/>
    <x v="97"/>
    <x v="97"/>
    <x v="0"/>
    <x v="0"/>
    <x v="81"/>
    <x v="17"/>
    <x v="101"/>
    <x v="0"/>
    <x v="324"/>
    <x v="0"/>
    <x v="9"/>
    <x v="323"/>
    <x v="342"/>
    <x v="0"/>
    <x v="0"/>
    <x v="351"/>
    <x v="351"/>
    <x v="344"/>
    <x v="1"/>
  </r>
  <r>
    <x v="360"/>
    <x v="360"/>
    <x v="289"/>
    <x v="60"/>
    <x v="1"/>
    <x v="296"/>
    <x v="296"/>
    <x v="1"/>
    <x v="0"/>
    <x v="96"/>
    <x v="23"/>
    <x v="193"/>
    <x v="2"/>
    <x v="325"/>
    <x v="1"/>
    <x v="5"/>
    <x v="324"/>
    <x v="343"/>
    <x v="0"/>
    <x v="0"/>
    <x v="352"/>
    <x v="352"/>
    <x v="345"/>
    <x v="1"/>
  </r>
  <r>
    <x v="361"/>
    <x v="361"/>
    <x v="290"/>
    <x v="287"/>
    <x v="1"/>
    <x v="297"/>
    <x v="297"/>
    <x v="0"/>
    <x v="0"/>
    <x v="74"/>
    <x v="24"/>
    <x v="93"/>
    <x v="3"/>
    <x v="326"/>
    <x v="1"/>
    <x v="8"/>
    <x v="325"/>
    <x v="344"/>
    <x v="2"/>
    <x v="2"/>
    <x v="353"/>
    <x v="353"/>
    <x v="346"/>
    <x v="1"/>
  </r>
  <r>
    <x v="362"/>
    <x v="362"/>
    <x v="291"/>
    <x v="309"/>
    <x v="2"/>
    <x v="125"/>
    <x v="125"/>
    <x v="2"/>
    <x v="0"/>
    <x v="8"/>
    <x v="1"/>
    <x v="94"/>
    <x v="1"/>
    <x v="327"/>
    <x v="0"/>
    <x v="9"/>
    <x v="326"/>
    <x v="345"/>
    <x v="3"/>
    <x v="2"/>
    <x v="354"/>
    <x v="354"/>
    <x v="347"/>
    <x v="1"/>
  </r>
  <r>
    <x v="363"/>
    <x v="363"/>
    <x v="292"/>
    <x v="310"/>
    <x v="0"/>
    <x v="298"/>
    <x v="298"/>
    <x v="0"/>
    <x v="0"/>
    <x v="38"/>
    <x v="24"/>
    <x v="47"/>
    <x v="3"/>
    <x v="328"/>
    <x v="1"/>
    <x v="5"/>
    <x v="327"/>
    <x v="346"/>
    <x v="1"/>
    <x v="7"/>
    <x v="355"/>
    <x v="355"/>
    <x v="348"/>
    <x v="1"/>
  </r>
  <r>
    <x v="364"/>
    <x v="364"/>
    <x v="293"/>
    <x v="311"/>
    <x v="1"/>
    <x v="105"/>
    <x v="105"/>
    <x v="1"/>
    <x v="0"/>
    <x v="29"/>
    <x v="20"/>
    <x v="37"/>
    <x v="0"/>
    <x v="329"/>
    <x v="1"/>
    <x v="11"/>
    <x v="328"/>
    <x v="347"/>
    <x v="3"/>
    <x v="0"/>
    <x v="356"/>
    <x v="356"/>
    <x v="349"/>
    <x v="1"/>
  </r>
  <r>
    <x v="365"/>
    <x v="365"/>
    <x v="294"/>
    <x v="312"/>
    <x v="0"/>
    <x v="52"/>
    <x v="52"/>
    <x v="0"/>
    <x v="0"/>
    <x v="152"/>
    <x v="1"/>
    <x v="194"/>
    <x v="1"/>
    <x v="330"/>
    <x v="1"/>
    <x v="5"/>
    <x v="329"/>
    <x v="348"/>
    <x v="0"/>
    <x v="2"/>
    <x v="357"/>
    <x v="357"/>
    <x v="350"/>
    <x v="1"/>
  </r>
  <r>
    <x v="366"/>
    <x v="366"/>
    <x v="295"/>
    <x v="313"/>
    <x v="1"/>
    <x v="299"/>
    <x v="299"/>
    <x v="0"/>
    <x v="0"/>
    <x v="152"/>
    <x v="1"/>
    <x v="194"/>
    <x v="1"/>
    <x v="331"/>
    <x v="0"/>
    <x v="9"/>
    <x v="330"/>
    <x v="349"/>
    <x v="0"/>
    <x v="2"/>
    <x v="358"/>
    <x v="358"/>
    <x v="351"/>
    <x v="1"/>
  </r>
  <r>
    <x v="367"/>
    <x v="367"/>
    <x v="153"/>
    <x v="314"/>
    <x v="1"/>
    <x v="193"/>
    <x v="193"/>
    <x v="0"/>
    <x v="0"/>
    <x v="102"/>
    <x v="17"/>
    <x v="195"/>
    <x v="0"/>
    <x v="332"/>
    <x v="1"/>
    <x v="5"/>
    <x v="331"/>
    <x v="350"/>
    <x v="6"/>
    <x v="0"/>
    <x v="359"/>
    <x v="359"/>
    <x v="352"/>
    <x v="1"/>
  </r>
  <r>
    <x v="368"/>
    <x v="368"/>
    <x v="244"/>
    <x v="315"/>
    <x v="3"/>
    <x v="300"/>
    <x v="300"/>
    <x v="0"/>
    <x v="0"/>
    <x v="153"/>
    <x v="3"/>
    <x v="196"/>
    <x v="0"/>
    <x v="333"/>
    <x v="2"/>
    <x v="10"/>
    <x v="332"/>
    <x v="351"/>
    <x v="1"/>
    <x v="2"/>
    <x v="360"/>
    <x v="360"/>
    <x v="353"/>
    <x v="1"/>
  </r>
  <r>
    <x v="369"/>
    <x v="369"/>
    <x v="59"/>
    <x v="316"/>
    <x v="1"/>
    <x v="301"/>
    <x v="301"/>
    <x v="0"/>
    <x v="0"/>
    <x v="8"/>
    <x v="1"/>
    <x v="94"/>
    <x v="1"/>
    <x v="334"/>
    <x v="1"/>
    <x v="1"/>
    <x v="333"/>
    <x v="352"/>
    <x v="0"/>
    <x v="0"/>
    <x v="361"/>
    <x v="361"/>
    <x v="354"/>
    <x v="1"/>
  </r>
  <r>
    <x v="370"/>
    <x v="370"/>
    <x v="296"/>
    <x v="255"/>
    <x v="1"/>
    <x v="302"/>
    <x v="302"/>
    <x v="0"/>
    <x v="0"/>
    <x v="30"/>
    <x v="11"/>
    <x v="38"/>
    <x v="2"/>
    <x v="335"/>
    <x v="1"/>
    <x v="5"/>
    <x v="334"/>
    <x v="353"/>
    <x v="2"/>
    <x v="0"/>
    <x v="362"/>
    <x v="362"/>
    <x v="355"/>
    <x v="1"/>
  </r>
  <r>
    <x v="371"/>
    <x v="371"/>
    <x v="100"/>
    <x v="317"/>
    <x v="2"/>
    <x v="106"/>
    <x v="106"/>
    <x v="1"/>
    <x v="0"/>
    <x v="30"/>
    <x v="15"/>
    <x v="144"/>
    <x v="3"/>
    <x v="336"/>
    <x v="1"/>
    <x v="4"/>
    <x v="335"/>
    <x v="354"/>
    <x v="2"/>
    <x v="0"/>
    <x v="363"/>
    <x v="363"/>
    <x v="356"/>
    <x v="1"/>
  </r>
  <r>
    <x v="372"/>
    <x v="372"/>
    <x v="154"/>
    <x v="253"/>
    <x v="1"/>
    <x v="303"/>
    <x v="303"/>
    <x v="0"/>
    <x v="0"/>
    <x v="154"/>
    <x v="1"/>
    <x v="197"/>
    <x v="1"/>
    <x v="337"/>
    <x v="0"/>
    <x v="9"/>
    <x v="336"/>
    <x v="355"/>
    <x v="1"/>
    <x v="2"/>
    <x v="364"/>
    <x v="364"/>
    <x v="357"/>
    <x v="1"/>
  </r>
  <r>
    <x v="373"/>
    <x v="373"/>
    <x v="297"/>
    <x v="318"/>
    <x v="2"/>
    <x v="304"/>
    <x v="304"/>
    <x v="1"/>
    <x v="0"/>
    <x v="70"/>
    <x v="1"/>
    <x v="188"/>
    <x v="1"/>
    <x v="338"/>
    <x v="0"/>
    <x v="3"/>
    <x v="337"/>
    <x v="356"/>
    <x v="8"/>
    <x v="0"/>
    <x v="365"/>
    <x v="365"/>
    <x v="358"/>
    <x v="1"/>
  </r>
  <r>
    <x v="374"/>
    <x v="374"/>
    <x v="298"/>
    <x v="319"/>
    <x v="0"/>
    <x v="304"/>
    <x v="304"/>
    <x v="1"/>
    <x v="0"/>
    <x v="20"/>
    <x v="15"/>
    <x v="23"/>
    <x v="3"/>
    <x v="339"/>
    <x v="1"/>
    <x v="6"/>
    <x v="338"/>
    <x v="357"/>
    <x v="5"/>
    <x v="0"/>
    <x v="366"/>
    <x v="366"/>
    <x v="359"/>
    <x v="1"/>
  </r>
  <r>
    <x v="375"/>
    <x v="375"/>
    <x v="299"/>
    <x v="320"/>
    <x v="1"/>
    <x v="305"/>
    <x v="305"/>
    <x v="1"/>
    <x v="0"/>
    <x v="53"/>
    <x v="28"/>
    <x v="68"/>
    <x v="0"/>
    <x v="340"/>
    <x v="1"/>
    <x v="4"/>
    <x v="339"/>
    <x v="44"/>
    <x v="0"/>
    <x v="0"/>
    <x v="44"/>
    <x v="44"/>
    <x v="44"/>
    <x v="1"/>
  </r>
  <r>
    <x v="376"/>
    <x v="376"/>
    <x v="300"/>
    <x v="321"/>
    <x v="2"/>
    <x v="306"/>
    <x v="306"/>
    <x v="0"/>
    <x v="0"/>
    <x v="8"/>
    <x v="1"/>
    <x v="34"/>
    <x v="1"/>
    <x v="341"/>
    <x v="0"/>
    <x v="3"/>
    <x v="340"/>
    <x v="343"/>
    <x v="0"/>
    <x v="0"/>
    <x v="367"/>
    <x v="367"/>
    <x v="345"/>
    <x v="1"/>
  </r>
  <r>
    <x v="377"/>
    <x v="377"/>
    <x v="301"/>
    <x v="322"/>
    <x v="1"/>
    <x v="154"/>
    <x v="154"/>
    <x v="0"/>
    <x v="0"/>
    <x v="60"/>
    <x v="22"/>
    <x v="76"/>
    <x v="1"/>
    <x v="342"/>
    <x v="1"/>
    <x v="8"/>
    <x v="341"/>
    <x v="358"/>
    <x v="3"/>
    <x v="2"/>
    <x v="368"/>
    <x v="368"/>
    <x v="360"/>
    <x v="1"/>
  </r>
  <r>
    <x v="378"/>
    <x v="378"/>
    <x v="302"/>
    <x v="43"/>
    <x v="2"/>
    <x v="211"/>
    <x v="211"/>
    <x v="0"/>
    <x v="0"/>
    <x v="155"/>
    <x v="8"/>
    <x v="198"/>
    <x v="2"/>
    <x v="184"/>
    <x v="0"/>
    <x v="3"/>
    <x v="184"/>
    <x v="77"/>
    <x v="0"/>
    <x v="0"/>
    <x v="192"/>
    <x v="192"/>
    <x v="77"/>
    <x v="1"/>
  </r>
  <r>
    <x v="379"/>
    <x v="379"/>
    <x v="303"/>
    <x v="323"/>
    <x v="2"/>
    <x v="233"/>
    <x v="233"/>
    <x v="0"/>
    <x v="0"/>
    <x v="156"/>
    <x v="4"/>
    <x v="199"/>
    <x v="1"/>
    <x v="343"/>
    <x v="1"/>
    <x v="8"/>
    <x v="342"/>
    <x v="359"/>
    <x v="6"/>
    <x v="0"/>
    <x v="369"/>
    <x v="369"/>
    <x v="361"/>
    <x v="1"/>
  </r>
  <r>
    <x v="380"/>
    <x v="380"/>
    <x v="304"/>
    <x v="324"/>
    <x v="3"/>
    <x v="307"/>
    <x v="307"/>
    <x v="0"/>
    <x v="0"/>
    <x v="157"/>
    <x v="1"/>
    <x v="200"/>
    <x v="1"/>
    <x v="341"/>
    <x v="0"/>
    <x v="3"/>
    <x v="340"/>
    <x v="343"/>
    <x v="0"/>
    <x v="0"/>
    <x v="367"/>
    <x v="367"/>
    <x v="345"/>
    <x v="1"/>
  </r>
  <r>
    <x v="381"/>
    <x v="381"/>
    <x v="305"/>
    <x v="325"/>
    <x v="2"/>
    <x v="308"/>
    <x v="308"/>
    <x v="1"/>
    <x v="0"/>
    <x v="158"/>
    <x v="6"/>
    <x v="201"/>
    <x v="2"/>
    <x v="344"/>
    <x v="1"/>
    <x v="4"/>
    <x v="343"/>
    <x v="360"/>
    <x v="7"/>
    <x v="0"/>
    <x v="370"/>
    <x v="370"/>
    <x v="362"/>
    <x v="1"/>
  </r>
  <r>
    <x v="382"/>
    <x v="382"/>
    <x v="306"/>
    <x v="268"/>
    <x v="1"/>
    <x v="203"/>
    <x v="203"/>
    <x v="0"/>
    <x v="0"/>
    <x v="10"/>
    <x v="9"/>
    <x v="11"/>
    <x v="3"/>
    <x v="345"/>
    <x v="1"/>
    <x v="4"/>
    <x v="344"/>
    <x v="361"/>
    <x v="8"/>
    <x v="2"/>
    <x v="371"/>
    <x v="371"/>
    <x v="363"/>
    <x v="1"/>
  </r>
  <r>
    <x v="383"/>
    <x v="383"/>
    <x v="307"/>
    <x v="326"/>
    <x v="1"/>
    <x v="222"/>
    <x v="222"/>
    <x v="0"/>
    <x v="0"/>
    <x v="10"/>
    <x v="9"/>
    <x v="11"/>
    <x v="3"/>
    <x v="346"/>
    <x v="1"/>
    <x v="4"/>
    <x v="345"/>
    <x v="362"/>
    <x v="7"/>
    <x v="2"/>
    <x v="372"/>
    <x v="372"/>
    <x v="364"/>
    <x v="1"/>
  </r>
  <r>
    <x v="384"/>
    <x v="384"/>
    <x v="308"/>
    <x v="327"/>
    <x v="1"/>
    <x v="309"/>
    <x v="309"/>
    <x v="0"/>
    <x v="0"/>
    <x v="78"/>
    <x v="30"/>
    <x v="98"/>
    <x v="3"/>
    <x v="347"/>
    <x v="2"/>
    <x v="12"/>
    <x v="346"/>
    <x v="363"/>
    <x v="3"/>
    <x v="0"/>
    <x v="373"/>
    <x v="373"/>
    <x v="365"/>
    <x v="1"/>
  </r>
  <r>
    <x v="385"/>
    <x v="385"/>
    <x v="309"/>
    <x v="8"/>
    <x v="1"/>
    <x v="310"/>
    <x v="310"/>
    <x v="0"/>
    <x v="0"/>
    <x v="8"/>
    <x v="1"/>
    <x v="94"/>
    <x v="1"/>
    <x v="348"/>
    <x v="2"/>
    <x v="12"/>
    <x v="347"/>
    <x v="364"/>
    <x v="6"/>
    <x v="0"/>
    <x v="374"/>
    <x v="374"/>
    <x v="366"/>
    <x v="1"/>
  </r>
  <r>
    <x v="386"/>
    <x v="386"/>
    <x v="170"/>
    <x v="328"/>
    <x v="1"/>
    <x v="218"/>
    <x v="218"/>
    <x v="0"/>
    <x v="0"/>
    <x v="69"/>
    <x v="11"/>
    <x v="87"/>
    <x v="2"/>
    <x v="349"/>
    <x v="1"/>
    <x v="13"/>
    <x v="348"/>
    <x v="365"/>
    <x v="2"/>
    <x v="0"/>
    <x v="375"/>
    <x v="375"/>
    <x v="367"/>
    <x v="1"/>
  </r>
  <r>
    <x v="387"/>
    <x v="387"/>
    <x v="114"/>
    <x v="329"/>
    <x v="0"/>
    <x v="32"/>
    <x v="32"/>
    <x v="0"/>
    <x v="0"/>
    <x v="159"/>
    <x v="0"/>
    <x v="202"/>
    <x v="0"/>
    <x v="350"/>
    <x v="0"/>
    <x v="9"/>
    <x v="349"/>
    <x v="40"/>
    <x v="0"/>
    <x v="0"/>
    <x v="376"/>
    <x v="376"/>
    <x v="40"/>
    <x v="1"/>
  </r>
  <r>
    <x v="388"/>
    <x v="388"/>
    <x v="310"/>
    <x v="330"/>
    <x v="1"/>
    <x v="80"/>
    <x v="80"/>
    <x v="1"/>
    <x v="0"/>
    <x v="67"/>
    <x v="2"/>
    <x v="85"/>
    <x v="0"/>
    <x v="351"/>
    <x v="1"/>
    <x v="8"/>
    <x v="350"/>
    <x v="366"/>
    <x v="0"/>
    <x v="2"/>
    <x v="377"/>
    <x v="377"/>
    <x v="368"/>
    <x v="1"/>
  </r>
  <r>
    <x v="389"/>
    <x v="389"/>
    <x v="78"/>
    <x v="178"/>
    <x v="0"/>
    <x v="293"/>
    <x v="293"/>
    <x v="0"/>
    <x v="0"/>
    <x v="139"/>
    <x v="5"/>
    <x v="178"/>
    <x v="2"/>
    <x v="352"/>
    <x v="1"/>
    <x v="5"/>
    <x v="351"/>
    <x v="367"/>
    <x v="6"/>
    <x v="3"/>
    <x v="378"/>
    <x v="378"/>
    <x v="369"/>
    <x v="1"/>
  </r>
  <r>
    <x v="390"/>
    <x v="390"/>
    <x v="259"/>
    <x v="45"/>
    <x v="1"/>
    <x v="311"/>
    <x v="311"/>
    <x v="2"/>
    <x v="0"/>
    <x v="29"/>
    <x v="18"/>
    <x v="84"/>
    <x v="0"/>
    <x v="353"/>
    <x v="1"/>
    <x v="4"/>
    <x v="352"/>
    <x v="368"/>
    <x v="0"/>
    <x v="2"/>
    <x v="379"/>
    <x v="379"/>
    <x v="370"/>
    <x v="1"/>
  </r>
  <r>
    <x v="391"/>
    <x v="391"/>
    <x v="311"/>
    <x v="331"/>
    <x v="1"/>
    <x v="182"/>
    <x v="182"/>
    <x v="1"/>
    <x v="0"/>
    <x v="5"/>
    <x v="5"/>
    <x v="6"/>
    <x v="2"/>
    <x v="354"/>
    <x v="2"/>
    <x v="10"/>
    <x v="353"/>
    <x v="369"/>
    <x v="3"/>
    <x v="2"/>
    <x v="380"/>
    <x v="380"/>
    <x v="371"/>
    <x v="1"/>
  </r>
  <r>
    <x v="392"/>
    <x v="392"/>
    <x v="312"/>
    <x v="332"/>
    <x v="1"/>
    <x v="312"/>
    <x v="312"/>
    <x v="1"/>
    <x v="0"/>
    <x v="20"/>
    <x v="15"/>
    <x v="45"/>
    <x v="3"/>
    <x v="355"/>
    <x v="1"/>
    <x v="8"/>
    <x v="354"/>
    <x v="370"/>
    <x v="3"/>
    <x v="0"/>
    <x v="381"/>
    <x v="381"/>
    <x v="372"/>
    <x v="1"/>
  </r>
  <r>
    <x v="393"/>
    <x v="393"/>
    <x v="77"/>
    <x v="333"/>
    <x v="2"/>
    <x v="313"/>
    <x v="313"/>
    <x v="1"/>
    <x v="0"/>
    <x v="1"/>
    <x v="1"/>
    <x v="1"/>
    <x v="1"/>
    <x v="356"/>
    <x v="1"/>
    <x v="5"/>
    <x v="355"/>
    <x v="371"/>
    <x v="6"/>
    <x v="2"/>
    <x v="382"/>
    <x v="382"/>
    <x v="373"/>
    <x v="1"/>
  </r>
  <r>
    <x v="394"/>
    <x v="394"/>
    <x v="313"/>
    <x v="334"/>
    <x v="1"/>
    <x v="314"/>
    <x v="314"/>
    <x v="0"/>
    <x v="0"/>
    <x v="103"/>
    <x v="0"/>
    <x v="175"/>
    <x v="0"/>
    <x v="357"/>
    <x v="2"/>
    <x v="10"/>
    <x v="356"/>
    <x v="372"/>
    <x v="2"/>
    <x v="0"/>
    <x v="383"/>
    <x v="383"/>
    <x v="374"/>
    <x v="1"/>
  </r>
  <r>
    <x v="395"/>
    <x v="395"/>
    <x v="314"/>
    <x v="335"/>
    <x v="1"/>
    <x v="315"/>
    <x v="315"/>
    <x v="0"/>
    <x v="0"/>
    <x v="160"/>
    <x v="24"/>
    <x v="203"/>
    <x v="3"/>
    <x v="358"/>
    <x v="0"/>
    <x v="3"/>
    <x v="357"/>
    <x v="373"/>
    <x v="6"/>
    <x v="2"/>
    <x v="384"/>
    <x v="384"/>
    <x v="375"/>
    <x v="1"/>
  </r>
  <r>
    <x v="396"/>
    <x v="396"/>
    <x v="315"/>
    <x v="336"/>
    <x v="1"/>
    <x v="316"/>
    <x v="316"/>
    <x v="1"/>
    <x v="0"/>
    <x v="161"/>
    <x v="30"/>
    <x v="204"/>
    <x v="3"/>
    <x v="359"/>
    <x v="2"/>
    <x v="12"/>
    <x v="358"/>
    <x v="374"/>
    <x v="2"/>
    <x v="0"/>
    <x v="385"/>
    <x v="385"/>
    <x v="376"/>
    <x v="1"/>
  </r>
  <r>
    <x v="397"/>
    <x v="397"/>
    <x v="23"/>
    <x v="22"/>
    <x v="0"/>
    <x v="317"/>
    <x v="317"/>
    <x v="1"/>
    <x v="0"/>
    <x v="162"/>
    <x v="1"/>
    <x v="205"/>
    <x v="1"/>
    <x v="360"/>
    <x v="1"/>
    <x v="8"/>
    <x v="359"/>
    <x v="375"/>
    <x v="0"/>
    <x v="0"/>
    <x v="386"/>
    <x v="386"/>
    <x v="377"/>
    <x v="1"/>
  </r>
  <r>
    <x v="398"/>
    <x v="398"/>
    <x v="316"/>
    <x v="204"/>
    <x v="1"/>
    <x v="104"/>
    <x v="104"/>
    <x v="0"/>
    <x v="0"/>
    <x v="25"/>
    <x v="35"/>
    <x v="129"/>
    <x v="0"/>
    <x v="139"/>
    <x v="1"/>
    <x v="8"/>
    <x v="139"/>
    <x v="376"/>
    <x v="4"/>
    <x v="0"/>
    <x v="387"/>
    <x v="387"/>
    <x v="378"/>
    <x v="1"/>
  </r>
  <r>
    <x v="399"/>
    <x v="399"/>
    <x v="317"/>
    <x v="337"/>
    <x v="1"/>
    <x v="218"/>
    <x v="218"/>
    <x v="0"/>
    <x v="0"/>
    <x v="20"/>
    <x v="15"/>
    <x v="45"/>
    <x v="3"/>
    <x v="338"/>
    <x v="0"/>
    <x v="3"/>
    <x v="337"/>
    <x v="377"/>
    <x v="0"/>
    <x v="0"/>
    <x v="388"/>
    <x v="388"/>
    <x v="379"/>
    <x v="1"/>
  </r>
  <r>
    <x v="400"/>
    <x v="400"/>
    <x v="93"/>
    <x v="338"/>
    <x v="1"/>
    <x v="318"/>
    <x v="318"/>
    <x v="0"/>
    <x v="0"/>
    <x v="20"/>
    <x v="15"/>
    <x v="45"/>
    <x v="3"/>
    <x v="361"/>
    <x v="1"/>
    <x v="4"/>
    <x v="360"/>
    <x v="378"/>
    <x v="0"/>
    <x v="0"/>
    <x v="389"/>
    <x v="389"/>
    <x v="380"/>
    <x v="1"/>
  </r>
  <r>
    <x v="401"/>
    <x v="401"/>
    <x v="318"/>
    <x v="339"/>
    <x v="1"/>
    <x v="319"/>
    <x v="319"/>
    <x v="2"/>
    <x v="0"/>
    <x v="163"/>
    <x v="30"/>
    <x v="206"/>
    <x v="3"/>
    <x v="109"/>
    <x v="1"/>
    <x v="4"/>
    <x v="110"/>
    <x v="113"/>
    <x v="8"/>
    <x v="0"/>
    <x v="114"/>
    <x v="114"/>
    <x v="113"/>
    <x v="1"/>
  </r>
  <r>
    <x v="402"/>
    <x v="402"/>
    <x v="3"/>
    <x v="340"/>
    <x v="1"/>
    <x v="320"/>
    <x v="320"/>
    <x v="0"/>
    <x v="0"/>
    <x v="8"/>
    <x v="1"/>
    <x v="34"/>
    <x v="1"/>
    <x v="362"/>
    <x v="1"/>
    <x v="15"/>
    <x v="361"/>
    <x v="379"/>
    <x v="0"/>
    <x v="0"/>
    <x v="390"/>
    <x v="390"/>
    <x v="381"/>
    <x v="1"/>
  </r>
  <r>
    <x v="403"/>
    <x v="403"/>
    <x v="319"/>
    <x v="341"/>
    <x v="0"/>
    <x v="295"/>
    <x v="295"/>
    <x v="1"/>
    <x v="0"/>
    <x v="108"/>
    <x v="2"/>
    <x v="133"/>
    <x v="0"/>
    <x v="363"/>
    <x v="2"/>
    <x v="12"/>
    <x v="362"/>
    <x v="380"/>
    <x v="4"/>
    <x v="2"/>
    <x v="391"/>
    <x v="391"/>
    <x v="382"/>
    <x v="1"/>
  </r>
  <r>
    <x v="404"/>
    <x v="404"/>
    <x v="320"/>
    <x v="306"/>
    <x v="1"/>
    <x v="321"/>
    <x v="321"/>
    <x v="1"/>
    <x v="0"/>
    <x v="24"/>
    <x v="17"/>
    <x v="28"/>
    <x v="0"/>
    <x v="364"/>
    <x v="1"/>
    <x v="1"/>
    <x v="363"/>
    <x v="381"/>
    <x v="8"/>
    <x v="0"/>
    <x v="392"/>
    <x v="392"/>
    <x v="383"/>
    <x v="1"/>
  </r>
  <r>
    <x v="405"/>
    <x v="405"/>
    <x v="321"/>
    <x v="342"/>
    <x v="2"/>
    <x v="322"/>
    <x v="322"/>
    <x v="1"/>
    <x v="0"/>
    <x v="10"/>
    <x v="9"/>
    <x v="11"/>
    <x v="3"/>
    <x v="365"/>
    <x v="1"/>
    <x v="1"/>
    <x v="364"/>
    <x v="382"/>
    <x v="6"/>
    <x v="2"/>
    <x v="393"/>
    <x v="393"/>
    <x v="384"/>
    <x v="1"/>
  </r>
  <r>
    <x v="406"/>
    <x v="406"/>
    <x v="322"/>
    <x v="343"/>
    <x v="1"/>
    <x v="323"/>
    <x v="323"/>
    <x v="1"/>
    <x v="0"/>
    <x v="152"/>
    <x v="9"/>
    <x v="207"/>
    <x v="3"/>
    <x v="366"/>
    <x v="1"/>
    <x v="5"/>
    <x v="365"/>
    <x v="383"/>
    <x v="4"/>
    <x v="7"/>
    <x v="394"/>
    <x v="394"/>
    <x v="385"/>
    <x v="1"/>
  </r>
  <r>
    <x v="407"/>
    <x v="407"/>
    <x v="323"/>
    <x v="344"/>
    <x v="2"/>
    <x v="324"/>
    <x v="324"/>
    <x v="2"/>
    <x v="0"/>
    <x v="10"/>
    <x v="9"/>
    <x v="105"/>
    <x v="3"/>
    <x v="367"/>
    <x v="1"/>
    <x v="5"/>
    <x v="366"/>
    <x v="384"/>
    <x v="1"/>
    <x v="7"/>
    <x v="395"/>
    <x v="395"/>
    <x v="386"/>
    <x v="1"/>
  </r>
  <r>
    <x v="408"/>
    <x v="408"/>
    <x v="324"/>
    <x v="52"/>
    <x v="2"/>
    <x v="14"/>
    <x v="14"/>
    <x v="0"/>
    <x v="0"/>
    <x v="3"/>
    <x v="38"/>
    <x v="208"/>
    <x v="3"/>
    <x v="368"/>
    <x v="1"/>
    <x v="4"/>
    <x v="367"/>
    <x v="385"/>
    <x v="3"/>
    <x v="0"/>
    <x v="396"/>
    <x v="396"/>
    <x v="387"/>
    <x v="1"/>
  </r>
  <r>
    <x v="409"/>
    <x v="409"/>
    <x v="325"/>
    <x v="345"/>
    <x v="1"/>
    <x v="325"/>
    <x v="325"/>
    <x v="0"/>
    <x v="0"/>
    <x v="20"/>
    <x v="15"/>
    <x v="29"/>
    <x v="3"/>
    <x v="369"/>
    <x v="1"/>
    <x v="4"/>
    <x v="368"/>
    <x v="340"/>
    <x v="0"/>
    <x v="0"/>
    <x v="397"/>
    <x v="397"/>
    <x v="342"/>
    <x v="1"/>
  </r>
  <r>
    <x v="410"/>
    <x v="410"/>
    <x v="326"/>
    <x v="346"/>
    <x v="1"/>
    <x v="315"/>
    <x v="315"/>
    <x v="0"/>
    <x v="0"/>
    <x v="35"/>
    <x v="3"/>
    <x v="43"/>
    <x v="0"/>
    <x v="370"/>
    <x v="1"/>
    <x v="4"/>
    <x v="369"/>
    <x v="386"/>
    <x v="1"/>
    <x v="2"/>
    <x v="398"/>
    <x v="398"/>
    <x v="388"/>
    <x v="1"/>
  </r>
  <r>
    <x v="411"/>
    <x v="411"/>
    <x v="327"/>
    <x v="347"/>
    <x v="1"/>
    <x v="254"/>
    <x v="254"/>
    <x v="2"/>
    <x v="0"/>
    <x v="3"/>
    <x v="38"/>
    <x v="208"/>
    <x v="3"/>
    <x v="371"/>
    <x v="0"/>
    <x v="3"/>
    <x v="370"/>
    <x v="387"/>
    <x v="3"/>
    <x v="0"/>
    <x v="399"/>
    <x v="399"/>
    <x v="389"/>
    <x v="1"/>
  </r>
  <r>
    <x v="412"/>
    <x v="412"/>
    <x v="328"/>
    <x v="110"/>
    <x v="1"/>
    <x v="326"/>
    <x v="326"/>
    <x v="2"/>
    <x v="0"/>
    <x v="10"/>
    <x v="9"/>
    <x v="74"/>
    <x v="3"/>
    <x v="372"/>
    <x v="1"/>
    <x v="5"/>
    <x v="371"/>
    <x v="388"/>
    <x v="6"/>
    <x v="7"/>
    <x v="400"/>
    <x v="400"/>
    <x v="390"/>
    <x v="1"/>
  </r>
  <r>
    <x v="413"/>
    <x v="413"/>
    <x v="329"/>
    <x v="348"/>
    <x v="0"/>
    <x v="6"/>
    <x v="6"/>
    <x v="2"/>
    <x v="0"/>
    <x v="20"/>
    <x v="15"/>
    <x v="23"/>
    <x v="3"/>
    <x v="373"/>
    <x v="1"/>
    <x v="5"/>
    <x v="372"/>
    <x v="389"/>
    <x v="3"/>
    <x v="2"/>
    <x v="401"/>
    <x v="401"/>
    <x v="391"/>
    <x v="1"/>
  </r>
  <r>
    <x v="414"/>
    <x v="414"/>
    <x v="330"/>
    <x v="349"/>
    <x v="1"/>
    <x v="54"/>
    <x v="54"/>
    <x v="0"/>
    <x v="0"/>
    <x v="24"/>
    <x v="17"/>
    <x v="28"/>
    <x v="0"/>
    <x v="374"/>
    <x v="1"/>
    <x v="7"/>
    <x v="373"/>
    <x v="390"/>
    <x v="0"/>
    <x v="0"/>
    <x v="402"/>
    <x v="402"/>
    <x v="392"/>
    <x v="1"/>
  </r>
  <r>
    <x v="415"/>
    <x v="415"/>
    <x v="331"/>
    <x v="350"/>
    <x v="3"/>
    <x v="47"/>
    <x v="47"/>
    <x v="0"/>
    <x v="0"/>
    <x v="8"/>
    <x v="1"/>
    <x v="9"/>
    <x v="1"/>
    <x v="375"/>
    <x v="1"/>
    <x v="8"/>
    <x v="374"/>
    <x v="391"/>
    <x v="6"/>
    <x v="0"/>
    <x v="403"/>
    <x v="403"/>
    <x v="393"/>
    <x v="1"/>
  </r>
  <r>
    <x v="416"/>
    <x v="416"/>
    <x v="332"/>
    <x v="351"/>
    <x v="2"/>
    <x v="327"/>
    <x v="327"/>
    <x v="2"/>
    <x v="0"/>
    <x v="66"/>
    <x v="12"/>
    <x v="83"/>
    <x v="2"/>
    <x v="272"/>
    <x v="0"/>
    <x v="3"/>
    <x v="272"/>
    <x v="392"/>
    <x v="1"/>
    <x v="0"/>
    <x v="404"/>
    <x v="404"/>
    <x v="394"/>
    <x v="1"/>
  </r>
  <r>
    <x v="417"/>
    <x v="417"/>
    <x v="333"/>
    <x v="352"/>
    <x v="1"/>
    <x v="328"/>
    <x v="328"/>
    <x v="0"/>
    <x v="0"/>
    <x v="30"/>
    <x v="15"/>
    <x v="144"/>
    <x v="3"/>
    <x v="376"/>
    <x v="0"/>
    <x v="3"/>
    <x v="375"/>
    <x v="393"/>
    <x v="0"/>
    <x v="0"/>
    <x v="405"/>
    <x v="405"/>
    <x v="395"/>
    <x v="1"/>
  </r>
  <r>
    <x v="418"/>
    <x v="418"/>
    <x v="334"/>
    <x v="353"/>
    <x v="0"/>
    <x v="329"/>
    <x v="329"/>
    <x v="1"/>
    <x v="0"/>
    <x v="1"/>
    <x v="1"/>
    <x v="62"/>
    <x v="1"/>
    <x v="377"/>
    <x v="1"/>
    <x v="5"/>
    <x v="376"/>
    <x v="394"/>
    <x v="3"/>
    <x v="2"/>
    <x v="406"/>
    <x v="406"/>
    <x v="396"/>
    <x v="1"/>
  </r>
  <r>
    <x v="419"/>
    <x v="419"/>
    <x v="335"/>
    <x v="354"/>
    <x v="1"/>
    <x v="220"/>
    <x v="220"/>
    <x v="0"/>
    <x v="0"/>
    <x v="70"/>
    <x v="1"/>
    <x v="188"/>
    <x v="1"/>
    <x v="378"/>
    <x v="1"/>
    <x v="7"/>
    <x v="377"/>
    <x v="395"/>
    <x v="12"/>
    <x v="0"/>
    <x v="407"/>
    <x v="407"/>
    <x v="397"/>
    <x v="1"/>
  </r>
  <r>
    <x v="420"/>
    <x v="420"/>
    <x v="336"/>
    <x v="163"/>
    <x v="1"/>
    <x v="330"/>
    <x v="330"/>
    <x v="2"/>
    <x v="0"/>
    <x v="29"/>
    <x v="39"/>
    <x v="209"/>
    <x v="3"/>
    <x v="379"/>
    <x v="1"/>
    <x v="5"/>
    <x v="378"/>
    <x v="396"/>
    <x v="2"/>
    <x v="0"/>
    <x v="408"/>
    <x v="408"/>
    <x v="398"/>
    <x v="1"/>
  </r>
  <r>
    <x v="421"/>
    <x v="421"/>
    <x v="337"/>
    <x v="355"/>
    <x v="1"/>
    <x v="316"/>
    <x v="316"/>
    <x v="1"/>
    <x v="0"/>
    <x v="8"/>
    <x v="1"/>
    <x v="34"/>
    <x v="1"/>
    <x v="179"/>
    <x v="1"/>
    <x v="4"/>
    <x v="179"/>
    <x v="397"/>
    <x v="4"/>
    <x v="0"/>
    <x v="409"/>
    <x v="409"/>
    <x v="399"/>
    <x v="1"/>
  </r>
  <r>
    <x v="422"/>
    <x v="422"/>
    <x v="308"/>
    <x v="356"/>
    <x v="1"/>
    <x v="188"/>
    <x v="188"/>
    <x v="0"/>
    <x v="0"/>
    <x v="106"/>
    <x v="15"/>
    <x v="131"/>
    <x v="3"/>
    <x v="380"/>
    <x v="2"/>
    <x v="12"/>
    <x v="379"/>
    <x v="398"/>
    <x v="1"/>
    <x v="0"/>
    <x v="410"/>
    <x v="410"/>
    <x v="400"/>
    <x v="1"/>
  </r>
  <r>
    <x v="423"/>
    <x v="423"/>
    <x v="335"/>
    <x v="327"/>
    <x v="2"/>
    <x v="274"/>
    <x v="274"/>
    <x v="2"/>
    <x v="0"/>
    <x v="66"/>
    <x v="12"/>
    <x v="83"/>
    <x v="2"/>
    <x v="381"/>
    <x v="1"/>
    <x v="4"/>
    <x v="380"/>
    <x v="399"/>
    <x v="8"/>
    <x v="0"/>
    <x v="411"/>
    <x v="411"/>
    <x v="401"/>
    <x v="1"/>
  </r>
  <r>
    <x v="424"/>
    <x v="424"/>
    <x v="338"/>
    <x v="357"/>
    <x v="2"/>
    <x v="331"/>
    <x v="331"/>
    <x v="1"/>
    <x v="0"/>
    <x v="8"/>
    <x v="1"/>
    <x v="34"/>
    <x v="1"/>
    <x v="382"/>
    <x v="1"/>
    <x v="7"/>
    <x v="381"/>
    <x v="400"/>
    <x v="2"/>
    <x v="0"/>
    <x v="412"/>
    <x v="412"/>
    <x v="402"/>
    <x v="1"/>
  </r>
  <r>
    <x v="425"/>
    <x v="425"/>
    <x v="339"/>
    <x v="358"/>
    <x v="0"/>
    <x v="332"/>
    <x v="332"/>
    <x v="0"/>
    <x v="0"/>
    <x v="12"/>
    <x v="5"/>
    <x v="14"/>
    <x v="2"/>
    <x v="383"/>
    <x v="1"/>
    <x v="11"/>
    <x v="76"/>
    <x v="401"/>
    <x v="0"/>
    <x v="2"/>
    <x v="413"/>
    <x v="413"/>
    <x v="403"/>
    <x v="1"/>
  </r>
  <r>
    <x v="426"/>
    <x v="426"/>
    <x v="340"/>
    <x v="359"/>
    <x v="1"/>
    <x v="333"/>
    <x v="333"/>
    <x v="0"/>
    <x v="0"/>
    <x v="66"/>
    <x v="12"/>
    <x v="83"/>
    <x v="2"/>
    <x v="210"/>
    <x v="1"/>
    <x v="1"/>
    <x v="210"/>
    <x v="402"/>
    <x v="2"/>
    <x v="0"/>
    <x v="414"/>
    <x v="414"/>
    <x v="404"/>
    <x v="1"/>
  </r>
  <r>
    <x v="427"/>
    <x v="427"/>
    <x v="341"/>
    <x v="360"/>
    <x v="0"/>
    <x v="334"/>
    <x v="334"/>
    <x v="1"/>
    <x v="0"/>
    <x v="109"/>
    <x v="15"/>
    <x v="135"/>
    <x v="3"/>
    <x v="384"/>
    <x v="1"/>
    <x v="4"/>
    <x v="382"/>
    <x v="403"/>
    <x v="7"/>
    <x v="0"/>
    <x v="415"/>
    <x v="415"/>
    <x v="405"/>
    <x v="1"/>
  </r>
  <r>
    <x v="428"/>
    <x v="428"/>
    <x v="342"/>
    <x v="361"/>
    <x v="2"/>
    <x v="335"/>
    <x v="335"/>
    <x v="1"/>
    <x v="0"/>
    <x v="24"/>
    <x v="24"/>
    <x v="157"/>
    <x v="3"/>
    <x v="385"/>
    <x v="1"/>
    <x v="5"/>
    <x v="383"/>
    <x v="404"/>
    <x v="0"/>
    <x v="7"/>
    <x v="416"/>
    <x v="416"/>
    <x v="406"/>
    <x v="1"/>
  </r>
  <r>
    <x v="429"/>
    <x v="429"/>
    <x v="343"/>
    <x v="87"/>
    <x v="2"/>
    <x v="143"/>
    <x v="143"/>
    <x v="0"/>
    <x v="0"/>
    <x v="164"/>
    <x v="5"/>
    <x v="210"/>
    <x v="2"/>
    <x v="386"/>
    <x v="1"/>
    <x v="1"/>
    <x v="384"/>
    <x v="405"/>
    <x v="1"/>
    <x v="2"/>
    <x v="417"/>
    <x v="417"/>
    <x v="407"/>
    <x v="1"/>
  </r>
  <r>
    <x v="430"/>
    <x v="430"/>
    <x v="175"/>
    <x v="31"/>
    <x v="2"/>
    <x v="72"/>
    <x v="72"/>
    <x v="0"/>
    <x v="0"/>
    <x v="22"/>
    <x v="10"/>
    <x v="155"/>
    <x v="2"/>
    <x v="387"/>
    <x v="2"/>
    <x v="10"/>
    <x v="385"/>
    <x v="406"/>
    <x v="3"/>
    <x v="2"/>
    <x v="418"/>
    <x v="418"/>
    <x v="408"/>
    <x v="1"/>
  </r>
  <r>
    <x v="431"/>
    <x v="431"/>
    <x v="143"/>
    <x v="361"/>
    <x v="1"/>
    <x v="95"/>
    <x v="95"/>
    <x v="0"/>
    <x v="0"/>
    <x v="1"/>
    <x v="1"/>
    <x v="3"/>
    <x v="1"/>
    <x v="388"/>
    <x v="1"/>
    <x v="4"/>
    <x v="386"/>
    <x v="64"/>
    <x v="3"/>
    <x v="0"/>
    <x v="65"/>
    <x v="65"/>
    <x v="64"/>
    <x v="1"/>
  </r>
  <r>
    <x v="432"/>
    <x v="432"/>
    <x v="247"/>
    <x v="362"/>
    <x v="1"/>
    <x v="22"/>
    <x v="22"/>
    <x v="0"/>
    <x v="0"/>
    <x v="20"/>
    <x v="15"/>
    <x v="29"/>
    <x v="3"/>
    <x v="389"/>
    <x v="0"/>
    <x v="0"/>
    <x v="387"/>
    <x v="407"/>
    <x v="6"/>
    <x v="2"/>
    <x v="419"/>
    <x v="419"/>
    <x v="409"/>
    <x v="1"/>
  </r>
  <r>
    <x v="433"/>
    <x v="433"/>
    <x v="264"/>
    <x v="285"/>
    <x v="1"/>
    <x v="336"/>
    <x v="336"/>
    <x v="2"/>
    <x v="0"/>
    <x v="25"/>
    <x v="12"/>
    <x v="30"/>
    <x v="2"/>
    <x v="390"/>
    <x v="2"/>
    <x v="10"/>
    <x v="388"/>
    <x v="408"/>
    <x v="6"/>
    <x v="0"/>
    <x v="420"/>
    <x v="420"/>
    <x v="410"/>
    <x v="1"/>
  </r>
  <r>
    <x v="434"/>
    <x v="434"/>
    <x v="70"/>
    <x v="363"/>
    <x v="1"/>
    <x v="337"/>
    <x v="337"/>
    <x v="2"/>
    <x v="0"/>
    <x v="165"/>
    <x v="29"/>
    <x v="211"/>
    <x v="3"/>
    <x v="278"/>
    <x v="0"/>
    <x v="3"/>
    <x v="277"/>
    <x v="229"/>
    <x v="4"/>
    <x v="0"/>
    <x v="421"/>
    <x v="421"/>
    <x v="230"/>
    <x v="1"/>
  </r>
  <r>
    <x v="435"/>
    <x v="435"/>
    <x v="344"/>
    <x v="364"/>
    <x v="2"/>
    <x v="312"/>
    <x v="312"/>
    <x v="1"/>
    <x v="0"/>
    <x v="158"/>
    <x v="6"/>
    <x v="201"/>
    <x v="2"/>
    <x v="129"/>
    <x v="0"/>
    <x v="3"/>
    <x v="129"/>
    <x v="409"/>
    <x v="8"/>
    <x v="0"/>
    <x v="422"/>
    <x v="422"/>
    <x v="411"/>
    <x v="1"/>
  </r>
  <r>
    <x v="436"/>
    <x v="436"/>
    <x v="345"/>
    <x v="365"/>
    <x v="1"/>
    <x v="126"/>
    <x v="126"/>
    <x v="1"/>
    <x v="0"/>
    <x v="52"/>
    <x v="5"/>
    <x v="65"/>
    <x v="2"/>
    <x v="391"/>
    <x v="0"/>
    <x v="2"/>
    <x v="389"/>
    <x v="410"/>
    <x v="0"/>
    <x v="4"/>
    <x v="423"/>
    <x v="423"/>
    <x v="412"/>
    <x v="1"/>
  </r>
  <r>
    <x v="437"/>
    <x v="437"/>
    <x v="346"/>
    <x v="366"/>
    <x v="1"/>
    <x v="338"/>
    <x v="338"/>
    <x v="1"/>
    <x v="0"/>
    <x v="61"/>
    <x v="5"/>
    <x v="77"/>
    <x v="2"/>
    <x v="329"/>
    <x v="1"/>
    <x v="11"/>
    <x v="328"/>
    <x v="411"/>
    <x v="3"/>
    <x v="2"/>
    <x v="424"/>
    <x v="424"/>
    <x v="413"/>
    <x v="1"/>
  </r>
  <r>
    <x v="438"/>
    <x v="438"/>
    <x v="29"/>
    <x v="367"/>
    <x v="1"/>
    <x v="116"/>
    <x v="116"/>
    <x v="0"/>
    <x v="0"/>
    <x v="166"/>
    <x v="17"/>
    <x v="212"/>
    <x v="0"/>
    <x v="318"/>
    <x v="1"/>
    <x v="7"/>
    <x v="317"/>
    <x v="334"/>
    <x v="0"/>
    <x v="0"/>
    <x v="343"/>
    <x v="343"/>
    <x v="336"/>
    <x v="1"/>
  </r>
  <r>
    <x v="439"/>
    <x v="439"/>
    <x v="347"/>
    <x v="368"/>
    <x v="1"/>
    <x v="339"/>
    <x v="339"/>
    <x v="0"/>
    <x v="0"/>
    <x v="20"/>
    <x v="15"/>
    <x v="29"/>
    <x v="3"/>
    <x v="392"/>
    <x v="2"/>
    <x v="12"/>
    <x v="390"/>
    <x v="412"/>
    <x v="3"/>
    <x v="0"/>
    <x v="425"/>
    <x v="425"/>
    <x v="414"/>
    <x v="1"/>
  </r>
  <r>
    <x v="440"/>
    <x v="440"/>
    <x v="306"/>
    <x v="369"/>
    <x v="1"/>
    <x v="340"/>
    <x v="340"/>
    <x v="1"/>
    <x v="0"/>
    <x v="20"/>
    <x v="15"/>
    <x v="164"/>
    <x v="3"/>
    <x v="57"/>
    <x v="1"/>
    <x v="5"/>
    <x v="57"/>
    <x v="413"/>
    <x v="0"/>
    <x v="2"/>
    <x v="426"/>
    <x v="426"/>
    <x v="415"/>
    <x v="1"/>
  </r>
  <r>
    <x v="441"/>
    <x v="441"/>
    <x v="103"/>
    <x v="370"/>
    <x v="2"/>
    <x v="341"/>
    <x v="341"/>
    <x v="0"/>
    <x v="0"/>
    <x v="10"/>
    <x v="9"/>
    <x v="105"/>
    <x v="3"/>
    <x v="393"/>
    <x v="1"/>
    <x v="4"/>
    <x v="391"/>
    <x v="4"/>
    <x v="3"/>
    <x v="2"/>
    <x v="4"/>
    <x v="4"/>
    <x v="4"/>
    <x v="1"/>
  </r>
  <r>
    <x v="442"/>
    <x v="442"/>
    <x v="348"/>
    <x v="256"/>
    <x v="1"/>
    <x v="342"/>
    <x v="342"/>
    <x v="2"/>
    <x v="0"/>
    <x v="24"/>
    <x v="17"/>
    <x v="28"/>
    <x v="0"/>
    <x v="394"/>
    <x v="1"/>
    <x v="8"/>
    <x v="392"/>
    <x v="414"/>
    <x v="6"/>
    <x v="0"/>
    <x v="427"/>
    <x v="427"/>
    <x v="416"/>
    <x v="1"/>
  </r>
  <r>
    <x v="443"/>
    <x v="443"/>
    <x v="349"/>
    <x v="125"/>
    <x v="2"/>
    <x v="269"/>
    <x v="269"/>
    <x v="0"/>
    <x v="0"/>
    <x v="167"/>
    <x v="24"/>
    <x v="213"/>
    <x v="3"/>
    <x v="242"/>
    <x v="1"/>
    <x v="8"/>
    <x v="242"/>
    <x v="415"/>
    <x v="3"/>
    <x v="2"/>
    <x v="428"/>
    <x v="428"/>
    <x v="417"/>
    <x v="1"/>
  </r>
  <r>
    <x v="444"/>
    <x v="444"/>
    <x v="264"/>
    <x v="371"/>
    <x v="1"/>
    <x v="343"/>
    <x v="343"/>
    <x v="0"/>
    <x v="0"/>
    <x v="10"/>
    <x v="9"/>
    <x v="11"/>
    <x v="3"/>
    <x v="395"/>
    <x v="1"/>
    <x v="4"/>
    <x v="393"/>
    <x v="416"/>
    <x v="3"/>
    <x v="2"/>
    <x v="429"/>
    <x v="429"/>
    <x v="418"/>
    <x v="1"/>
  </r>
  <r>
    <x v="445"/>
    <x v="445"/>
    <x v="23"/>
    <x v="372"/>
    <x v="1"/>
    <x v="344"/>
    <x v="344"/>
    <x v="2"/>
    <x v="0"/>
    <x v="10"/>
    <x v="9"/>
    <x v="74"/>
    <x v="3"/>
    <x v="396"/>
    <x v="1"/>
    <x v="4"/>
    <x v="394"/>
    <x v="417"/>
    <x v="7"/>
    <x v="2"/>
    <x v="430"/>
    <x v="430"/>
    <x v="419"/>
    <x v="1"/>
  </r>
  <r>
    <x v="446"/>
    <x v="446"/>
    <x v="60"/>
    <x v="373"/>
    <x v="2"/>
    <x v="19"/>
    <x v="19"/>
    <x v="1"/>
    <x v="0"/>
    <x v="168"/>
    <x v="27"/>
    <x v="214"/>
    <x v="1"/>
    <x v="291"/>
    <x v="2"/>
    <x v="12"/>
    <x v="290"/>
    <x v="418"/>
    <x v="8"/>
    <x v="0"/>
    <x v="431"/>
    <x v="431"/>
    <x v="420"/>
    <x v="1"/>
  </r>
  <r>
    <x v="447"/>
    <x v="447"/>
    <x v="350"/>
    <x v="374"/>
    <x v="1"/>
    <x v="345"/>
    <x v="345"/>
    <x v="1"/>
    <x v="0"/>
    <x v="169"/>
    <x v="1"/>
    <x v="215"/>
    <x v="1"/>
    <x v="397"/>
    <x v="1"/>
    <x v="4"/>
    <x v="395"/>
    <x v="44"/>
    <x v="0"/>
    <x v="0"/>
    <x v="44"/>
    <x v="44"/>
    <x v="44"/>
    <x v="1"/>
  </r>
  <r>
    <x v="448"/>
    <x v="448"/>
    <x v="351"/>
    <x v="375"/>
    <x v="2"/>
    <x v="346"/>
    <x v="346"/>
    <x v="1"/>
    <x v="0"/>
    <x v="8"/>
    <x v="1"/>
    <x v="94"/>
    <x v="1"/>
    <x v="398"/>
    <x v="1"/>
    <x v="4"/>
    <x v="396"/>
    <x v="419"/>
    <x v="0"/>
    <x v="0"/>
    <x v="432"/>
    <x v="432"/>
    <x v="421"/>
    <x v="1"/>
  </r>
  <r>
    <x v="449"/>
    <x v="449"/>
    <x v="180"/>
    <x v="120"/>
    <x v="1"/>
    <x v="338"/>
    <x v="338"/>
    <x v="1"/>
    <x v="0"/>
    <x v="170"/>
    <x v="1"/>
    <x v="216"/>
    <x v="1"/>
    <x v="399"/>
    <x v="1"/>
    <x v="5"/>
    <x v="397"/>
    <x v="420"/>
    <x v="0"/>
    <x v="2"/>
    <x v="433"/>
    <x v="433"/>
    <x v="422"/>
    <x v="1"/>
  </r>
  <r>
    <x v="450"/>
    <x v="450"/>
    <x v="352"/>
    <x v="69"/>
    <x v="1"/>
    <x v="139"/>
    <x v="139"/>
    <x v="0"/>
    <x v="0"/>
    <x v="4"/>
    <x v="4"/>
    <x v="59"/>
    <x v="1"/>
    <x v="400"/>
    <x v="1"/>
    <x v="4"/>
    <x v="398"/>
    <x v="132"/>
    <x v="1"/>
    <x v="0"/>
    <x v="135"/>
    <x v="135"/>
    <x v="132"/>
    <x v="1"/>
  </r>
  <r>
    <x v="451"/>
    <x v="451"/>
    <x v="353"/>
    <x v="376"/>
    <x v="2"/>
    <x v="222"/>
    <x v="222"/>
    <x v="0"/>
    <x v="0"/>
    <x v="123"/>
    <x v="16"/>
    <x v="154"/>
    <x v="1"/>
    <x v="401"/>
    <x v="0"/>
    <x v="2"/>
    <x v="399"/>
    <x v="421"/>
    <x v="3"/>
    <x v="5"/>
    <x v="434"/>
    <x v="434"/>
    <x v="423"/>
    <x v="1"/>
  </r>
  <r>
    <x v="452"/>
    <x v="452"/>
    <x v="354"/>
    <x v="348"/>
    <x v="1"/>
    <x v="176"/>
    <x v="176"/>
    <x v="2"/>
    <x v="0"/>
    <x v="10"/>
    <x v="9"/>
    <x v="74"/>
    <x v="3"/>
    <x v="402"/>
    <x v="0"/>
    <x v="3"/>
    <x v="400"/>
    <x v="422"/>
    <x v="2"/>
    <x v="2"/>
    <x v="435"/>
    <x v="435"/>
    <x v="424"/>
    <x v="1"/>
  </r>
  <r>
    <x v="453"/>
    <x v="453"/>
    <x v="355"/>
    <x v="377"/>
    <x v="1"/>
    <x v="347"/>
    <x v="347"/>
    <x v="0"/>
    <x v="0"/>
    <x v="10"/>
    <x v="9"/>
    <x v="105"/>
    <x v="3"/>
    <x v="403"/>
    <x v="0"/>
    <x v="3"/>
    <x v="401"/>
    <x v="423"/>
    <x v="6"/>
    <x v="2"/>
    <x v="436"/>
    <x v="436"/>
    <x v="425"/>
    <x v="1"/>
  </r>
  <r>
    <x v="454"/>
    <x v="454"/>
    <x v="116"/>
    <x v="378"/>
    <x v="1"/>
    <x v="348"/>
    <x v="348"/>
    <x v="0"/>
    <x v="0"/>
    <x v="171"/>
    <x v="5"/>
    <x v="217"/>
    <x v="2"/>
    <x v="404"/>
    <x v="1"/>
    <x v="8"/>
    <x v="402"/>
    <x v="424"/>
    <x v="0"/>
    <x v="2"/>
    <x v="437"/>
    <x v="437"/>
    <x v="426"/>
    <x v="1"/>
  </r>
  <r>
    <x v="455"/>
    <x v="455"/>
    <x v="329"/>
    <x v="379"/>
    <x v="1"/>
    <x v="349"/>
    <x v="349"/>
    <x v="0"/>
    <x v="0"/>
    <x v="25"/>
    <x v="35"/>
    <x v="129"/>
    <x v="0"/>
    <x v="25"/>
    <x v="1"/>
    <x v="7"/>
    <x v="25"/>
    <x v="425"/>
    <x v="1"/>
    <x v="0"/>
    <x v="438"/>
    <x v="438"/>
    <x v="427"/>
    <x v="1"/>
  </r>
  <r>
    <x v="456"/>
    <x v="456"/>
    <x v="356"/>
    <x v="380"/>
    <x v="0"/>
    <x v="350"/>
    <x v="350"/>
    <x v="0"/>
    <x v="0"/>
    <x v="42"/>
    <x v="16"/>
    <x v="51"/>
    <x v="1"/>
    <x v="405"/>
    <x v="2"/>
    <x v="10"/>
    <x v="403"/>
    <x v="426"/>
    <x v="8"/>
    <x v="2"/>
    <x v="439"/>
    <x v="439"/>
    <x v="428"/>
    <x v="1"/>
  </r>
  <r>
    <x v="457"/>
    <x v="457"/>
    <x v="357"/>
    <x v="238"/>
    <x v="3"/>
    <x v="351"/>
    <x v="351"/>
    <x v="0"/>
    <x v="0"/>
    <x v="147"/>
    <x v="1"/>
    <x v="218"/>
    <x v="1"/>
    <x v="406"/>
    <x v="0"/>
    <x v="3"/>
    <x v="404"/>
    <x v="427"/>
    <x v="0"/>
    <x v="0"/>
    <x v="440"/>
    <x v="440"/>
    <x v="429"/>
    <x v="1"/>
  </r>
  <r>
    <x v="458"/>
    <x v="458"/>
    <x v="237"/>
    <x v="381"/>
    <x v="1"/>
    <x v="352"/>
    <x v="352"/>
    <x v="1"/>
    <x v="0"/>
    <x v="8"/>
    <x v="1"/>
    <x v="94"/>
    <x v="1"/>
    <x v="108"/>
    <x v="0"/>
    <x v="9"/>
    <x v="109"/>
    <x v="112"/>
    <x v="0"/>
    <x v="2"/>
    <x v="113"/>
    <x v="113"/>
    <x v="112"/>
    <x v="1"/>
  </r>
  <r>
    <x v="459"/>
    <x v="459"/>
    <x v="154"/>
    <x v="382"/>
    <x v="1"/>
    <x v="353"/>
    <x v="353"/>
    <x v="2"/>
    <x v="0"/>
    <x v="115"/>
    <x v="36"/>
    <x v="145"/>
    <x v="0"/>
    <x v="407"/>
    <x v="1"/>
    <x v="5"/>
    <x v="405"/>
    <x v="428"/>
    <x v="0"/>
    <x v="0"/>
    <x v="441"/>
    <x v="441"/>
    <x v="430"/>
    <x v="1"/>
  </r>
  <r>
    <x v="460"/>
    <x v="460"/>
    <x v="142"/>
    <x v="383"/>
    <x v="2"/>
    <x v="51"/>
    <x v="51"/>
    <x v="1"/>
    <x v="0"/>
    <x v="8"/>
    <x v="1"/>
    <x v="94"/>
    <x v="1"/>
    <x v="408"/>
    <x v="1"/>
    <x v="11"/>
    <x v="406"/>
    <x v="429"/>
    <x v="0"/>
    <x v="0"/>
    <x v="442"/>
    <x v="442"/>
    <x v="431"/>
    <x v="1"/>
  </r>
  <r>
    <x v="461"/>
    <x v="461"/>
    <x v="358"/>
    <x v="131"/>
    <x v="0"/>
    <x v="333"/>
    <x v="333"/>
    <x v="0"/>
    <x v="0"/>
    <x v="172"/>
    <x v="2"/>
    <x v="219"/>
    <x v="0"/>
    <x v="409"/>
    <x v="1"/>
    <x v="1"/>
    <x v="407"/>
    <x v="430"/>
    <x v="0"/>
    <x v="2"/>
    <x v="443"/>
    <x v="443"/>
    <x v="432"/>
    <x v="1"/>
  </r>
  <r>
    <x v="462"/>
    <x v="462"/>
    <x v="359"/>
    <x v="384"/>
    <x v="2"/>
    <x v="354"/>
    <x v="354"/>
    <x v="2"/>
    <x v="0"/>
    <x v="20"/>
    <x v="15"/>
    <x v="164"/>
    <x v="3"/>
    <x v="410"/>
    <x v="1"/>
    <x v="1"/>
    <x v="408"/>
    <x v="431"/>
    <x v="0"/>
    <x v="0"/>
    <x v="444"/>
    <x v="444"/>
    <x v="433"/>
    <x v="1"/>
  </r>
  <r>
    <x v="463"/>
    <x v="463"/>
    <x v="360"/>
    <x v="385"/>
    <x v="0"/>
    <x v="111"/>
    <x v="111"/>
    <x v="0"/>
    <x v="0"/>
    <x v="10"/>
    <x v="9"/>
    <x v="63"/>
    <x v="3"/>
    <x v="411"/>
    <x v="0"/>
    <x v="3"/>
    <x v="409"/>
    <x v="432"/>
    <x v="4"/>
    <x v="2"/>
    <x v="445"/>
    <x v="445"/>
    <x v="434"/>
    <x v="1"/>
  </r>
  <r>
    <x v="464"/>
    <x v="464"/>
    <x v="361"/>
    <x v="179"/>
    <x v="0"/>
    <x v="285"/>
    <x v="285"/>
    <x v="2"/>
    <x v="0"/>
    <x v="20"/>
    <x v="15"/>
    <x v="164"/>
    <x v="3"/>
    <x v="223"/>
    <x v="2"/>
    <x v="10"/>
    <x v="223"/>
    <x v="433"/>
    <x v="2"/>
    <x v="0"/>
    <x v="446"/>
    <x v="446"/>
    <x v="435"/>
    <x v="1"/>
  </r>
  <r>
    <x v="465"/>
    <x v="465"/>
    <x v="362"/>
    <x v="386"/>
    <x v="1"/>
    <x v="143"/>
    <x v="143"/>
    <x v="0"/>
    <x v="0"/>
    <x v="32"/>
    <x v="21"/>
    <x v="40"/>
    <x v="1"/>
    <x v="412"/>
    <x v="1"/>
    <x v="5"/>
    <x v="410"/>
    <x v="434"/>
    <x v="0"/>
    <x v="7"/>
    <x v="447"/>
    <x v="447"/>
    <x v="436"/>
    <x v="1"/>
  </r>
  <r>
    <x v="466"/>
    <x v="466"/>
    <x v="363"/>
    <x v="387"/>
    <x v="2"/>
    <x v="308"/>
    <x v="308"/>
    <x v="1"/>
    <x v="0"/>
    <x v="66"/>
    <x v="12"/>
    <x v="185"/>
    <x v="2"/>
    <x v="114"/>
    <x v="2"/>
    <x v="14"/>
    <x v="115"/>
    <x v="118"/>
    <x v="0"/>
    <x v="9"/>
    <x v="448"/>
    <x v="448"/>
    <x v="437"/>
    <x v="1"/>
  </r>
  <r>
    <x v="467"/>
    <x v="467"/>
    <x v="198"/>
    <x v="388"/>
    <x v="2"/>
    <x v="355"/>
    <x v="355"/>
    <x v="0"/>
    <x v="0"/>
    <x v="40"/>
    <x v="3"/>
    <x v="124"/>
    <x v="0"/>
    <x v="258"/>
    <x v="1"/>
    <x v="5"/>
    <x v="258"/>
    <x v="267"/>
    <x v="0"/>
    <x v="7"/>
    <x v="274"/>
    <x v="274"/>
    <x v="268"/>
    <x v="1"/>
  </r>
  <r>
    <x v="468"/>
    <x v="468"/>
    <x v="364"/>
    <x v="301"/>
    <x v="2"/>
    <x v="33"/>
    <x v="33"/>
    <x v="1"/>
    <x v="0"/>
    <x v="38"/>
    <x v="14"/>
    <x v="134"/>
    <x v="2"/>
    <x v="413"/>
    <x v="1"/>
    <x v="4"/>
    <x v="411"/>
    <x v="435"/>
    <x v="3"/>
    <x v="0"/>
    <x v="449"/>
    <x v="449"/>
    <x v="438"/>
    <x v="1"/>
  </r>
  <r>
    <x v="469"/>
    <x v="469"/>
    <x v="339"/>
    <x v="389"/>
    <x v="1"/>
    <x v="12"/>
    <x v="12"/>
    <x v="0"/>
    <x v="0"/>
    <x v="20"/>
    <x v="15"/>
    <x v="45"/>
    <x v="3"/>
    <x v="414"/>
    <x v="0"/>
    <x v="9"/>
    <x v="412"/>
    <x v="436"/>
    <x v="4"/>
    <x v="9"/>
    <x v="450"/>
    <x v="450"/>
    <x v="439"/>
    <x v="1"/>
  </r>
  <r>
    <x v="470"/>
    <x v="470"/>
    <x v="7"/>
    <x v="390"/>
    <x v="0"/>
    <x v="356"/>
    <x v="356"/>
    <x v="0"/>
    <x v="0"/>
    <x v="103"/>
    <x v="22"/>
    <x v="127"/>
    <x v="1"/>
    <x v="415"/>
    <x v="1"/>
    <x v="8"/>
    <x v="413"/>
    <x v="437"/>
    <x v="8"/>
    <x v="2"/>
    <x v="451"/>
    <x v="451"/>
    <x v="440"/>
    <x v="1"/>
  </r>
  <r>
    <x v="471"/>
    <x v="471"/>
    <x v="365"/>
    <x v="391"/>
    <x v="1"/>
    <x v="357"/>
    <x v="357"/>
    <x v="2"/>
    <x v="0"/>
    <x v="45"/>
    <x v="5"/>
    <x v="89"/>
    <x v="2"/>
    <x v="334"/>
    <x v="1"/>
    <x v="1"/>
    <x v="333"/>
    <x v="438"/>
    <x v="0"/>
    <x v="2"/>
    <x v="452"/>
    <x v="452"/>
    <x v="441"/>
    <x v="1"/>
  </r>
  <r>
    <x v="472"/>
    <x v="472"/>
    <x v="366"/>
    <x v="392"/>
    <x v="3"/>
    <x v="358"/>
    <x v="358"/>
    <x v="0"/>
    <x v="0"/>
    <x v="12"/>
    <x v="5"/>
    <x v="16"/>
    <x v="2"/>
    <x v="416"/>
    <x v="1"/>
    <x v="5"/>
    <x v="414"/>
    <x v="439"/>
    <x v="0"/>
    <x v="3"/>
    <x v="453"/>
    <x v="453"/>
    <x v="442"/>
    <x v="1"/>
  </r>
  <r>
    <x v="473"/>
    <x v="473"/>
    <x v="367"/>
    <x v="393"/>
    <x v="1"/>
    <x v="189"/>
    <x v="189"/>
    <x v="1"/>
    <x v="0"/>
    <x v="109"/>
    <x v="15"/>
    <x v="135"/>
    <x v="3"/>
    <x v="293"/>
    <x v="0"/>
    <x v="3"/>
    <x v="292"/>
    <x v="440"/>
    <x v="1"/>
    <x v="0"/>
    <x v="454"/>
    <x v="454"/>
    <x v="443"/>
    <x v="1"/>
  </r>
  <r>
    <x v="474"/>
    <x v="474"/>
    <x v="368"/>
    <x v="394"/>
    <x v="0"/>
    <x v="359"/>
    <x v="359"/>
    <x v="2"/>
    <x v="0"/>
    <x v="108"/>
    <x v="2"/>
    <x v="133"/>
    <x v="0"/>
    <x v="417"/>
    <x v="0"/>
    <x v="9"/>
    <x v="415"/>
    <x v="441"/>
    <x v="1"/>
    <x v="2"/>
    <x v="455"/>
    <x v="455"/>
    <x v="444"/>
    <x v="1"/>
  </r>
  <r>
    <x v="475"/>
    <x v="475"/>
    <x v="369"/>
    <x v="47"/>
    <x v="2"/>
    <x v="59"/>
    <x v="59"/>
    <x v="0"/>
    <x v="0"/>
    <x v="20"/>
    <x v="15"/>
    <x v="23"/>
    <x v="3"/>
    <x v="325"/>
    <x v="1"/>
    <x v="5"/>
    <x v="324"/>
    <x v="442"/>
    <x v="0"/>
    <x v="2"/>
    <x v="456"/>
    <x v="456"/>
    <x v="445"/>
    <x v="1"/>
  </r>
  <r>
    <x v="476"/>
    <x v="476"/>
    <x v="370"/>
    <x v="395"/>
    <x v="2"/>
    <x v="288"/>
    <x v="288"/>
    <x v="0"/>
    <x v="0"/>
    <x v="49"/>
    <x v="1"/>
    <x v="58"/>
    <x v="1"/>
    <x v="128"/>
    <x v="1"/>
    <x v="13"/>
    <x v="128"/>
    <x v="443"/>
    <x v="3"/>
    <x v="0"/>
    <x v="457"/>
    <x v="457"/>
    <x v="446"/>
    <x v="1"/>
  </r>
  <r>
    <x v="477"/>
    <x v="477"/>
    <x v="371"/>
    <x v="396"/>
    <x v="1"/>
    <x v="360"/>
    <x v="360"/>
    <x v="1"/>
    <x v="0"/>
    <x v="173"/>
    <x v="17"/>
    <x v="220"/>
    <x v="0"/>
    <x v="418"/>
    <x v="1"/>
    <x v="5"/>
    <x v="416"/>
    <x v="444"/>
    <x v="2"/>
    <x v="0"/>
    <x v="458"/>
    <x v="458"/>
    <x v="447"/>
    <x v="1"/>
  </r>
  <r>
    <x v="478"/>
    <x v="478"/>
    <x v="372"/>
    <x v="397"/>
    <x v="1"/>
    <x v="361"/>
    <x v="361"/>
    <x v="0"/>
    <x v="0"/>
    <x v="0"/>
    <x v="0"/>
    <x v="0"/>
    <x v="0"/>
    <x v="419"/>
    <x v="1"/>
    <x v="11"/>
    <x v="417"/>
    <x v="445"/>
    <x v="8"/>
    <x v="0"/>
    <x v="459"/>
    <x v="459"/>
    <x v="448"/>
    <x v="1"/>
  </r>
  <r>
    <x v="479"/>
    <x v="479"/>
    <x v="373"/>
    <x v="398"/>
    <x v="1"/>
    <x v="86"/>
    <x v="86"/>
    <x v="2"/>
    <x v="0"/>
    <x v="137"/>
    <x v="4"/>
    <x v="172"/>
    <x v="1"/>
    <x v="351"/>
    <x v="1"/>
    <x v="8"/>
    <x v="350"/>
    <x v="446"/>
    <x v="0"/>
    <x v="0"/>
    <x v="460"/>
    <x v="460"/>
    <x v="449"/>
    <x v="1"/>
  </r>
  <r>
    <x v="480"/>
    <x v="480"/>
    <x v="374"/>
    <x v="116"/>
    <x v="3"/>
    <x v="302"/>
    <x v="302"/>
    <x v="0"/>
    <x v="0"/>
    <x v="20"/>
    <x v="15"/>
    <x v="23"/>
    <x v="3"/>
    <x v="420"/>
    <x v="2"/>
    <x v="12"/>
    <x v="418"/>
    <x v="447"/>
    <x v="2"/>
    <x v="0"/>
    <x v="461"/>
    <x v="461"/>
    <x v="450"/>
    <x v="1"/>
  </r>
  <r>
    <x v="481"/>
    <x v="481"/>
    <x v="375"/>
    <x v="399"/>
    <x v="1"/>
    <x v="362"/>
    <x v="362"/>
    <x v="0"/>
    <x v="0"/>
    <x v="174"/>
    <x v="1"/>
    <x v="221"/>
    <x v="1"/>
    <x v="421"/>
    <x v="1"/>
    <x v="7"/>
    <x v="419"/>
    <x v="448"/>
    <x v="3"/>
    <x v="0"/>
    <x v="462"/>
    <x v="462"/>
    <x v="451"/>
    <x v="1"/>
  </r>
  <r>
    <x v="482"/>
    <x v="482"/>
    <x v="50"/>
    <x v="50"/>
    <x v="1"/>
    <x v="300"/>
    <x v="300"/>
    <x v="0"/>
    <x v="0"/>
    <x v="108"/>
    <x v="3"/>
    <x v="222"/>
    <x v="0"/>
    <x v="370"/>
    <x v="1"/>
    <x v="4"/>
    <x v="369"/>
    <x v="449"/>
    <x v="3"/>
    <x v="2"/>
    <x v="463"/>
    <x v="463"/>
    <x v="452"/>
    <x v="1"/>
  </r>
  <r>
    <x v="483"/>
    <x v="483"/>
    <x v="376"/>
    <x v="217"/>
    <x v="2"/>
    <x v="363"/>
    <x v="363"/>
    <x v="0"/>
    <x v="0"/>
    <x v="48"/>
    <x v="16"/>
    <x v="57"/>
    <x v="1"/>
    <x v="422"/>
    <x v="1"/>
    <x v="11"/>
    <x v="420"/>
    <x v="450"/>
    <x v="3"/>
    <x v="2"/>
    <x v="464"/>
    <x v="464"/>
    <x v="453"/>
    <x v="1"/>
  </r>
  <r>
    <x v="484"/>
    <x v="484"/>
    <x v="377"/>
    <x v="378"/>
    <x v="1"/>
    <x v="138"/>
    <x v="138"/>
    <x v="0"/>
    <x v="0"/>
    <x v="140"/>
    <x v="23"/>
    <x v="223"/>
    <x v="2"/>
    <x v="423"/>
    <x v="1"/>
    <x v="4"/>
    <x v="421"/>
    <x v="451"/>
    <x v="1"/>
    <x v="0"/>
    <x v="465"/>
    <x v="465"/>
    <x v="454"/>
    <x v="1"/>
  </r>
  <r>
    <x v="485"/>
    <x v="485"/>
    <x v="378"/>
    <x v="260"/>
    <x v="2"/>
    <x v="247"/>
    <x v="247"/>
    <x v="0"/>
    <x v="0"/>
    <x v="22"/>
    <x v="10"/>
    <x v="155"/>
    <x v="2"/>
    <x v="322"/>
    <x v="2"/>
    <x v="10"/>
    <x v="321"/>
    <x v="452"/>
    <x v="0"/>
    <x v="2"/>
    <x v="466"/>
    <x v="466"/>
    <x v="455"/>
    <x v="1"/>
  </r>
  <r>
    <x v="486"/>
    <x v="486"/>
    <x v="156"/>
    <x v="158"/>
    <x v="2"/>
    <x v="364"/>
    <x v="364"/>
    <x v="0"/>
    <x v="0"/>
    <x v="70"/>
    <x v="1"/>
    <x v="88"/>
    <x v="1"/>
    <x v="424"/>
    <x v="0"/>
    <x v="3"/>
    <x v="422"/>
    <x v="453"/>
    <x v="6"/>
    <x v="0"/>
    <x v="467"/>
    <x v="467"/>
    <x v="456"/>
    <x v="1"/>
  </r>
  <r>
    <x v="487"/>
    <x v="487"/>
    <x v="46"/>
    <x v="329"/>
    <x v="0"/>
    <x v="58"/>
    <x v="58"/>
    <x v="0"/>
    <x v="0"/>
    <x v="175"/>
    <x v="4"/>
    <x v="224"/>
    <x v="1"/>
    <x v="64"/>
    <x v="0"/>
    <x v="3"/>
    <x v="65"/>
    <x v="454"/>
    <x v="3"/>
    <x v="0"/>
    <x v="468"/>
    <x v="468"/>
    <x v="457"/>
    <x v="1"/>
  </r>
  <r>
    <x v="488"/>
    <x v="488"/>
    <x v="379"/>
    <x v="140"/>
    <x v="0"/>
    <x v="365"/>
    <x v="365"/>
    <x v="0"/>
    <x v="0"/>
    <x v="4"/>
    <x v="4"/>
    <x v="5"/>
    <x v="1"/>
    <x v="425"/>
    <x v="0"/>
    <x v="2"/>
    <x v="423"/>
    <x v="455"/>
    <x v="13"/>
    <x v="0"/>
    <x v="469"/>
    <x v="469"/>
    <x v="458"/>
    <x v="1"/>
  </r>
  <r>
    <x v="489"/>
    <x v="489"/>
    <x v="14"/>
    <x v="400"/>
    <x v="0"/>
    <x v="246"/>
    <x v="246"/>
    <x v="2"/>
    <x v="0"/>
    <x v="1"/>
    <x v="1"/>
    <x v="1"/>
    <x v="1"/>
    <x v="426"/>
    <x v="1"/>
    <x v="4"/>
    <x v="424"/>
    <x v="132"/>
    <x v="1"/>
    <x v="0"/>
    <x v="135"/>
    <x v="135"/>
    <x v="132"/>
    <x v="1"/>
  </r>
  <r>
    <x v="490"/>
    <x v="490"/>
    <x v="380"/>
    <x v="401"/>
    <x v="1"/>
    <x v="366"/>
    <x v="366"/>
    <x v="1"/>
    <x v="0"/>
    <x v="20"/>
    <x v="15"/>
    <x v="164"/>
    <x v="3"/>
    <x v="427"/>
    <x v="0"/>
    <x v="3"/>
    <x v="425"/>
    <x v="456"/>
    <x v="0"/>
    <x v="0"/>
    <x v="470"/>
    <x v="470"/>
    <x v="459"/>
    <x v="1"/>
  </r>
  <r>
    <x v="491"/>
    <x v="491"/>
    <x v="381"/>
    <x v="402"/>
    <x v="1"/>
    <x v="218"/>
    <x v="218"/>
    <x v="0"/>
    <x v="0"/>
    <x v="176"/>
    <x v="40"/>
    <x v="225"/>
    <x v="3"/>
    <x v="428"/>
    <x v="1"/>
    <x v="8"/>
    <x v="426"/>
    <x v="457"/>
    <x v="3"/>
    <x v="0"/>
    <x v="471"/>
    <x v="471"/>
    <x v="460"/>
    <x v="1"/>
  </r>
  <r>
    <x v="492"/>
    <x v="492"/>
    <x v="382"/>
    <x v="403"/>
    <x v="1"/>
    <x v="171"/>
    <x v="171"/>
    <x v="0"/>
    <x v="0"/>
    <x v="10"/>
    <x v="9"/>
    <x v="63"/>
    <x v="3"/>
    <x v="429"/>
    <x v="1"/>
    <x v="11"/>
    <x v="427"/>
    <x v="458"/>
    <x v="0"/>
    <x v="2"/>
    <x v="472"/>
    <x v="472"/>
    <x v="461"/>
    <x v="1"/>
  </r>
  <r>
    <x v="493"/>
    <x v="493"/>
    <x v="94"/>
    <x v="404"/>
    <x v="2"/>
    <x v="367"/>
    <x v="367"/>
    <x v="2"/>
    <x v="0"/>
    <x v="1"/>
    <x v="1"/>
    <x v="62"/>
    <x v="1"/>
    <x v="430"/>
    <x v="1"/>
    <x v="5"/>
    <x v="428"/>
    <x v="459"/>
    <x v="0"/>
    <x v="2"/>
    <x v="473"/>
    <x v="473"/>
    <x v="462"/>
    <x v="1"/>
  </r>
  <r>
    <x v="494"/>
    <x v="494"/>
    <x v="383"/>
    <x v="405"/>
    <x v="0"/>
    <x v="368"/>
    <x v="368"/>
    <x v="2"/>
    <x v="0"/>
    <x v="24"/>
    <x v="24"/>
    <x v="157"/>
    <x v="3"/>
    <x v="431"/>
    <x v="1"/>
    <x v="4"/>
    <x v="429"/>
    <x v="4"/>
    <x v="3"/>
    <x v="2"/>
    <x v="4"/>
    <x v="4"/>
    <x v="4"/>
    <x v="1"/>
  </r>
  <r>
    <x v="495"/>
    <x v="495"/>
    <x v="384"/>
    <x v="406"/>
    <x v="1"/>
    <x v="156"/>
    <x v="156"/>
    <x v="1"/>
    <x v="0"/>
    <x v="83"/>
    <x v="30"/>
    <x v="103"/>
    <x v="3"/>
    <x v="126"/>
    <x v="1"/>
    <x v="4"/>
    <x v="14"/>
    <x v="460"/>
    <x v="1"/>
    <x v="0"/>
    <x v="474"/>
    <x v="474"/>
    <x v="463"/>
    <x v="1"/>
  </r>
  <r>
    <x v="496"/>
    <x v="496"/>
    <x v="73"/>
    <x v="407"/>
    <x v="2"/>
    <x v="369"/>
    <x v="369"/>
    <x v="0"/>
    <x v="0"/>
    <x v="74"/>
    <x v="24"/>
    <x v="93"/>
    <x v="3"/>
    <x v="432"/>
    <x v="1"/>
    <x v="4"/>
    <x v="430"/>
    <x v="461"/>
    <x v="3"/>
    <x v="2"/>
    <x v="475"/>
    <x v="475"/>
    <x v="464"/>
    <x v="1"/>
  </r>
  <r>
    <x v="497"/>
    <x v="497"/>
    <x v="183"/>
    <x v="408"/>
    <x v="1"/>
    <x v="330"/>
    <x v="330"/>
    <x v="2"/>
    <x v="0"/>
    <x v="177"/>
    <x v="25"/>
    <x v="226"/>
    <x v="2"/>
    <x v="433"/>
    <x v="0"/>
    <x v="3"/>
    <x v="431"/>
    <x v="462"/>
    <x v="0"/>
    <x v="0"/>
    <x v="476"/>
    <x v="476"/>
    <x v="465"/>
    <x v="1"/>
  </r>
  <r>
    <x v="498"/>
    <x v="498"/>
    <x v="385"/>
    <x v="409"/>
    <x v="2"/>
    <x v="370"/>
    <x v="370"/>
    <x v="0"/>
    <x v="0"/>
    <x v="1"/>
    <x v="1"/>
    <x v="25"/>
    <x v="1"/>
    <x v="434"/>
    <x v="1"/>
    <x v="5"/>
    <x v="432"/>
    <x v="463"/>
    <x v="3"/>
    <x v="2"/>
    <x v="477"/>
    <x v="477"/>
    <x v="466"/>
    <x v="1"/>
  </r>
  <r>
    <x v="499"/>
    <x v="499"/>
    <x v="225"/>
    <x v="410"/>
    <x v="2"/>
    <x v="371"/>
    <x v="371"/>
    <x v="0"/>
    <x v="0"/>
    <x v="140"/>
    <x v="3"/>
    <x v="179"/>
    <x v="0"/>
    <x v="435"/>
    <x v="1"/>
    <x v="8"/>
    <x v="433"/>
    <x v="464"/>
    <x v="2"/>
    <x v="2"/>
    <x v="478"/>
    <x v="478"/>
    <x v="467"/>
    <x v="1"/>
  </r>
  <r>
    <x v="500"/>
    <x v="500"/>
    <x v="231"/>
    <x v="243"/>
    <x v="1"/>
    <x v="372"/>
    <x v="372"/>
    <x v="2"/>
    <x v="0"/>
    <x v="178"/>
    <x v="25"/>
    <x v="227"/>
    <x v="2"/>
    <x v="317"/>
    <x v="0"/>
    <x v="2"/>
    <x v="316"/>
    <x v="465"/>
    <x v="6"/>
    <x v="0"/>
    <x v="479"/>
    <x v="479"/>
    <x v="468"/>
    <x v="1"/>
  </r>
  <r>
    <x v="501"/>
    <x v="501"/>
    <x v="47"/>
    <x v="411"/>
    <x v="0"/>
    <x v="373"/>
    <x v="373"/>
    <x v="0"/>
    <x v="0"/>
    <x v="20"/>
    <x v="15"/>
    <x v="45"/>
    <x v="3"/>
    <x v="436"/>
    <x v="2"/>
    <x v="12"/>
    <x v="434"/>
    <x v="466"/>
    <x v="1"/>
    <x v="2"/>
    <x v="480"/>
    <x v="480"/>
    <x v="469"/>
    <x v="1"/>
  </r>
  <r>
    <x v="502"/>
    <x v="502"/>
    <x v="119"/>
    <x v="412"/>
    <x v="2"/>
    <x v="117"/>
    <x v="117"/>
    <x v="0"/>
    <x v="0"/>
    <x v="103"/>
    <x v="0"/>
    <x v="175"/>
    <x v="0"/>
    <x v="249"/>
    <x v="1"/>
    <x v="7"/>
    <x v="249"/>
    <x v="467"/>
    <x v="7"/>
    <x v="0"/>
    <x v="481"/>
    <x v="481"/>
    <x v="470"/>
    <x v="1"/>
  </r>
  <r>
    <x v="503"/>
    <x v="503"/>
    <x v="386"/>
    <x v="413"/>
    <x v="0"/>
    <x v="61"/>
    <x v="61"/>
    <x v="1"/>
    <x v="0"/>
    <x v="21"/>
    <x v="24"/>
    <x v="228"/>
    <x v="3"/>
    <x v="43"/>
    <x v="1"/>
    <x v="4"/>
    <x v="43"/>
    <x v="4"/>
    <x v="3"/>
    <x v="2"/>
    <x v="4"/>
    <x v="4"/>
    <x v="4"/>
    <x v="1"/>
  </r>
  <r>
    <x v="504"/>
    <x v="504"/>
    <x v="387"/>
    <x v="414"/>
    <x v="1"/>
    <x v="219"/>
    <x v="219"/>
    <x v="0"/>
    <x v="0"/>
    <x v="66"/>
    <x v="12"/>
    <x v="83"/>
    <x v="2"/>
    <x v="437"/>
    <x v="2"/>
    <x v="10"/>
    <x v="435"/>
    <x v="468"/>
    <x v="0"/>
    <x v="0"/>
    <x v="482"/>
    <x v="482"/>
    <x v="471"/>
    <x v="1"/>
  </r>
  <r>
    <x v="505"/>
    <x v="505"/>
    <x v="388"/>
    <x v="139"/>
    <x v="1"/>
    <x v="374"/>
    <x v="374"/>
    <x v="0"/>
    <x v="0"/>
    <x v="41"/>
    <x v="14"/>
    <x v="229"/>
    <x v="2"/>
    <x v="397"/>
    <x v="1"/>
    <x v="4"/>
    <x v="395"/>
    <x v="132"/>
    <x v="1"/>
    <x v="0"/>
    <x v="135"/>
    <x v="135"/>
    <x v="132"/>
    <x v="1"/>
  </r>
  <r>
    <x v="506"/>
    <x v="506"/>
    <x v="389"/>
    <x v="415"/>
    <x v="1"/>
    <x v="375"/>
    <x v="375"/>
    <x v="2"/>
    <x v="0"/>
    <x v="61"/>
    <x v="5"/>
    <x v="176"/>
    <x v="2"/>
    <x v="438"/>
    <x v="2"/>
    <x v="10"/>
    <x v="436"/>
    <x v="469"/>
    <x v="2"/>
    <x v="2"/>
    <x v="483"/>
    <x v="483"/>
    <x v="472"/>
    <x v="1"/>
  </r>
  <r>
    <x v="507"/>
    <x v="507"/>
    <x v="209"/>
    <x v="416"/>
    <x v="1"/>
    <x v="376"/>
    <x v="376"/>
    <x v="0"/>
    <x v="0"/>
    <x v="12"/>
    <x v="5"/>
    <x v="16"/>
    <x v="2"/>
    <x v="439"/>
    <x v="1"/>
    <x v="8"/>
    <x v="437"/>
    <x v="470"/>
    <x v="3"/>
    <x v="2"/>
    <x v="484"/>
    <x v="484"/>
    <x v="473"/>
    <x v="1"/>
  </r>
  <r>
    <x v="508"/>
    <x v="508"/>
    <x v="390"/>
    <x v="311"/>
    <x v="2"/>
    <x v="152"/>
    <x v="152"/>
    <x v="1"/>
    <x v="0"/>
    <x v="179"/>
    <x v="5"/>
    <x v="230"/>
    <x v="2"/>
    <x v="440"/>
    <x v="1"/>
    <x v="15"/>
    <x v="438"/>
    <x v="471"/>
    <x v="0"/>
    <x v="2"/>
    <x v="485"/>
    <x v="485"/>
    <x v="474"/>
    <x v="1"/>
  </r>
  <r>
    <x v="509"/>
    <x v="509"/>
    <x v="303"/>
    <x v="323"/>
    <x v="2"/>
    <x v="377"/>
    <x v="377"/>
    <x v="2"/>
    <x v="0"/>
    <x v="102"/>
    <x v="17"/>
    <x v="195"/>
    <x v="0"/>
    <x v="441"/>
    <x v="1"/>
    <x v="11"/>
    <x v="439"/>
    <x v="472"/>
    <x v="1"/>
    <x v="0"/>
    <x v="486"/>
    <x v="486"/>
    <x v="475"/>
    <x v="1"/>
  </r>
  <r>
    <x v="510"/>
    <x v="510"/>
    <x v="391"/>
    <x v="417"/>
    <x v="0"/>
    <x v="378"/>
    <x v="378"/>
    <x v="1"/>
    <x v="0"/>
    <x v="1"/>
    <x v="1"/>
    <x v="13"/>
    <x v="1"/>
    <x v="442"/>
    <x v="2"/>
    <x v="10"/>
    <x v="440"/>
    <x v="473"/>
    <x v="1"/>
    <x v="2"/>
    <x v="487"/>
    <x v="487"/>
    <x v="476"/>
    <x v="1"/>
  </r>
  <r>
    <x v="511"/>
    <x v="511"/>
    <x v="392"/>
    <x v="418"/>
    <x v="0"/>
    <x v="379"/>
    <x v="379"/>
    <x v="0"/>
    <x v="0"/>
    <x v="10"/>
    <x v="9"/>
    <x v="11"/>
    <x v="3"/>
    <x v="443"/>
    <x v="2"/>
    <x v="10"/>
    <x v="441"/>
    <x v="474"/>
    <x v="0"/>
    <x v="8"/>
    <x v="488"/>
    <x v="488"/>
    <x v="477"/>
    <x v="1"/>
  </r>
  <r>
    <x v="512"/>
    <x v="512"/>
    <x v="112"/>
    <x v="419"/>
    <x v="1"/>
    <x v="176"/>
    <x v="176"/>
    <x v="2"/>
    <x v="0"/>
    <x v="1"/>
    <x v="1"/>
    <x v="1"/>
    <x v="1"/>
    <x v="444"/>
    <x v="1"/>
    <x v="1"/>
    <x v="442"/>
    <x v="475"/>
    <x v="2"/>
    <x v="0"/>
    <x v="489"/>
    <x v="489"/>
    <x v="478"/>
    <x v="1"/>
  </r>
  <r>
    <x v="513"/>
    <x v="513"/>
    <x v="257"/>
    <x v="420"/>
    <x v="0"/>
    <x v="380"/>
    <x v="380"/>
    <x v="1"/>
    <x v="0"/>
    <x v="1"/>
    <x v="1"/>
    <x v="3"/>
    <x v="1"/>
    <x v="47"/>
    <x v="1"/>
    <x v="6"/>
    <x v="47"/>
    <x v="476"/>
    <x v="2"/>
    <x v="0"/>
    <x v="490"/>
    <x v="490"/>
    <x v="479"/>
    <x v="1"/>
  </r>
  <r>
    <x v="514"/>
    <x v="514"/>
    <x v="221"/>
    <x v="421"/>
    <x v="3"/>
    <x v="381"/>
    <x v="381"/>
    <x v="0"/>
    <x v="0"/>
    <x v="8"/>
    <x v="1"/>
    <x v="9"/>
    <x v="1"/>
    <x v="445"/>
    <x v="1"/>
    <x v="4"/>
    <x v="443"/>
    <x v="477"/>
    <x v="8"/>
    <x v="0"/>
    <x v="491"/>
    <x v="491"/>
    <x v="480"/>
    <x v="1"/>
  </r>
  <r>
    <x v="515"/>
    <x v="515"/>
    <x v="393"/>
    <x v="422"/>
    <x v="0"/>
    <x v="13"/>
    <x v="13"/>
    <x v="0"/>
    <x v="0"/>
    <x v="10"/>
    <x v="9"/>
    <x v="74"/>
    <x v="3"/>
    <x v="446"/>
    <x v="1"/>
    <x v="5"/>
    <x v="444"/>
    <x v="478"/>
    <x v="5"/>
    <x v="7"/>
    <x v="492"/>
    <x v="492"/>
    <x v="481"/>
    <x v="1"/>
  </r>
  <r>
    <x v="516"/>
    <x v="516"/>
    <x v="298"/>
    <x v="423"/>
    <x v="0"/>
    <x v="15"/>
    <x v="15"/>
    <x v="2"/>
    <x v="0"/>
    <x v="12"/>
    <x v="5"/>
    <x v="32"/>
    <x v="2"/>
    <x v="403"/>
    <x v="0"/>
    <x v="3"/>
    <x v="401"/>
    <x v="479"/>
    <x v="3"/>
    <x v="6"/>
    <x v="493"/>
    <x v="493"/>
    <x v="482"/>
    <x v="1"/>
  </r>
  <r>
    <x v="517"/>
    <x v="517"/>
    <x v="109"/>
    <x v="253"/>
    <x v="1"/>
    <x v="377"/>
    <x v="377"/>
    <x v="2"/>
    <x v="0"/>
    <x v="180"/>
    <x v="27"/>
    <x v="231"/>
    <x v="1"/>
    <x v="77"/>
    <x v="1"/>
    <x v="8"/>
    <x v="78"/>
    <x v="480"/>
    <x v="0"/>
    <x v="0"/>
    <x v="494"/>
    <x v="494"/>
    <x v="483"/>
    <x v="1"/>
  </r>
  <r>
    <x v="518"/>
    <x v="518"/>
    <x v="394"/>
    <x v="424"/>
    <x v="1"/>
    <x v="145"/>
    <x v="145"/>
    <x v="0"/>
    <x v="0"/>
    <x v="12"/>
    <x v="5"/>
    <x v="32"/>
    <x v="2"/>
    <x v="447"/>
    <x v="1"/>
    <x v="7"/>
    <x v="445"/>
    <x v="481"/>
    <x v="3"/>
    <x v="2"/>
    <x v="495"/>
    <x v="495"/>
    <x v="484"/>
    <x v="1"/>
  </r>
  <r>
    <x v="519"/>
    <x v="519"/>
    <x v="395"/>
    <x v="425"/>
    <x v="2"/>
    <x v="382"/>
    <x v="382"/>
    <x v="1"/>
    <x v="0"/>
    <x v="181"/>
    <x v="21"/>
    <x v="232"/>
    <x v="1"/>
    <x v="448"/>
    <x v="1"/>
    <x v="5"/>
    <x v="446"/>
    <x v="482"/>
    <x v="2"/>
    <x v="7"/>
    <x v="496"/>
    <x v="496"/>
    <x v="485"/>
    <x v="1"/>
  </r>
  <r>
    <x v="520"/>
    <x v="520"/>
    <x v="396"/>
    <x v="426"/>
    <x v="0"/>
    <x v="383"/>
    <x v="383"/>
    <x v="0"/>
    <x v="0"/>
    <x v="138"/>
    <x v="24"/>
    <x v="177"/>
    <x v="3"/>
    <x v="449"/>
    <x v="0"/>
    <x v="0"/>
    <x v="447"/>
    <x v="483"/>
    <x v="3"/>
    <x v="5"/>
    <x v="497"/>
    <x v="497"/>
    <x v="486"/>
    <x v="1"/>
  </r>
  <r>
    <x v="521"/>
    <x v="521"/>
    <x v="39"/>
    <x v="424"/>
    <x v="1"/>
    <x v="384"/>
    <x v="384"/>
    <x v="1"/>
    <x v="0"/>
    <x v="182"/>
    <x v="39"/>
    <x v="233"/>
    <x v="3"/>
    <x v="450"/>
    <x v="0"/>
    <x v="3"/>
    <x v="448"/>
    <x v="484"/>
    <x v="0"/>
    <x v="0"/>
    <x v="498"/>
    <x v="498"/>
    <x v="487"/>
    <x v="1"/>
  </r>
  <r>
    <x v="522"/>
    <x v="522"/>
    <x v="284"/>
    <x v="136"/>
    <x v="1"/>
    <x v="385"/>
    <x v="385"/>
    <x v="2"/>
    <x v="0"/>
    <x v="70"/>
    <x v="1"/>
    <x v="88"/>
    <x v="1"/>
    <x v="451"/>
    <x v="2"/>
    <x v="10"/>
    <x v="449"/>
    <x v="485"/>
    <x v="1"/>
    <x v="2"/>
    <x v="499"/>
    <x v="499"/>
    <x v="488"/>
    <x v="1"/>
  </r>
  <r>
    <x v="523"/>
    <x v="523"/>
    <x v="397"/>
    <x v="229"/>
    <x v="1"/>
    <x v="386"/>
    <x v="386"/>
    <x v="1"/>
    <x v="0"/>
    <x v="183"/>
    <x v="3"/>
    <x v="234"/>
    <x v="0"/>
    <x v="452"/>
    <x v="1"/>
    <x v="7"/>
    <x v="450"/>
    <x v="486"/>
    <x v="3"/>
    <x v="2"/>
    <x v="500"/>
    <x v="500"/>
    <x v="489"/>
    <x v="1"/>
  </r>
  <r>
    <x v="524"/>
    <x v="524"/>
    <x v="398"/>
    <x v="427"/>
    <x v="1"/>
    <x v="387"/>
    <x v="387"/>
    <x v="0"/>
    <x v="0"/>
    <x v="84"/>
    <x v="2"/>
    <x v="104"/>
    <x v="0"/>
    <x v="453"/>
    <x v="1"/>
    <x v="5"/>
    <x v="451"/>
    <x v="487"/>
    <x v="0"/>
    <x v="7"/>
    <x v="501"/>
    <x v="501"/>
    <x v="490"/>
    <x v="1"/>
  </r>
  <r>
    <x v="525"/>
    <x v="525"/>
    <x v="399"/>
    <x v="428"/>
    <x v="1"/>
    <x v="298"/>
    <x v="298"/>
    <x v="0"/>
    <x v="0"/>
    <x v="184"/>
    <x v="10"/>
    <x v="235"/>
    <x v="2"/>
    <x v="52"/>
    <x v="2"/>
    <x v="12"/>
    <x v="52"/>
    <x v="488"/>
    <x v="2"/>
    <x v="2"/>
    <x v="502"/>
    <x v="502"/>
    <x v="491"/>
    <x v="1"/>
  </r>
  <r>
    <x v="526"/>
    <x v="526"/>
    <x v="400"/>
    <x v="429"/>
    <x v="0"/>
    <x v="388"/>
    <x v="388"/>
    <x v="2"/>
    <x v="0"/>
    <x v="1"/>
    <x v="1"/>
    <x v="13"/>
    <x v="1"/>
    <x v="347"/>
    <x v="2"/>
    <x v="12"/>
    <x v="346"/>
    <x v="489"/>
    <x v="0"/>
    <x v="0"/>
    <x v="503"/>
    <x v="503"/>
    <x v="492"/>
    <x v="1"/>
  </r>
  <r>
    <x v="527"/>
    <x v="527"/>
    <x v="64"/>
    <x v="62"/>
    <x v="2"/>
    <x v="389"/>
    <x v="389"/>
    <x v="1"/>
    <x v="0"/>
    <x v="20"/>
    <x v="15"/>
    <x v="164"/>
    <x v="3"/>
    <x v="454"/>
    <x v="2"/>
    <x v="10"/>
    <x v="452"/>
    <x v="490"/>
    <x v="6"/>
    <x v="0"/>
    <x v="504"/>
    <x v="504"/>
    <x v="493"/>
    <x v="1"/>
  </r>
  <r>
    <x v="528"/>
    <x v="528"/>
    <x v="401"/>
    <x v="393"/>
    <x v="1"/>
    <x v="390"/>
    <x v="390"/>
    <x v="0"/>
    <x v="0"/>
    <x v="98"/>
    <x v="33"/>
    <x v="121"/>
    <x v="1"/>
    <x v="455"/>
    <x v="1"/>
    <x v="5"/>
    <x v="453"/>
    <x v="491"/>
    <x v="0"/>
    <x v="2"/>
    <x v="505"/>
    <x v="505"/>
    <x v="494"/>
    <x v="1"/>
  </r>
  <r>
    <x v="529"/>
    <x v="529"/>
    <x v="402"/>
    <x v="430"/>
    <x v="1"/>
    <x v="236"/>
    <x v="236"/>
    <x v="0"/>
    <x v="0"/>
    <x v="14"/>
    <x v="10"/>
    <x v="17"/>
    <x v="2"/>
    <x v="456"/>
    <x v="1"/>
    <x v="5"/>
    <x v="454"/>
    <x v="492"/>
    <x v="3"/>
    <x v="3"/>
    <x v="506"/>
    <x v="506"/>
    <x v="495"/>
    <x v="1"/>
  </r>
  <r>
    <x v="530"/>
    <x v="530"/>
    <x v="403"/>
    <x v="431"/>
    <x v="1"/>
    <x v="118"/>
    <x v="118"/>
    <x v="1"/>
    <x v="0"/>
    <x v="140"/>
    <x v="41"/>
    <x v="236"/>
    <x v="3"/>
    <x v="457"/>
    <x v="2"/>
    <x v="12"/>
    <x v="455"/>
    <x v="493"/>
    <x v="0"/>
    <x v="0"/>
    <x v="507"/>
    <x v="507"/>
    <x v="496"/>
    <x v="1"/>
  </r>
  <r>
    <x v="531"/>
    <x v="531"/>
    <x v="106"/>
    <x v="104"/>
    <x v="1"/>
    <x v="391"/>
    <x v="391"/>
    <x v="1"/>
    <x v="0"/>
    <x v="66"/>
    <x v="12"/>
    <x v="151"/>
    <x v="2"/>
    <x v="458"/>
    <x v="1"/>
    <x v="5"/>
    <x v="456"/>
    <x v="494"/>
    <x v="6"/>
    <x v="0"/>
    <x v="508"/>
    <x v="508"/>
    <x v="497"/>
    <x v="1"/>
  </r>
  <r>
    <x v="532"/>
    <x v="532"/>
    <x v="404"/>
    <x v="432"/>
    <x v="0"/>
    <x v="27"/>
    <x v="27"/>
    <x v="0"/>
    <x v="0"/>
    <x v="185"/>
    <x v="16"/>
    <x v="237"/>
    <x v="1"/>
    <x v="459"/>
    <x v="1"/>
    <x v="8"/>
    <x v="457"/>
    <x v="495"/>
    <x v="0"/>
    <x v="2"/>
    <x v="509"/>
    <x v="509"/>
    <x v="498"/>
    <x v="1"/>
  </r>
  <r>
    <x v="533"/>
    <x v="533"/>
    <x v="405"/>
    <x v="433"/>
    <x v="0"/>
    <x v="392"/>
    <x v="392"/>
    <x v="0"/>
    <x v="0"/>
    <x v="10"/>
    <x v="9"/>
    <x v="11"/>
    <x v="3"/>
    <x v="460"/>
    <x v="0"/>
    <x v="3"/>
    <x v="458"/>
    <x v="496"/>
    <x v="0"/>
    <x v="2"/>
    <x v="510"/>
    <x v="510"/>
    <x v="499"/>
    <x v="1"/>
  </r>
  <r>
    <x v="534"/>
    <x v="534"/>
    <x v="406"/>
    <x v="434"/>
    <x v="1"/>
    <x v="393"/>
    <x v="393"/>
    <x v="0"/>
    <x v="0"/>
    <x v="98"/>
    <x v="33"/>
    <x v="121"/>
    <x v="1"/>
    <x v="63"/>
    <x v="1"/>
    <x v="4"/>
    <x v="64"/>
    <x v="497"/>
    <x v="4"/>
    <x v="0"/>
    <x v="511"/>
    <x v="511"/>
    <x v="500"/>
    <x v="1"/>
  </r>
  <r>
    <x v="535"/>
    <x v="535"/>
    <x v="407"/>
    <x v="338"/>
    <x v="1"/>
    <x v="394"/>
    <x v="394"/>
    <x v="1"/>
    <x v="0"/>
    <x v="186"/>
    <x v="42"/>
    <x v="238"/>
    <x v="3"/>
    <x v="233"/>
    <x v="1"/>
    <x v="6"/>
    <x v="233"/>
    <x v="498"/>
    <x v="0"/>
    <x v="0"/>
    <x v="512"/>
    <x v="512"/>
    <x v="501"/>
    <x v="1"/>
  </r>
  <r>
    <x v="536"/>
    <x v="536"/>
    <x v="408"/>
    <x v="435"/>
    <x v="1"/>
    <x v="395"/>
    <x v="395"/>
    <x v="2"/>
    <x v="0"/>
    <x v="187"/>
    <x v="18"/>
    <x v="239"/>
    <x v="0"/>
    <x v="147"/>
    <x v="1"/>
    <x v="5"/>
    <x v="147"/>
    <x v="499"/>
    <x v="3"/>
    <x v="7"/>
    <x v="513"/>
    <x v="513"/>
    <x v="502"/>
    <x v="1"/>
  </r>
  <r>
    <x v="537"/>
    <x v="537"/>
    <x v="16"/>
    <x v="436"/>
    <x v="1"/>
    <x v="151"/>
    <x v="151"/>
    <x v="0"/>
    <x v="0"/>
    <x v="188"/>
    <x v="6"/>
    <x v="240"/>
    <x v="2"/>
    <x v="461"/>
    <x v="0"/>
    <x v="0"/>
    <x v="459"/>
    <x v="500"/>
    <x v="2"/>
    <x v="0"/>
    <x v="514"/>
    <x v="514"/>
    <x v="503"/>
    <x v="1"/>
  </r>
  <r>
    <x v="538"/>
    <x v="538"/>
    <x v="409"/>
    <x v="437"/>
    <x v="1"/>
    <x v="396"/>
    <x v="396"/>
    <x v="0"/>
    <x v="0"/>
    <x v="22"/>
    <x v="10"/>
    <x v="26"/>
    <x v="2"/>
    <x v="462"/>
    <x v="2"/>
    <x v="12"/>
    <x v="460"/>
    <x v="501"/>
    <x v="14"/>
    <x v="11"/>
    <x v="515"/>
    <x v="515"/>
    <x v="504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:D5" firstHeaderRow="0" firstDataRow="1" firstDataCol="1"/>
  <pivotFields count="24">
    <pivotField compact="0" numFmtId="176" showAll="0">
      <items count="54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t="default"/>
      </items>
    </pivotField>
    <pivotField compact="0" showAll="0">
      <items count="540">
        <item x="196"/>
        <item x="534"/>
        <item x="254"/>
        <item x="75"/>
        <item x="334"/>
        <item x="421"/>
        <item x="7"/>
        <item x="29"/>
        <item x="351"/>
        <item x="358"/>
        <item x="525"/>
        <item x="396"/>
        <item x="70"/>
        <item x="140"/>
        <item x="135"/>
        <item x="327"/>
        <item x="343"/>
        <item x="183"/>
        <item x="226"/>
        <item x="328"/>
        <item x="56"/>
        <item x="463"/>
        <item x="3"/>
        <item x="175"/>
        <item x="337"/>
        <item x="477"/>
        <item x="82"/>
        <item x="143"/>
        <item x="155"/>
        <item x="90"/>
        <item x="164"/>
        <item x="524"/>
        <item x="345"/>
        <item x="400"/>
        <item x="461"/>
        <item x="222"/>
        <item x="153"/>
        <item x="332"/>
        <item x="139"/>
        <item x="277"/>
        <item x="113"/>
        <item x="509"/>
        <item x="342"/>
        <item x="441"/>
        <item x="98"/>
        <item x="225"/>
        <item x="402"/>
        <item x="417"/>
        <item x="535"/>
        <item x="377"/>
        <item x="221"/>
        <item x="276"/>
        <item x="406"/>
        <item x="438"/>
        <item x="326"/>
        <item x="37"/>
        <item x="81"/>
        <item x="94"/>
        <item x="251"/>
        <item x="383"/>
        <item x="192"/>
        <item x="9"/>
        <item x="426"/>
        <item x="217"/>
        <item x="264"/>
        <item x="22"/>
        <item x="409"/>
        <item x="404"/>
        <item x="280"/>
        <item x="379"/>
        <item x="331"/>
        <item x="224"/>
        <item x="184"/>
        <item x="261"/>
        <item x="311"/>
        <item x="369"/>
        <item x="147"/>
        <item x="318"/>
        <item x="88"/>
        <item x="486"/>
        <item x="357"/>
        <item x="470"/>
        <item x="495"/>
        <item x="145"/>
        <item x="146"/>
        <item x="361"/>
        <item x="87"/>
        <item x="8"/>
        <item x="144"/>
        <item x="392"/>
        <item x="103"/>
        <item x="372"/>
        <item x="92"/>
        <item x="244"/>
        <item x="483"/>
        <item x="12"/>
        <item x="381"/>
        <item x="490"/>
        <item x="211"/>
        <item x="57"/>
        <item x="69"/>
        <item x="439"/>
        <item x="482"/>
        <item x="354"/>
        <item x="457"/>
        <item x="256"/>
        <item x="394"/>
        <item x="356"/>
        <item x="442"/>
        <item x="24"/>
        <item x="367"/>
        <item x="17"/>
        <item x="74"/>
        <item x="322"/>
        <item x="78"/>
        <item x="450"/>
        <item x="181"/>
        <item x="174"/>
        <item x="491"/>
        <item x="371"/>
        <item x="480"/>
        <item x="73"/>
        <item x="172"/>
        <item x="481"/>
        <item x="529"/>
        <item x="498"/>
        <item x="274"/>
        <item x="154"/>
        <item x="414"/>
        <item x="53"/>
        <item x="265"/>
        <item x="170"/>
        <item x="132"/>
        <item x="131"/>
        <item x="408"/>
        <item x="93"/>
        <item x="321"/>
        <item x="272"/>
        <item x="508"/>
        <item x="489"/>
        <item x="434"/>
        <item x="229"/>
        <item x="250"/>
        <item x="349"/>
        <item x="27"/>
        <item x="86"/>
        <item x="152"/>
        <item x="287"/>
        <item x="378"/>
        <item x="325"/>
        <item x="418"/>
        <item x="138"/>
        <item x="362"/>
        <item x="233"/>
        <item x="104"/>
        <item x="307"/>
        <item x="472"/>
        <item x="249"/>
        <item x="447"/>
        <item x="44"/>
        <item x="270"/>
        <item x="38"/>
        <item x="474"/>
        <item x="216"/>
        <item x="366"/>
        <item x="364"/>
        <item x="122"/>
        <item x="127"/>
        <item x="517"/>
        <item x="468"/>
        <item x="522"/>
        <item x="238"/>
        <item x="241"/>
        <item x="459"/>
        <item x="478"/>
        <item x="503"/>
        <item x="107"/>
        <item x="507"/>
        <item x="538"/>
        <item x="492"/>
        <item x="293"/>
        <item x="106"/>
        <item x="208"/>
        <item x="220"/>
        <item x="19"/>
        <item x="501"/>
        <item x="59"/>
        <item x="218"/>
        <item x="301"/>
        <item x="89"/>
        <item x="368"/>
        <item x="424"/>
        <item x="476"/>
        <item x="448"/>
        <item x="25"/>
        <item x="31"/>
        <item x="235"/>
        <item x="182"/>
        <item x="43"/>
        <item x="496"/>
        <item x="212"/>
        <item x="475"/>
        <item x="66"/>
        <item x="348"/>
        <item x="134"/>
        <item x="124"/>
        <item x="26"/>
        <item x="133"/>
        <item x="335"/>
        <item x="497"/>
        <item x="262"/>
        <item x="398"/>
        <item x="80"/>
        <item x="76"/>
        <item x="71"/>
        <item x="338"/>
        <item x="375"/>
        <item x="204"/>
        <item x="295"/>
        <item x="411"/>
        <item x="16"/>
        <item x="21"/>
        <item x="536"/>
        <item x="30"/>
        <item x="278"/>
        <item x="460"/>
        <item x="283"/>
        <item x="13"/>
        <item x="399"/>
        <item x="308"/>
        <item x="523"/>
        <item x="121"/>
        <item x="230"/>
        <item x="494"/>
        <item x="247"/>
        <item x="36"/>
        <item x="269"/>
        <item x="199"/>
        <item x="500"/>
        <item x="55"/>
        <item x="516"/>
        <item x="159"/>
        <item x="50"/>
        <item x="161"/>
        <item x="105"/>
        <item x="431"/>
        <item x="520"/>
        <item x="303"/>
        <item x="533"/>
        <item x="405"/>
        <item x="403"/>
        <item x="171"/>
        <item x="510"/>
        <item x="374"/>
        <item x="257"/>
        <item x="252"/>
        <item x="305"/>
        <item x="10"/>
        <item x="160"/>
        <item x="1"/>
        <item x="527"/>
        <item x="445"/>
        <item x="425"/>
        <item x="350"/>
        <item x="336"/>
        <item x="136"/>
        <item x="142"/>
        <item x="449"/>
        <item x="309"/>
        <item x="469"/>
        <item x="467"/>
        <item x="65"/>
        <item x="115"/>
        <item x="116"/>
        <item x="296"/>
        <item x="201"/>
        <item x="189"/>
        <item x="48"/>
        <item x="382"/>
        <item x="440"/>
        <item x="346"/>
        <item x="0"/>
        <item x="397"/>
        <item x="219"/>
        <item x="79"/>
        <item x="114"/>
        <item x="479"/>
        <item x="165"/>
        <item x="91"/>
        <item x="359"/>
        <item x="112"/>
        <item x="407"/>
        <item x="49"/>
        <item x="72"/>
        <item x="42"/>
        <item x="537"/>
        <item x="302"/>
        <item x="5"/>
        <item x="393"/>
        <item x="282"/>
        <item x="148"/>
        <item x="77"/>
        <item x="324"/>
        <item x="316"/>
        <item x="416"/>
        <item x="437"/>
        <item x="388"/>
        <item x="206"/>
        <item x="246"/>
        <item x="227"/>
        <item x="23"/>
        <item x="521"/>
        <item x="471"/>
        <item x="260"/>
        <item x="384"/>
        <item x="176"/>
        <item x="259"/>
        <item x="456"/>
        <item x="435"/>
        <item x="179"/>
        <item x="360"/>
        <item x="166"/>
        <item x="97"/>
        <item x="373"/>
        <item x="298"/>
        <item x="67"/>
        <item x="493"/>
        <item x="395"/>
        <item x="95"/>
        <item x="15"/>
        <item x="101"/>
        <item x="333"/>
        <item x="191"/>
        <item x="313"/>
        <item x="413"/>
        <item x="518"/>
        <item x="258"/>
        <item x="242"/>
        <item x="444"/>
        <item x="4"/>
        <item x="32"/>
        <item x="323"/>
        <item x="410"/>
        <item x="419"/>
        <item x="352"/>
        <item x="186"/>
        <item x="185"/>
        <item x="285"/>
        <item x="128"/>
        <item x="487"/>
        <item x="271"/>
        <item x="263"/>
        <item x="52"/>
        <item x="455"/>
        <item x="18"/>
        <item x="499"/>
        <item x="513"/>
        <item x="188"/>
        <item x="526"/>
        <item x="193"/>
        <item x="355"/>
        <item x="347"/>
        <item x="300"/>
        <item x="100"/>
        <item x="141"/>
        <item x="386"/>
        <item x="237"/>
        <item x="387"/>
        <item x="365"/>
        <item x="202"/>
        <item x="314"/>
        <item x="453"/>
        <item x="341"/>
        <item x="430"/>
        <item x="310"/>
        <item x="422"/>
        <item x="129"/>
        <item x="423"/>
        <item x="353"/>
        <item x="290"/>
        <item x="158"/>
        <item x="232"/>
        <item x="485"/>
        <item x="462"/>
        <item x="234"/>
        <item x="376"/>
        <item x="102"/>
        <item x="454"/>
        <item x="123"/>
        <item x="266"/>
        <item x="433"/>
        <item x="284"/>
        <item x="20"/>
        <item x="40"/>
        <item x="304"/>
        <item x="223"/>
        <item x="187"/>
        <item x="432"/>
        <item x="380"/>
        <item x="339"/>
        <item x="292"/>
        <item x="163"/>
        <item x="443"/>
        <item x="239"/>
        <item x="273"/>
        <item x="329"/>
        <item x="54"/>
        <item x="207"/>
        <item x="195"/>
        <item x="420"/>
        <item x="429"/>
        <item x="370"/>
        <item x="458"/>
        <item x="197"/>
        <item x="506"/>
        <item x="511"/>
        <item x="149"/>
        <item x="289"/>
        <item x="205"/>
        <item x="190"/>
        <item x="214"/>
        <item x="68"/>
        <item x="41"/>
        <item x="162"/>
        <item x="194"/>
        <item x="267"/>
        <item x="203"/>
        <item x="47"/>
        <item x="466"/>
        <item x="111"/>
        <item x="427"/>
        <item x="46"/>
        <item x="319"/>
        <item x="401"/>
        <item x="514"/>
        <item x="255"/>
        <item x="288"/>
        <item x="118"/>
        <item x="236"/>
        <item x="126"/>
        <item x="268"/>
        <item x="180"/>
        <item x="473"/>
        <item x="297"/>
        <item x="157"/>
        <item x="83"/>
        <item x="385"/>
        <item x="281"/>
        <item x="120"/>
        <item x="209"/>
        <item x="286"/>
        <item x="389"/>
        <item x="320"/>
        <item x="167"/>
        <item x="61"/>
        <item x="178"/>
        <item x="177"/>
        <item x="436"/>
        <item x="35"/>
        <item x="200"/>
        <item x="60"/>
        <item x="109"/>
        <item x="531"/>
        <item x="505"/>
        <item x="412"/>
        <item x="213"/>
        <item x="85"/>
        <item x="532"/>
        <item x="2"/>
        <item x="6"/>
        <item x="253"/>
        <item x="156"/>
        <item x="488"/>
        <item x="504"/>
        <item x="33"/>
        <item x="58"/>
        <item x="243"/>
        <item x="451"/>
        <item x="108"/>
        <item x="14"/>
        <item x="51"/>
        <item x="363"/>
        <item x="117"/>
        <item x="130"/>
        <item x="28"/>
        <item x="173"/>
        <item x="215"/>
        <item x="279"/>
        <item x="231"/>
        <item x="428"/>
        <item x="228"/>
        <item x="294"/>
        <item x="198"/>
        <item x="63"/>
        <item x="168"/>
        <item x="291"/>
        <item x="391"/>
        <item x="240"/>
        <item x="150"/>
        <item x="344"/>
        <item x="151"/>
        <item x="340"/>
        <item x="512"/>
        <item x="306"/>
        <item x="275"/>
        <item x="210"/>
        <item x="515"/>
        <item x="530"/>
        <item x="330"/>
        <item x="465"/>
        <item x="110"/>
        <item x="464"/>
        <item x="312"/>
        <item x="484"/>
        <item x="62"/>
        <item x="45"/>
        <item x="452"/>
        <item x="446"/>
        <item x="99"/>
        <item x="34"/>
        <item x="315"/>
        <item x="39"/>
        <item x="248"/>
        <item x="415"/>
        <item x="96"/>
        <item x="299"/>
        <item x="245"/>
        <item x="169"/>
        <item x="125"/>
        <item x="519"/>
        <item x="502"/>
        <item x="84"/>
        <item x="137"/>
        <item x="119"/>
        <item x="390"/>
        <item x="11"/>
        <item x="64"/>
        <item x="528"/>
        <item x="317"/>
        <item t="default"/>
      </items>
    </pivotField>
    <pivotField compact="0" showAll="0">
      <items count="411">
        <item x="277"/>
        <item x="232"/>
        <item x="320"/>
        <item x="269"/>
        <item x="286"/>
        <item x="360"/>
        <item x="406"/>
        <item x="215"/>
        <item x="398"/>
        <item x="315"/>
        <item x="181"/>
        <item x="72"/>
        <item x="223"/>
        <item x="234"/>
        <item x="90"/>
        <item x="267"/>
        <item x="322"/>
        <item x="388"/>
        <item x="138"/>
        <item x="164"/>
        <item x="333"/>
        <item x="309"/>
        <item x="218"/>
        <item x="8"/>
        <item x="287"/>
        <item x="371"/>
        <item x="235"/>
        <item x="279"/>
        <item x="106"/>
        <item x="270"/>
        <item x="159"/>
        <item x="3"/>
        <item x="345"/>
        <item x="261"/>
        <item x="169"/>
        <item x="307"/>
        <item x="290"/>
        <item x="268"/>
        <item x="260"/>
        <item x="384"/>
        <item x="136"/>
        <item x="192"/>
        <item x="149"/>
        <item x="93"/>
        <item x="407"/>
        <item x="79"/>
        <item x="233"/>
        <item x="128"/>
        <item x="55"/>
        <item x="86"/>
        <item x="9"/>
        <item x="399"/>
        <item x="78"/>
        <item x="340"/>
        <item x="171"/>
        <item x="103"/>
        <item x="80"/>
        <item x="328"/>
        <item x="111"/>
        <item x="59"/>
        <item x="158"/>
        <item x="358"/>
        <item x="146"/>
        <item x="127"/>
        <item x="191"/>
        <item x="273"/>
        <item x="36"/>
        <item x="303"/>
        <item x="22"/>
        <item x="68"/>
        <item x="194"/>
        <item x="301"/>
        <item x="130"/>
        <item x="187"/>
        <item x="7"/>
        <item x="84"/>
        <item x="156"/>
        <item x="35"/>
        <item x="266"/>
        <item x="29"/>
        <item x="337"/>
        <item x="325"/>
        <item x="174"/>
        <item x="163"/>
        <item x="58"/>
        <item x="129"/>
        <item x="282"/>
        <item x="125"/>
        <item x="98"/>
        <item x="184"/>
        <item x="43"/>
        <item x="302"/>
        <item x="285"/>
        <item x="97"/>
        <item x="102"/>
        <item x="56"/>
        <item x="366"/>
        <item x="199"/>
        <item x="305"/>
        <item x="204"/>
        <item x="262"/>
        <item x="368"/>
        <item x="57"/>
        <item x="265"/>
        <item x="347"/>
        <item x="24"/>
        <item x="334"/>
        <item x="33"/>
        <item x="381"/>
        <item x="152"/>
        <item x="28"/>
        <item x="124"/>
        <item x="263"/>
        <item x="293"/>
        <item x="390"/>
        <item x="71"/>
        <item x="352"/>
        <item x="70"/>
        <item x="387"/>
        <item x="409"/>
        <item x="385"/>
        <item x="382"/>
        <item x="137"/>
        <item x="153"/>
        <item x="386"/>
        <item x="230"/>
        <item x="380"/>
        <item x="353"/>
        <item x="117"/>
        <item x="374"/>
        <item x="101"/>
        <item x="291"/>
        <item x="252"/>
        <item x="375"/>
        <item x="284"/>
        <item x="135"/>
        <item x="37"/>
        <item x="67"/>
        <item x="229"/>
        <item x="14"/>
        <item x="227"/>
        <item x="402"/>
        <item x="357"/>
        <item x="404"/>
        <item x="12"/>
        <item x="120"/>
        <item x="292"/>
        <item x="242"/>
        <item x="348"/>
        <item x="330"/>
        <item x="2"/>
        <item x="88"/>
        <item x="313"/>
        <item x="52"/>
        <item x="324"/>
        <item x="372"/>
        <item x="89"/>
        <item x="121"/>
        <item x="376"/>
        <item x="209"/>
        <item x="113"/>
        <item x="50"/>
        <item x="219"/>
        <item x="312"/>
        <item x="82"/>
        <item x="6"/>
        <item x="27"/>
        <item x="154"/>
        <item x="109"/>
        <item x="239"/>
        <item x="155"/>
        <item x="214"/>
        <item x="364"/>
        <item x="295"/>
        <item x="350"/>
        <item x="83"/>
        <item x="217"/>
        <item x="139"/>
        <item x="379"/>
        <item x="100"/>
        <item x="207"/>
        <item x="17"/>
        <item x="75"/>
        <item x="319"/>
        <item x="383"/>
        <item x="13"/>
        <item x="327"/>
        <item x="115"/>
        <item x="403"/>
        <item x="391"/>
        <item x="271"/>
        <item x="317"/>
        <item x="346"/>
        <item x="311"/>
        <item x="21"/>
        <item x="299"/>
        <item x="69"/>
        <item x="196"/>
        <item x="231"/>
        <item x="396"/>
        <item x="253"/>
        <item x="178"/>
        <item x="41"/>
        <item x="281"/>
        <item x="143"/>
        <item x="342"/>
        <item x="397"/>
        <item x="167"/>
        <item x="173"/>
        <item x="183"/>
        <item x="131"/>
        <item x="134"/>
        <item x="236"/>
        <item x="195"/>
        <item x="74"/>
        <item x="288"/>
        <item x="244"/>
        <item x="206"/>
        <item x="316"/>
        <item x="211"/>
        <item x="198"/>
        <item x="30"/>
        <item x="112"/>
        <item x="224"/>
        <item x="1"/>
        <item x="26"/>
        <item x="351"/>
        <item x="23"/>
        <item x="190"/>
        <item x="274"/>
        <item x="212"/>
        <item x="188"/>
        <item x="216"/>
        <item x="87"/>
        <item x="19"/>
        <item x="310"/>
        <item x="197"/>
        <item x="405"/>
        <item x="408"/>
        <item x="243"/>
        <item x="298"/>
        <item x="250"/>
        <item x="370"/>
        <item x="278"/>
        <item x="48"/>
        <item x="133"/>
        <item x="142"/>
        <item x="323"/>
        <item x="64"/>
        <item x="47"/>
        <item x="162"/>
        <item x="369"/>
        <item x="108"/>
        <item x="126"/>
        <item x="306"/>
        <item x="42"/>
        <item x="31"/>
        <item x="251"/>
        <item x="182"/>
        <item x="150"/>
        <item x="321"/>
        <item x="339"/>
        <item x="63"/>
        <item x="201"/>
        <item x="147"/>
        <item x="332"/>
        <item x="248"/>
        <item x="189"/>
        <item x="99"/>
        <item x="54"/>
        <item x="254"/>
        <item x="61"/>
        <item x="77"/>
        <item x="0"/>
        <item x="338"/>
        <item x="373"/>
        <item x="76"/>
        <item x="258"/>
        <item x="73"/>
        <item x="393"/>
        <item x="85"/>
        <item x="49"/>
        <item x="275"/>
        <item x="5"/>
        <item x="16"/>
        <item x="10"/>
        <item x="107"/>
        <item x="25"/>
        <item x="180"/>
        <item x="272"/>
        <item x="186"/>
        <item x="122"/>
        <item x="314"/>
        <item x="363"/>
        <item x="392"/>
        <item x="176"/>
        <item x="276"/>
        <item x="203"/>
        <item x="205"/>
        <item x="289"/>
        <item x="62"/>
        <item x="297"/>
        <item x="168"/>
        <item x="144"/>
        <item x="294"/>
        <item x="257"/>
        <item x="177"/>
        <item x="185"/>
        <item x="355"/>
        <item x="104"/>
        <item x="359"/>
        <item x="318"/>
        <item x="349"/>
        <item x="4"/>
        <item x="81"/>
        <item x="300"/>
        <item x="304"/>
        <item x="356"/>
        <item x="240"/>
        <item x="401"/>
        <item x="367"/>
        <item x="394"/>
        <item x="39"/>
        <item x="148"/>
        <item x="95"/>
        <item x="110"/>
        <item x="255"/>
        <item x="193"/>
        <item x="140"/>
        <item x="114"/>
        <item x="46"/>
        <item x="249"/>
        <item x="308"/>
        <item x="92"/>
        <item x="335"/>
        <item x="222"/>
        <item x="160"/>
        <item x="91"/>
        <item x="141"/>
        <item x="362"/>
        <item x="11"/>
        <item x="228"/>
        <item x="246"/>
        <item x="283"/>
        <item x="245"/>
        <item x="378"/>
        <item x="238"/>
        <item x="170"/>
        <item x="326"/>
        <item x="151"/>
        <item x="264"/>
        <item x="213"/>
        <item x="395"/>
        <item x="210"/>
        <item x="18"/>
        <item x="220"/>
        <item x="32"/>
        <item x="175"/>
        <item x="118"/>
        <item x="65"/>
        <item x="20"/>
        <item x="296"/>
        <item x="241"/>
        <item x="145"/>
        <item x="365"/>
        <item x="400"/>
        <item x="172"/>
        <item x="280"/>
        <item x="361"/>
        <item x="389"/>
        <item x="119"/>
        <item x="336"/>
        <item x="161"/>
        <item x="15"/>
        <item x="179"/>
        <item x="208"/>
        <item x="40"/>
        <item x="341"/>
        <item x="132"/>
        <item x="259"/>
        <item x="60"/>
        <item x="44"/>
        <item x="45"/>
        <item x="343"/>
        <item x="105"/>
        <item x="38"/>
        <item x="237"/>
        <item x="123"/>
        <item x="225"/>
        <item x="51"/>
        <item x="221"/>
        <item x="200"/>
        <item x="344"/>
        <item x="354"/>
        <item x="329"/>
        <item x="96"/>
        <item x="256"/>
        <item x="226"/>
        <item x="166"/>
        <item x="34"/>
        <item x="157"/>
        <item x="94"/>
        <item x="202"/>
        <item x="66"/>
        <item x="331"/>
        <item x="165"/>
        <item x="53"/>
        <item x="377"/>
        <item x="116"/>
        <item x="247"/>
        <item t="default"/>
      </items>
    </pivotField>
    <pivotField compact="0" showAll="0">
      <items count="439">
        <item x="297"/>
        <item x="244"/>
        <item x="288"/>
        <item x="306"/>
        <item x="385"/>
        <item x="434"/>
        <item x="224"/>
        <item x="427"/>
        <item x="336"/>
        <item x="189"/>
        <item x="70"/>
        <item x="232"/>
        <item x="247"/>
        <item x="86"/>
        <item x="284"/>
        <item x="343"/>
        <item x="139"/>
        <item x="167"/>
        <item x="352"/>
        <item x="8"/>
        <item x="227"/>
        <item x="307"/>
        <item x="396"/>
        <item x="248"/>
        <item x="104"/>
        <item x="290"/>
        <item x="161"/>
        <item x="200"/>
        <item x="3"/>
        <item x="340"/>
        <item x="365"/>
        <item x="278"/>
        <item x="175"/>
        <item x="326"/>
        <item x="287"/>
        <item x="277"/>
        <item x="406"/>
        <item x="137"/>
        <item x="151"/>
        <item x="90"/>
        <item x="338"/>
        <item x="75"/>
        <item x="245"/>
        <item x="128"/>
        <item x="55"/>
        <item x="83"/>
        <item x="9"/>
        <item x="428"/>
        <item x="74"/>
        <item x="178"/>
        <item x="359"/>
        <item x="370"/>
        <item x="101"/>
        <item x="233"/>
        <item x="76"/>
        <item x="110"/>
        <item x="160"/>
        <item x="131"/>
        <item x="59"/>
        <item x="316"/>
        <item x="148"/>
        <item x="127"/>
        <item x="197"/>
        <item x="293"/>
        <item x="323"/>
        <item x="36"/>
        <item x="21"/>
        <item x="65"/>
        <item x="199"/>
        <item x="322"/>
        <item x="130"/>
        <item x="193"/>
        <item x="390"/>
        <item x="7"/>
        <item x="81"/>
        <item x="158"/>
        <item x="34"/>
        <item x="283"/>
        <item x="80"/>
        <item x="28"/>
        <item x="367"/>
        <item x="345"/>
        <item x="355"/>
        <item x="182"/>
        <item x="166"/>
        <item x="58"/>
        <item x="129"/>
        <item x="252"/>
        <item x="302"/>
        <item x="124"/>
        <item x="96"/>
        <item x="191"/>
        <item x="43"/>
        <item x="95"/>
        <item x="100"/>
        <item x="56"/>
        <item x="392"/>
        <item x="206"/>
        <item x="325"/>
        <item x="211"/>
        <item x="394"/>
        <item x="279"/>
        <item x="57"/>
        <item x="282"/>
        <item x="368"/>
        <item x="23"/>
        <item x="353"/>
        <item x="32"/>
        <item x="402"/>
        <item x="27"/>
        <item x="123"/>
        <item x="280"/>
        <item x="311"/>
        <item x="68"/>
        <item x="69"/>
        <item x="414"/>
        <item x="363"/>
        <item x="437"/>
        <item x="409"/>
        <item x="403"/>
        <item x="138"/>
        <item x="155"/>
        <item x="314"/>
        <item x="413"/>
        <item x="242"/>
        <item x="401"/>
        <item x="376"/>
        <item x="116"/>
        <item x="99"/>
        <item x="309"/>
        <item x="269"/>
        <item x="399"/>
        <item x="136"/>
        <item x="305"/>
        <item x="216"/>
        <item x="37"/>
        <item x="64"/>
        <item x="240"/>
        <item x="400"/>
        <item x="14"/>
        <item x="238"/>
        <item x="430"/>
        <item x="118"/>
        <item x="432"/>
        <item x="12"/>
        <item x="119"/>
        <item x="310"/>
        <item x="256"/>
        <item x="349"/>
        <item x="84"/>
        <item x="334"/>
        <item x="2"/>
        <item x="52"/>
        <item x="397"/>
        <item x="164"/>
        <item x="85"/>
        <item x="217"/>
        <item x="416"/>
        <item x="112"/>
        <item x="50"/>
        <item x="78"/>
        <item x="332"/>
        <item x="6"/>
        <item x="26"/>
        <item x="382"/>
        <item x="156"/>
        <item x="253"/>
        <item x="107"/>
        <item x="157"/>
        <item x="222"/>
        <item x="234"/>
        <item x="223"/>
        <item x="301"/>
        <item x="313"/>
        <item x="374"/>
        <item x="79"/>
        <item x="190"/>
        <item x="226"/>
        <item x="140"/>
        <item x="317"/>
        <item x="98"/>
        <item x="16"/>
        <item x="214"/>
        <item x="341"/>
        <item x="405"/>
        <item x="13"/>
        <item x="347"/>
        <item x="431"/>
        <item x="113"/>
        <item x="417"/>
        <item x="291"/>
        <item x="337"/>
        <item x="366"/>
        <item x="331"/>
        <item x="20"/>
        <item x="67"/>
        <item x="320"/>
        <item x="202"/>
        <item x="298"/>
        <item x="243"/>
        <item x="426"/>
        <item x="270"/>
        <item x="187"/>
        <item x="264"/>
        <item x="300"/>
        <item x="41"/>
        <item x="361"/>
        <item x="144"/>
        <item x="229"/>
        <item x="172"/>
        <item x="180"/>
        <item x="408"/>
        <item x="132"/>
        <item x="145"/>
        <item x="135"/>
        <item x="249"/>
        <item x="72"/>
        <item x="201"/>
        <item x="315"/>
        <item x="213"/>
        <item x="308"/>
        <item x="258"/>
        <item x="388"/>
        <item x="219"/>
        <item x="204"/>
        <item x="29"/>
        <item x="181"/>
        <item x="103"/>
        <item x="419"/>
        <item x="111"/>
        <item x="183"/>
        <item x="35"/>
        <item x="1"/>
        <item x="25"/>
        <item x="375"/>
        <item x="372"/>
        <item x="22"/>
        <item x="196"/>
        <item x="294"/>
        <item x="220"/>
        <item x="225"/>
        <item x="194"/>
        <item x="246"/>
        <item x="18"/>
        <item x="330"/>
        <item x="203"/>
        <item x="433"/>
        <item x="435"/>
        <item x="423"/>
        <item x="257"/>
        <item x="319"/>
        <item x="395"/>
        <item x="267"/>
        <item x="134"/>
        <item x="48"/>
        <item x="143"/>
        <item x="383"/>
        <item x="344"/>
        <item x="62"/>
        <item x="411"/>
        <item x="165"/>
        <item x="47"/>
        <item x="250"/>
        <item x="126"/>
        <item x="106"/>
        <item x="268"/>
        <item x="369"/>
        <item x="42"/>
        <item x="30"/>
        <item x="152"/>
        <item x="342"/>
        <item x="358"/>
        <item x="389"/>
        <item x="61"/>
        <item x="149"/>
        <item x="208"/>
        <item x="351"/>
        <item x="154"/>
        <item x="97"/>
        <item x="195"/>
        <item x="121"/>
        <item x="271"/>
        <item x="237"/>
        <item x="281"/>
        <item x="333"/>
        <item x="54"/>
        <item x="0"/>
        <item x="357"/>
        <item x="398"/>
        <item x="73"/>
        <item x="407"/>
        <item x="71"/>
        <item x="422"/>
        <item x="82"/>
        <item x="49"/>
        <item x="296"/>
        <item x="66"/>
        <item x="5"/>
        <item x="436"/>
        <item x="10"/>
        <item x="105"/>
        <item x="265"/>
        <item x="24"/>
        <item x="292"/>
        <item x="120"/>
        <item x="259"/>
        <item x="335"/>
        <item x="387"/>
        <item x="185"/>
        <item x="418"/>
        <item x="212"/>
        <item x="210"/>
        <item x="60"/>
        <item x="318"/>
        <item x="174"/>
        <item x="146"/>
        <item x="420"/>
        <item x="312"/>
        <item x="275"/>
        <item x="186"/>
        <item x="192"/>
        <item x="377"/>
        <item x="384"/>
        <item x="102"/>
        <item x="339"/>
        <item x="125"/>
        <item x="4"/>
        <item x="321"/>
        <item x="77"/>
        <item x="324"/>
        <item x="380"/>
        <item x="254"/>
        <item x="286"/>
        <item x="393"/>
        <item x="39"/>
        <item x="424"/>
        <item x="150"/>
        <item x="92"/>
        <item x="272"/>
        <item x="109"/>
        <item x="198"/>
        <item x="261"/>
        <item x="141"/>
        <item x="46"/>
        <item x="329"/>
        <item x="273"/>
        <item x="266"/>
        <item x="356"/>
        <item x="327"/>
        <item x="171"/>
        <item x="89"/>
        <item x="354"/>
        <item x="231"/>
        <item x="162"/>
        <item x="142"/>
        <item x="88"/>
        <item x="386"/>
        <item x="11"/>
        <item x="262"/>
        <item x="239"/>
        <item x="303"/>
        <item x="260"/>
        <item x="176"/>
        <item x="328"/>
        <item x="346"/>
        <item x="153"/>
        <item x="425"/>
        <item x="371"/>
        <item x="285"/>
        <item x="221"/>
        <item x="218"/>
        <item x="230"/>
        <item x="17"/>
        <item x="31"/>
        <item x="184"/>
        <item x="295"/>
        <item x="304"/>
        <item x="19"/>
        <item x="255"/>
        <item x="289"/>
        <item x="147"/>
        <item x="429"/>
        <item x="391"/>
        <item x="299"/>
        <item x="179"/>
        <item x="412"/>
        <item x="415"/>
        <item x="117"/>
        <item x="163"/>
        <item x="15"/>
        <item x="188"/>
        <item x="215"/>
        <item x="360"/>
        <item x="40"/>
        <item x="276"/>
        <item x="133"/>
        <item x="373"/>
        <item x="170"/>
        <item x="173"/>
        <item x="45"/>
        <item x="44"/>
        <item x="87"/>
        <item x="205"/>
        <item x="38"/>
        <item x="251"/>
        <item x="381"/>
        <item x="410"/>
        <item x="228"/>
        <item x="122"/>
        <item x="421"/>
        <item x="177"/>
        <item x="207"/>
        <item x="51"/>
        <item x="364"/>
        <item x="348"/>
        <item x="108"/>
        <item x="379"/>
        <item x="241"/>
        <item x="94"/>
        <item x="274"/>
        <item x="235"/>
        <item x="33"/>
        <item x="169"/>
        <item x="114"/>
        <item x="93"/>
        <item x="159"/>
        <item x="404"/>
        <item x="91"/>
        <item x="350"/>
        <item x="209"/>
        <item x="63"/>
        <item x="168"/>
        <item x="53"/>
        <item x="378"/>
        <item x="115"/>
        <item x="362"/>
        <item x="236"/>
        <item x="263"/>
        <item t="default"/>
      </items>
    </pivotField>
    <pivotField axis="axisRow" compact="0" showAll="0">
      <items count="5">
        <item x="2"/>
        <item x="3"/>
        <item x="0"/>
        <item x="1"/>
        <item t="default"/>
      </items>
    </pivotField>
    <pivotField compact="0" showAll="0">
      <items count="398">
        <item x="211"/>
        <item x="4"/>
        <item x="144"/>
        <item x="376"/>
        <item x="269"/>
        <item x="141"/>
        <item x="57"/>
        <item x="314"/>
        <item x="8"/>
        <item x="369"/>
        <item x="122"/>
        <item x="132"/>
        <item x="165"/>
        <item x="326"/>
        <item x="151"/>
        <item x="340"/>
        <item x="124"/>
        <item x="117"/>
        <item x="321"/>
        <item x="295"/>
        <item x="219"/>
        <item x="195"/>
        <item x="87"/>
        <item x="275"/>
        <item x="153"/>
        <item x="239"/>
        <item x="255"/>
        <item x="382"/>
        <item x="216"/>
        <item x="127"/>
        <item x="238"/>
        <item x="155"/>
        <item x="357"/>
        <item x="247"/>
        <item x="121"/>
        <item x="179"/>
        <item x="217"/>
        <item x="214"/>
        <item x="205"/>
        <item x="232"/>
        <item x="336"/>
        <item x="292"/>
        <item x="3"/>
        <item x="318"/>
        <item x="78"/>
        <item x="312"/>
        <item x="298"/>
        <item x="272"/>
        <item x="202"/>
        <item x="162"/>
        <item x="130"/>
        <item x="29"/>
        <item x="94"/>
        <item x="354"/>
        <item x="388"/>
        <item x="296"/>
        <item x="308"/>
        <item x="244"/>
        <item x="119"/>
        <item x="222"/>
        <item x="90"/>
        <item x="118"/>
        <item x="230"/>
        <item x="254"/>
        <item x="142"/>
        <item x="113"/>
        <item x="303"/>
        <item x="263"/>
        <item x="344"/>
        <item x="0"/>
        <item x="170"/>
        <item x="237"/>
        <item x="278"/>
        <item x="242"/>
        <item x="316"/>
        <item x="52"/>
        <item x="200"/>
        <item x="320"/>
        <item x="291"/>
        <item x="128"/>
        <item x="257"/>
        <item x="229"/>
        <item x="79"/>
        <item x="294"/>
        <item x="37"/>
        <item x="51"/>
        <item x="194"/>
        <item x="72"/>
        <item x="106"/>
        <item x="203"/>
        <item x="140"/>
        <item x="383"/>
        <item x="290"/>
        <item x="368"/>
        <item x="249"/>
        <item x="137"/>
        <item x="264"/>
        <item x="213"/>
        <item x="54"/>
        <item x="83"/>
        <item x="158"/>
        <item x="297"/>
        <item x="351"/>
        <item x="111"/>
        <item x="114"/>
        <item x="35"/>
        <item x="157"/>
        <item x="24"/>
        <item x="317"/>
        <item x="273"/>
        <item x="112"/>
        <item x="284"/>
        <item x="103"/>
        <item x="1"/>
        <item x="231"/>
        <item x="108"/>
        <item x="61"/>
        <item x="105"/>
        <item x="182"/>
        <item x="225"/>
        <item x="12"/>
        <item x="387"/>
        <item x="378"/>
        <item x="283"/>
        <item x="13"/>
        <item x="258"/>
        <item x="330"/>
        <item x="75"/>
        <item x="191"/>
        <item x="313"/>
        <item x="212"/>
        <item x="45"/>
        <item x="301"/>
        <item x="20"/>
        <item x="135"/>
        <item x="92"/>
        <item x="86"/>
        <item x="248"/>
        <item x="224"/>
        <item x="389"/>
        <item x="315"/>
        <item x="334"/>
        <item x="241"/>
        <item x="55"/>
        <item x="395"/>
        <item x="16"/>
        <item x="348"/>
        <item x="136"/>
        <item x="306"/>
        <item x="39"/>
        <item x="323"/>
        <item x="265"/>
        <item x="218"/>
        <item x="150"/>
        <item x="47"/>
        <item x="66"/>
        <item x="96"/>
        <item x="332"/>
        <item x="31"/>
        <item x="6"/>
        <item x="367"/>
        <item x="304"/>
        <item x="393"/>
        <item x="5"/>
        <item x="350"/>
        <item x="80"/>
        <item x="102"/>
        <item x="209"/>
        <item x="36"/>
        <item x="63"/>
        <item x="148"/>
        <item x="251"/>
        <item x="188"/>
        <item x="32"/>
        <item x="68"/>
        <item x="282"/>
        <item x="226"/>
        <item x="223"/>
        <item x="161"/>
        <item x="189"/>
        <item x="371"/>
        <item x="101"/>
        <item x="98"/>
        <item x="370"/>
        <item x="342"/>
        <item x="380"/>
        <item x="271"/>
        <item x="82"/>
        <item x="300"/>
        <item x="311"/>
        <item x="145"/>
        <item x="252"/>
        <item x="139"/>
        <item x="49"/>
        <item x="25"/>
        <item x="341"/>
        <item x="123"/>
        <item x="270"/>
        <item x="187"/>
        <item x="335"/>
        <item x="329"/>
        <item x="40"/>
        <item x="365"/>
        <item x="185"/>
        <item x="208"/>
        <item x="41"/>
        <item x="10"/>
        <item x="33"/>
        <item x="346"/>
        <item x="110"/>
        <item x="169"/>
        <item x="30"/>
        <item x="44"/>
        <item x="347"/>
        <item x="168"/>
        <item x="175"/>
        <item x="120"/>
        <item x="126"/>
        <item x="107"/>
        <item x="366"/>
        <item x="392"/>
        <item x="27"/>
        <item x="147"/>
        <item x="156"/>
        <item x="48"/>
        <item x="62"/>
        <item x="18"/>
        <item x="95"/>
        <item x="97"/>
        <item x="166"/>
        <item x="23"/>
        <item x="293"/>
        <item x="109"/>
        <item x="328"/>
        <item x="215"/>
        <item x="221"/>
        <item x="235"/>
        <item x="322"/>
        <item x="60"/>
        <item x="201"/>
        <item x="299"/>
        <item x="352"/>
        <item x="15"/>
        <item x="377"/>
        <item x="93"/>
        <item x="204"/>
        <item x="266"/>
        <item x="305"/>
        <item x="198"/>
        <item x="384"/>
        <item x="250"/>
        <item x="375"/>
        <item x="67"/>
        <item x="396"/>
        <item x="207"/>
        <item x="186"/>
        <item x="77"/>
        <item x="149"/>
        <item x="177"/>
        <item x="394"/>
        <item x="152"/>
        <item x="373"/>
        <item x="246"/>
        <item x="88"/>
        <item x="172"/>
        <item x="280"/>
        <item x="333"/>
        <item x="234"/>
        <item x="99"/>
        <item x="363"/>
        <item x="192"/>
        <item x="160"/>
        <item x="360"/>
        <item x="199"/>
        <item x="89"/>
        <item x="240"/>
        <item x="173"/>
        <item x="243"/>
        <item x="159"/>
        <item x="71"/>
        <item x="134"/>
        <item x="268"/>
        <item x="73"/>
        <item x="379"/>
        <item x="125"/>
        <item x="21"/>
        <item x="220"/>
        <item x="50"/>
        <item x="287"/>
        <item x="171"/>
        <item x="331"/>
        <item x="58"/>
        <item x="310"/>
        <item x="38"/>
        <item x="206"/>
        <item x="307"/>
        <item x="324"/>
        <item x="7"/>
        <item x="327"/>
        <item x="43"/>
        <item x="138"/>
        <item x="22"/>
        <item x="178"/>
        <item x="285"/>
        <item x="381"/>
        <item x="28"/>
        <item x="391"/>
        <item x="267"/>
        <item x="19"/>
        <item x="154"/>
        <item x="362"/>
        <item x="181"/>
        <item x="46"/>
        <item x="262"/>
        <item x="42"/>
        <item x="176"/>
        <item x="116"/>
        <item x="53"/>
        <item x="390"/>
        <item x="361"/>
        <item x="372"/>
        <item x="279"/>
        <item x="76"/>
        <item x="288"/>
        <item x="167"/>
        <item x="302"/>
        <item x="385"/>
        <item x="343"/>
        <item x="210"/>
        <item x="84"/>
        <item x="197"/>
        <item x="345"/>
        <item x="261"/>
        <item x="276"/>
        <item x="338"/>
        <item x="355"/>
        <item x="193"/>
        <item x="115"/>
        <item x="337"/>
        <item x="183"/>
        <item x="253"/>
        <item x="281"/>
        <item x="56"/>
        <item x="34"/>
        <item x="174"/>
        <item x="339"/>
        <item x="11"/>
        <item x="227"/>
        <item x="245"/>
        <item x="65"/>
        <item x="64"/>
        <item x="129"/>
        <item x="319"/>
        <item x="81"/>
        <item x="85"/>
        <item x="359"/>
        <item x="325"/>
        <item x="17"/>
        <item x="2"/>
        <item x="259"/>
        <item x="70"/>
        <item x="133"/>
        <item x="256"/>
        <item x="164"/>
        <item x="196"/>
        <item x="286"/>
        <item x="277"/>
        <item x="374"/>
        <item x="349"/>
        <item x="26"/>
        <item x="386"/>
        <item x="353"/>
        <item x="14"/>
        <item x="180"/>
        <item x="143"/>
        <item x="228"/>
        <item x="260"/>
        <item x="274"/>
        <item x="184"/>
        <item x="236"/>
        <item x="309"/>
        <item x="131"/>
        <item x="358"/>
        <item x="59"/>
        <item x="74"/>
        <item x="69"/>
        <item x="356"/>
        <item x="146"/>
        <item x="104"/>
        <item x="364"/>
        <item x="91"/>
        <item x="163"/>
        <item x="100"/>
        <item x="190"/>
        <item x="289"/>
        <item x="233"/>
        <item x="9"/>
        <item t="default"/>
      </items>
    </pivotField>
    <pivotField compact="0" showAll="0">
      <items count="398">
        <item x="382"/>
        <item x="144"/>
        <item x="340"/>
        <item x="376"/>
        <item x="216"/>
        <item x="269"/>
        <item x="57"/>
        <item x="124"/>
        <item x="117"/>
        <item x="127"/>
        <item x="238"/>
        <item x="8"/>
        <item x="155"/>
        <item x="87"/>
        <item x="211"/>
        <item x="369"/>
        <item x="153"/>
        <item x="141"/>
        <item x="4"/>
        <item x="122"/>
        <item x="239"/>
        <item x="132"/>
        <item x="357"/>
        <item x="165"/>
        <item x="247"/>
        <item x="326"/>
        <item x="321"/>
        <item x="295"/>
        <item x="255"/>
        <item x="314"/>
        <item x="151"/>
        <item x="275"/>
        <item x="219"/>
        <item x="195"/>
        <item x="121"/>
        <item x="292"/>
        <item x="162"/>
        <item x="308"/>
        <item x="78"/>
        <item x="130"/>
        <item x="296"/>
        <item x="318"/>
        <item x="217"/>
        <item x="336"/>
        <item x="272"/>
        <item x="214"/>
        <item x="202"/>
        <item x="388"/>
        <item x="179"/>
        <item x="29"/>
        <item x="205"/>
        <item x="312"/>
        <item x="3"/>
        <item x="232"/>
        <item x="94"/>
        <item x="298"/>
        <item x="354"/>
        <item x="194"/>
        <item x="303"/>
        <item x="229"/>
        <item x="263"/>
        <item x="170"/>
        <item x="90"/>
        <item x="344"/>
        <item x="79"/>
        <item x="230"/>
        <item x="237"/>
        <item x="294"/>
        <item x="244"/>
        <item x="119"/>
        <item x="278"/>
        <item x="291"/>
        <item x="200"/>
        <item x="37"/>
        <item x="254"/>
        <item x="320"/>
        <item x="0"/>
        <item x="118"/>
        <item x="142"/>
        <item x="52"/>
        <item x="242"/>
        <item x="128"/>
        <item x="113"/>
        <item x="257"/>
        <item x="316"/>
        <item x="222"/>
        <item x="51"/>
        <item x="383"/>
        <item x="297"/>
        <item x="112"/>
        <item x="351"/>
        <item x="213"/>
        <item x="24"/>
        <item x="284"/>
        <item x="1"/>
        <item x="72"/>
        <item x="54"/>
        <item x="317"/>
        <item x="106"/>
        <item x="83"/>
        <item x="273"/>
        <item x="103"/>
        <item x="203"/>
        <item x="158"/>
        <item x="368"/>
        <item x="290"/>
        <item x="111"/>
        <item x="249"/>
        <item x="157"/>
        <item x="231"/>
        <item x="108"/>
        <item x="137"/>
        <item x="61"/>
        <item x="114"/>
        <item x="140"/>
        <item x="264"/>
        <item x="35"/>
        <item x="182"/>
        <item x="330"/>
        <item x="225"/>
        <item x="45"/>
        <item x="12"/>
        <item x="283"/>
        <item x="212"/>
        <item x="387"/>
        <item x="13"/>
        <item x="75"/>
        <item x="378"/>
        <item x="301"/>
        <item x="105"/>
        <item x="191"/>
        <item x="20"/>
        <item x="313"/>
        <item x="258"/>
        <item x="135"/>
        <item x="86"/>
        <item x="224"/>
        <item x="92"/>
        <item x="248"/>
        <item x="389"/>
        <item x="395"/>
        <item x="306"/>
        <item x="39"/>
        <item x="47"/>
        <item x="16"/>
        <item x="334"/>
        <item x="241"/>
        <item x="136"/>
        <item x="265"/>
        <item x="55"/>
        <item x="348"/>
        <item x="218"/>
        <item x="315"/>
        <item x="323"/>
        <item x="150"/>
        <item x="367"/>
        <item x="6"/>
        <item x="96"/>
        <item x="66"/>
        <item x="304"/>
        <item x="31"/>
        <item x="332"/>
        <item x="393"/>
        <item x="5"/>
        <item x="161"/>
        <item x="311"/>
        <item x="49"/>
        <item x="25"/>
        <item x="123"/>
        <item x="380"/>
        <item x="209"/>
        <item x="282"/>
        <item x="271"/>
        <item x="80"/>
        <item x="226"/>
        <item x="371"/>
        <item x="370"/>
        <item x="188"/>
        <item x="223"/>
        <item x="145"/>
        <item x="187"/>
        <item x="341"/>
        <item x="270"/>
        <item x="329"/>
        <item x="82"/>
        <item x="40"/>
        <item x="300"/>
        <item x="32"/>
        <item x="342"/>
        <item x="189"/>
        <item x="252"/>
        <item x="139"/>
        <item x="365"/>
        <item x="63"/>
        <item x="101"/>
        <item x="102"/>
        <item x="185"/>
        <item x="350"/>
        <item x="98"/>
        <item x="148"/>
        <item x="36"/>
        <item x="251"/>
        <item x="68"/>
        <item x="335"/>
        <item x="366"/>
        <item x="208"/>
        <item x="346"/>
        <item x="30"/>
        <item x="41"/>
        <item x="44"/>
        <item x="347"/>
        <item x="147"/>
        <item x="168"/>
        <item x="110"/>
        <item x="126"/>
        <item x="10"/>
        <item x="33"/>
        <item x="175"/>
        <item x="107"/>
        <item x="392"/>
        <item x="169"/>
        <item x="120"/>
        <item x="27"/>
        <item x="156"/>
        <item x="97"/>
        <item x="328"/>
        <item x="48"/>
        <item x="62"/>
        <item x="23"/>
        <item x="235"/>
        <item x="18"/>
        <item x="322"/>
        <item x="60"/>
        <item x="352"/>
        <item x="293"/>
        <item x="215"/>
        <item x="221"/>
        <item x="299"/>
        <item x="95"/>
        <item x="109"/>
        <item x="166"/>
        <item x="201"/>
        <item x="93"/>
        <item x="198"/>
        <item x="333"/>
        <item x="199"/>
        <item x="394"/>
        <item x="88"/>
        <item x="373"/>
        <item x="89"/>
        <item x="280"/>
        <item x="15"/>
        <item x="204"/>
        <item x="375"/>
        <item x="67"/>
        <item x="396"/>
        <item x="250"/>
        <item x="77"/>
        <item x="186"/>
        <item x="246"/>
        <item x="363"/>
        <item x="234"/>
        <item x="266"/>
        <item x="384"/>
        <item x="149"/>
        <item x="172"/>
        <item x="99"/>
        <item x="377"/>
        <item x="192"/>
        <item x="305"/>
        <item x="207"/>
        <item x="177"/>
        <item x="160"/>
        <item x="360"/>
        <item x="152"/>
        <item x="268"/>
        <item x="243"/>
        <item x="173"/>
        <item x="159"/>
        <item x="134"/>
        <item x="71"/>
        <item x="379"/>
        <item x="125"/>
        <item x="240"/>
        <item x="73"/>
        <item x="21"/>
        <item x="220"/>
        <item x="331"/>
        <item x="43"/>
        <item x="206"/>
        <item x="310"/>
        <item x="138"/>
        <item x="22"/>
        <item x="381"/>
        <item x="38"/>
        <item x="324"/>
        <item x="28"/>
        <item x="307"/>
        <item x="50"/>
        <item x="7"/>
        <item x="287"/>
        <item x="327"/>
        <item x="171"/>
        <item x="58"/>
        <item x="178"/>
        <item x="285"/>
        <item x="391"/>
        <item x="345"/>
        <item x="267"/>
        <item x="343"/>
        <item x="181"/>
        <item x="261"/>
        <item x="46"/>
        <item x="390"/>
        <item x="302"/>
        <item x="385"/>
        <item x="262"/>
        <item x="361"/>
        <item x="210"/>
        <item x="338"/>
        <item x="372"/>
        <item x="84"/>
        <item x="355"/>
        <item x="42"/>
        <item x="288"/>
        <item x="276"/>
        <item x="197"/>
        <item x="176"/>
        <item x="279"/>
        <item x="116"/>
        <item x="167"/>
        <item x="19"/>
        <item x="76"/>
        <item x="154"/>
        <item x="362"/>
        <item x="53"/>
        <item x="64"/>
        <item x="85"/>
        <item x="325"/>
        <item x="337"/>
        <item x="11"/>
        <item x="65"/>
        <item x="183"/>
        <item x="339"/>
        <item x="319"/>
        <item x="164"/>
        <item x="359"/>
        <item x="227"/>
        <item x="349"/>
        <item x="115"/>
        <item x="253"/>
        <item x="2"/>
        <item x="277"/>
        <item x="129"/>
        <item x="174"/>
        <item x="81"/>
        <item x="259"/>
        <item x="196"/>
        <item x="70"/>
        <item x="281"/>
        <item x="17"/>
        <item x="56"/>
        <item x="256"/>
        <item x="34"/>
        <item x="374"/>
        <item x="193"/>
        <item x="133"/>
        <item x="286"/>
        <item x="245"/>
        <item x="143"/>
        <item x="69"/>
        <item x="184"/>
        <item x="26"/>
        <item x="74"/>
        <item x="236"/>
        <item x="386"/>
        <item x="353"/>
        <item x="131"/>
        <item x="260"/>
        <item x="309"/>
        <item x="358"/>
        <item x="14"/>
        <item x="274"/>
        <item x="356"/>
        <item x="180"/>
        <item x="59"/>
        <item x="228"/>
        <item x="104"/>
        <item x="91"/>
        <item x="163"/>
        <item x="146"/>
        <item x="100"/>
        <item x="364"/>
        <item x="190"/>
        <item x="289"/>
        <item x="233"/>
        <item x="9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2">
        <item x="0"/>
        <item t="default"/>
      </items>
    </pivotField>
    <pivotField compact="0" showAll="0">
      <items count="190">
        <item x="59"/>
        <item x="166"/>
        <item x="112"/>
        <item x="125"/>
        <item x="81"/>
        <item x="82"/>
        <item x="153"/>
        <item x="118"/>
        <item x="109"/>
        <item x="34"/>
        <item x="89"/>
        <item x="185"/>
        <item x="186"/>
        <item x="78"/>
        <item x="41"/>
        <item x="172"/>
        <item x="151"/>
        <item x="71"/>
        <item x="39"/>
        <item x="184"/>
        <item x="140"/>
        <item x="105"/>
        <item x="51"/>
        <item x="143"/>
        <item x="72"/>
        <item x="35"/>
        <item x="142"/>
        <item x="22"/>
        <item x="74"/>
        <item x="138"/>
        <item x="77"/>
        <item x="29"/>
        <item x="38"/>
        <item x="3"/>
        <item x="116"/>
        <item x="150"/>
        <item x="61"/>
        <item x="130"/>
        <item x="27"/>
        <item x="60"/>
        <item x="96"/>
        <item x="66"/>
        <item x="18"/>
        <item x="65"/>
        <item x="28"/>
        <item x="16"/>
        <item x="188"/>
        <item x="50"/>
        <item x="156"/>
        <item x="148"/>
        <item x="54"/>
        <item x="168"/>
        <item x="115"/>
        <item x="159"/>
        <item x="2"/>
        <item x="5"/>
        <item x="47"/>
        <item x="9"/>
        <item x="164"/>
        <item x="107"/>
        <item x="23"/>
        <item x="119"/>
        <item x="55"/>
        <item x="120"/>
        <item x="124"/>
        <item x="129"/>
        <item x="83"/>
        <item x="179"/>
        <item x="57"/>
        <item x="92"/>
        <item x="0"/>
        <item x="187"/>
        <item x="86"/>
        <item x="146"/>
        <item x="12"/>
        <item x="101"/>
        <item x="114"/>
        <item x="44"/>
        <item x="75"/>
        <item x="25"/>
        <item x="108"/>
        <item x="177"/>
        <item x="154"/>
        <item x="121"/>
        <item x="69"/>
        <item x="80"/>
        <item x="152"/>
        <item x="128"/>
        <item x="180"/>
        <item x="98"/>
        <item x="182"/>
        <item x="104"/>
        <item x="88"/>
        <item x="161"/>
        <item x="113"/>
        <item x="85"/>
        <item x="160"/>
        <item x="1"/>
        <item x="103"/>
        <item x="90"/>
        <item x="6"/>
        <item x="91"/>
        <item x="126"/>
        <item x="64"/>
        <item x="15"/>
        <item x="26"/>
        <item x="123"/>
        <item x="100"/>
        <item x="158"/>
        <item x="31"/>
        <item x="133"/>
        <item x="53"/>
        <item x="122"/>
        <item x="73"/>
        <item x="145"/>
        <item x="87"/>
        <item x="174"/>
        <item x="14"/>
        <item x="19"/>
        <item x="163"/>
        <item x="106"/>
        <item x="20"/>
        <item x="46"/>
        <item x="110"/>
        <item x="165"/>
        <item x="147"/>
        <item x="175"/>
        <item x="155"/>
        <item x="11"/>
        <item x="36"/>
        <item x="144"/>
        <item x="111"/>
        <item x="117"/>
        <item x="45"/>
        <item x="95"/>
        <item x="97"/>
        <item x="10"/>
        <item x="42"/>
        <item x="135"/>
        <item x="32"/>
        <item x="94"/>
        <item x="56"/>
        <item x="181"/>
        <item x="13"/>
        <item x="102"/>
        <item x="169"/>
        <item x="30"/>
        <item x="134"/>
        <item x="43"/>
        <item x="171"/>
        <item x="63"/>
        <item x="33"/>
        <item x="178"/>
        <item x="84"/>
        <item x="127"/>
        <item x="162"/>
        <item x="52"/>
        <item x="70"/>
        <item x="8"/>
        <item x="49"/>
        <item x="157"/>
        <item x="68"/>
        <item x="48"/>
        <item x="4"/>
        <item x="136"/>
        <item x="24"/>
        <item x="76"/>
        <item x="67"/>
        <item x="79"/>
        <item x="167"/>
        <item x="170"/>
        <item x="149"/>
        <item x="21"/>
        <item x="93"/>
        <item x="139"/>
        <item x="37"/>
        <item x="132"/>
        <item x="137"/>
        <item x="173"/>
        <item x="131"/>
        <item x="99"/>
        <item x="176"/>
        <item x="141"/>
        <item x="7"/>
        <item x="58"/>
        <item x="17"/>
        <item x="62"/>
        <item x="40"/>
        <item x="183"/>
        <item t="default"/>
      </items>
    </pivotField>
    <pivotField compact="0" showAll="0">
      <items count="44">
        <item x="19"/>
        <item x="16"/>
        <item x="36"/>
        <item x="1"/>
        <item x="22"/>
        <item x="29"/>
        <item x="13"/>
        <item x="40"/>
        <item x="2"/>
        <item x="32"/>
        <item x="10"/>
        <item x="14"/>
        <item x="23"/>
        <item x="0"/>
        <item x="28"/>
        <item x="42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24"/>
        <item x="26"/>
        <item x="21"/>
        <item x="9"/>
        <item x="34"/>
        <item x="20"/>
        <item x="18"/>
        <item x="5"/>
        <item x="7"/>
        <item x="41"/>
        <item x="17"/>
        <item x="4"/>
        <item x="6"/>
        <item t="default"/>
      </items>
    </pivotField>
    <pivotField compact="0" showAll="0">
      <items count="242">
        <item x="128"/>
        <item x="111"/>
        <item x="117"/>
        <item x="122"/>
        <item x="208"/>
        <item x="238"/>
        <item x="113"/>
        <item x="211"/>
        <item x="69"/>
        <item x="204"/>
        <item x="170"/>
        <item x="73"/>
        <item x="98"/>
        <item x="103"/>
        <item x="92"/>
        <item x="100"/>
        <item x="206"/>
        <item x="29"/>
        <item x="164"/>
        <item x="23"/>
        <item x="45"/>
        <item x="184"/>
        <item x="131"/>
        <item x="187"/>
        <item x="140"/>
        <item x="24"/>
        <item x="135"/>
        <item x="144"/>
        <item x="207"/>
        <item x="181"/>
        <item x="74"/>
        <item x="63"/>
        <item x="11"/>
        <item x="105"/>
        <item x="49"/>
        <item x="21"/>
        <item x="225"/>
        <item x="233"/>
        <item x="209"/>
        <item x="28"/>
        <item x="101"/>
        <item x="212"/>
        <item x="180"/>
        <item x="195"/>
        <item x="220"/>
        <item x="179"/>
        <item x="182"/>
        <item x="91"/>
        <item x="35"/>
        <item x="234"/>
        <item x="4"/>
        <item x="132"/>
        <item x="43"/>
        <item x="124"/>
        <item x="222"/>
        <item x="196"/>
        <item x="37"/>
        <item x="148"/>
        <item x="166"/>
        <item x="112"/>
        <item x="183"/>
        <item x="133"/>
        <item x="18"/>
        <item x="186"/>
        <item x="118"/>
        <item x="123"/>
        <item x="2"/>
        <item x="96"/>
        <item x="219"/>
        <item x="85"/>
        <item x="104"/>
        <item x="152"/>
        <item x="33"/>
        <item x="153"/>
        <item x="78"/>
        <item x="239"/>
        <item x="108"/>
        <item x="48"/>
        <item x="31"/>
        <item x="84"/>
        <item x="129"/>
        <item x="175"/>
        <item x="126"/>
        <item x="202"/>
        <item x="0"/>
        <item x="82"/>
        <item x="55"/>
        <item x="163"/>
        <item x="47"/>
        <item x="213"/>
        <item x="203"/>
        <item x="177"/>
        <item x="81"/>
        <item x="75"/>
        <item x="72"/>
        <item x="93"/>
        <item x="228"/>
        <item x="157"/>
        <item x="22"/>
        <item x="134"/>
        <item x="229"/>
        <item x="165"/>
        <item x="99"/>
        <item x="190"/>
        <item x="20"/>
        <item x="130"/>
        <item x="185"/>
        <item x="83"/>
        <item x="151"/>
        <item x="169"/>
        <item x="80"/>
        <item x="30"/>
        <item x="193"/>
        <item x="46"/>
        <item x="223"/>
        <item x="56"/>
        <item x="201"/>
        <item x="7"/>
        <item x="156"/>
        <item x="240"/>
        <item x="191"/>
        <item x="87"/>
        <item x="41"/>
        <item x="19"/>
        <item x="39"/>
        <item x="38"/>
        <item x="150"/>
        <item x="138"/>
        <item x="235"/>
        <item x="189"/>
        <item x="44"/>
        <item x="173"/>
        <item x="17"/>
        <item x="26"/>
        <item x="36"/>
        <item x="155"/>
        <item x="120"/>
        <item x="50"/>
        <item x="116"/>
        <item x="67"/>
        <item x="227"/>
        <item x="53"/>
        <item x="149"/>
        <item x="226"/>
        <item x="10"/>
        <item x="198"/>
        <item x="192"/>
        <item x="68"/>
        <item x="145"/>
        <item x="61"/>
        <item x="136"/>
        <item x="210"/>
        <item x="70"/>
        <item x="15"/>
        <item x="176"/>
        <item x="162"/>
        <item x="77"/>
        <item x="178"/>
        <item x="174"/>
        <item x="6"/>
        <item x="230"/>
        <item x="66"/>
        <item x="16"/>
        <item x="32"/>
        <item x="14"/>
        <item x="143"/>
        <item x="89"/>
        <item x="161"/>
        <item x="65"/>
        <item x="114"/>
        <item x="217"/>
        <item x="110"/>
        <item x="139"/>
        <item x="102"/>
        <item x="42"/>
        <item x="127"/>
        <item x="147"/>
        <item x="76"/>
        <item x="97"/>
        <item x="109"/>
        <item x="12"/>
        <item x="8"/>
        <item x="51"/>
        <item x="154"/>
        <item x="27"/>
        <item x="57"/>
        <item x="237"/>
        <item x="171"/>
        <item x="115"/>
        <item x="214"/>
        <item x="231"/>
        <item x="64"/>
        <item x="121"/>
        <item x="25"/>
        <item x="141"/>
        <item x="3"/>
        <item x="1"/>
        <item x="62"/>
        <item x="13"/>
        <item x="95"/>
        <item x="216"/>
        <item x="79"/>
        <item x="106"/>
        <item x="54"/>
        <item x="142"/>
        <item x="88"/>
        <item x="218"/>
        <item x="188"/>
        <item x="107"/>
        <item x="71"/>
        <item x="215"/>
        <item x="197"/>
        <item x="221"/>
        <item x="146"/>
        <item x="125"/>
        <item x="168"/>
        <item x="200"/>
        <item x="158"/>
        <item x="194"/>
        <item x="205"/>
        <item x="9"/>
        <item x="94"/>
        <item x="34"/>
        <item x="90"/>
        <item x="137"/>
        <item x="167"/>
        <item x="86"/>
        <item x="58"/>
        <item x="52"/>
        <item x="40"/>
        <item x="160"/>
        <item x="232"/>
        <item x="199"/>
        <item x="5"/>
        <item x="59"/>
        <item x="60"/>
        <item x="119"/>
        <item x="159"/>
        <item x="224"/>
        <item x="172"/>
        <item x="236"/>
        <item t="default"/>
      </items>
    </pivotField>
    <pivotField compact="0" showAll="0">
      <items count="5">
        <item x="2"/>
        <item x="3"/>
        <item x="0"/>
        <item x="1"/>
        <item t="default"/>
      </items>
    </pivotField>
    <pivotField compact="0" showAll="0">
      <items count="464">
        <item x="0"/>
        <item x="151"/>
        <item x="88"/>
        <item x="203"/>
        <item x="389"/>
        <item x="461"/>
        <item x="292"/>
        <item x="449"/>
        <item x="13"/>
        <item x="183"/>
        <item x="198"/>
        <item x="32"/>
        <item x="227"/>
        <item x="350"/>
        <item x="39"/>
        <item x="27"/>
        <item x="281"/>
        <item x="269"/>
        <item x="238"/>
        <item x="199"/>
        <item x="327"/>
        <item x="140"/>
        <item x="337"/>
        <item x="11"/>
        <item x="108"/>
        <item x="414"/>
        <item x="225"/>
        <item x="192"/>
        <item x="324"/>
        <item x="251"/>
        <item x="59"/>
        <item x="417"/>
        <item x="331"/>
        <item x="81"/>
        <item x="263"/>
        <item x="103"/>
        <item x="178"/>
        <item x="301"/>
        <item x="201"/>
        <item x="194"/>
        <item x="264"/>
        <item x="306"/>
        <item x="193"/>
        <item x="228"/>
        <item x="67"/>
        <item x="271"/>
        <item x="45"/>
        <item x="272"/>
        <item x="341"/>
        <item x="411"/>
        <item x="220"/>
        <item x="376"/>
        <item x="450"/>
        <item x="3"/>
        <item x="137"/>
        <item x="424"/>
        <item x="136"/>
        <item x="53"/>
        <item x="278"/>
        <item x="403"/>
        <item x="143"/>
        <item x="58"/>
        <item x="427"/>
        <item x="302"/>
        <item x="111"/>
        <item x="132"/>
        <item x="285"/>
        <item x="202"/>
        <item x="96"/>
        <item x="239"/>
        <item x="284"/>
        <item x="34"/>
        <item x="184"/>
        <item x="295"/>
        <item x="402"/>
        <item x="261"/>
        <item x="358"/>
        <item x="433"/>
        <item x="371"/>
        <item x="293"/>
        <item x="338"/>
        <item x="129"/>
        <item x="406"/>
        <item x="323"/>
        <item x="182"/>
        <item x="64"/>
        <item x="460"/>
        <item x="305"/>
        <item x="2"/>
        <item x="162"/>
        <item x="317"/>
        <item x="391"/>
        <item x="196"/>
        <item x="105"/>
        <item x="56"/>
        <item x="215"/>
        <item x="401"/>
        <item x="131"/>
        <item x="313"/>
        <item x="296"/>
        <item x="125"/>
        <item x="425"/>
        <item x="94"/>
        <item x="60"/>
        <item x="158"/>
        <item x="69"/>
        <item x="47"/>
        <item x="339"/>
        <item x="159"/>
        <item x="288"/>
        <item x="79"/>
        <item x="66"/>
        <item x="152"/>
        <item x="299"/>
        <item x="233"/>
        <item x="265"/>
        <item x="35"/>
        <item x="113"/>
        <item x="6"/>
        <item x="280"/>
        <item x="276"/>
        <item x="200"/>
        <item x="80"/>
        <item x="95"/>
        <item x="244"/>
        <item x="174"/>
        <item x="287"/>
        <item x="254"/>
        <item x="415"/>
        <item x="149"/>
        <item x="435"/>
        <item x="10"/>
        <item x="186"/>
        <item x="54"/>
        <item x="195"/>
        <item x="394"/>
        <item x="65"/>
        <item x="102"/>
        <item x="375"/>
        <item x="428"/>
        <item x="71"/>
        <item x="180"/>
        <item x="219"/>
        <item x="439"/>
        <item x="342"/>
        <item x="82"/>
        <item x="286"/>
        <item x="404"/>
        <item x="36"/>
        <item x="360"/>
        <item x="28"/>
        <item x="135"/>
        <item x="351"/>
        <item x="208"/>
        <item x="9"/>
        <item x="459"/>
        <item x="343"/>
        <item x="139"/>
        <item x="248"/>
        <item x="326"/>
        <item x="173"/>
        <item x="242"/>
        <item x="117"/>
        <item x="133"/>
        <item x="221"/>
        <item x="150"/>
        <item x="253"/>
        <item x="177"/>
        <item x="77"/>
        <item x="355"/>
        <item x="90"/>
        <item x="164"/>
        <item x="42"/>
        <item x="330"/>
        <item x="165"/>
        <item x="456"/>
        <item x="407"/>
        <item x="430"/>
        <item x="92"/>
        <item x="237"/>
        <item x="367"/>
        <item x="335"/>
        <item x="266"/>
        <item x="453"/>
        <item x="189"/>
        <item x="127"/>
        <item x="258"/>
        <item x="325"/>
        <item x="352"/>
        <item x="134"/>
        <item x="379"/>
        <item x="328"/>
        <item x="356"/>
        <item x="332"/>
        <item x="12"/>
        <item x="303"/>
        <item x="218"/>
        <item x="104"/>
        <item x="46"/>
        <item x="399"/>
        <item x="458"/>
        <item x="85"/>
        <item x="146"/>
        <item x="156"/>
        <item x="270"/>
        <item x="412"/>
        <item x="377"/>
        <item x="262"/>
        <item x="204"/>
        <item x="154"/>
        <item x="231"/>
        <item x="217"/>
        <item x="448"/>
        <item x="61"/>
        <item x="289"/>
        <item x="147"/>
        <item x="300"/>
        <item x="446"/>
        <item x="315"/>
        <item x="57"/>
        <item x="5"/>
        <item x="434"/>
        <item x="372"/>
        <item x="366"/>
        <item x="418"/>
        <item x="167"/>
        <item x="373"/>
        <item x="76"/>
        <item x="416"/>
        <item x="455"/>
        <item x="33"/>
        <item x="23"/>
        <item x="168"/>
        <item x="232"/>
        <item x="187"/>
        <item x="142"/>
        <item x="30"/>
        <item x="385"/>
        <item x="44"/>
        <item x="124"/>
        <item x="329"/>
        <item x="37"/>
        <item x="383"/>
        <item x="308"/>
        <item x="298"/>
        <item x="408"/>
        <item x="216"/>
        <item x="89"/>
        <item x="75"/>
        <item x="422"/>
        <item x="16"/>
        <item x="429"/>
        <item x="441"/>
        <item x="419"/>
        <item x="24"/>
        <item x="148"/>
        <item x="101"/>
        <item x="55"/>
        <item x="141"/>
        <item x="349"/>
        <item x="224"/>
        <item x="128"/>
        <item x="277"/>
        <item x="245"/>
        <item x="118"/>
        <item x="240"/>
        <item x="1"/>
        <item x="444"/>
        <item x="386"/>
        <item x="153"/>
        <item x="243"/>
        <item x="334"/>
        <item x="409"/>
        <item x="72"/>
        <item x="312"/>
        <item x="210"/>
        <item x="410"/>
        <item x="364"/>
        <item x="321"/>
        <item x="100"/>
        <item x="365"/>
        <item x="344"/>
        <item x="176"/>
        <item x="336"/>
        <item x="14"/>
        <item x="397"/>
        <item x="346"/>
        <item x="398"/>
        <item x="126"/>
        <item x="29"/>
        <item x="78"/>
        <item x="123"/>
        <item x="432"/>
        <item x="361"/>
        <item x="431"/>
        <item x="259"/>
        <item x="423"/>
        <item x="353"/>
        <item x="381"/>
        <item x="396"/>
        <item x="370"/>
        <item x="297"/>
        <item x="63"/>
        <item x="275"/>
        <item x="172"/>
        <item x="70"/>
        <item x="309"/>
        <item x="155"/>
        <item x="130"/>
        <item x="445"/>
        <item x="395"/>
        <item x="191"/>
        <item x="384"/>
        <item x="4"/>
        <item x="319"/>
        <item x="106"/>
        <item x="122"/>
        <item x="93"/>
        <item x="73"/>
        <item x="388"/>
        <item x="157"/>
        <item x="43"/>
        <item x="48"/>
        <item x="107"/>
        <item x="320"/>
        <item x="393"/>
        <item x="368"/>
        <item x="345"/>
        <item x="179"/>
        <item x="279"/>
        <item x="340"/>
        <item x="49"/>
        <item x="205"/>
        <item x="304"/>
        <item x="426"/>
        <item x="400"/>
        <item x="413"/>
        <item x="369"/>
        <item x="247"/>
        <item x="109"/>
        <item x="31"/>
        <item x="160"/>
        <item x="421"/>
        <item x="8"/>
        <item x="273"/>
        <item x="25"/>
        <item x="98"/>
        <item x="310"/>
        <item x="169"/>
        <item x="110"/>
        <item x="374"/>
        <item x="230"/>
        <item x="87"/>
        <item x="91"/>
        <item x="452"/>
        <item x="257"/>
        <item x="282"/>
        <item x="171"/>
        <item x="21"/>
        <item x="241"/>
        <item x="213"/>
        <item x="267"/>
        <item x="447"/>
        <item x="382"/>
        <item x="318"/>
        <item x="378"/>
        <item x="206"/>
        <item x="249"/>
        <item x="120"/>
        <item x="19"/>
        <item x="188"/>
        <item x="41"/>
        <item x="83"/>
        <item x="18"/>
        <item x="38"/>
        <item x="119"/>
        <item x="7"/>
        <item x="226"/>
        <item x="362"/>
        <item x="440"/>
        <item x="170"/>
        <item x="255"/>
        <item x="283"/>
        <item x="250"/>
        <item x="307"/>
        <item x="175"/>
        <item x="20"/>
        <item x="112"/>
        <item x="359"/>
        <item x="52"/>
        <item x="380"/>
        <item x="214"/>
        <item x="99"/>
        <item x="311"/>
        <item x="234"/>
        <item x="209"/>
        <item x="236"/>
        <item x="50"/>
        <item x="363"/>
        <item x="197"/>
        <item x="40"/>
        <item x="22"/>
        <item x="294"/>
        <item x="86"/>
        <item x="347"/>
        <item x="392"/>
        <item x="268"/>
        <item x="457"/>
        <item x="420"/>
        <item x="462"/>
        <item x="348"/>
        <item x="51"/>
        <item x="121"/>
        <item x="74"/>
        <item x="274"/>
        <item x="291"/>
        <item x="181"/>
        <item x="116"/>
        <item x="26"/>
        <item x="161"/>
        <item x="436"/>
        <item x="316"/>
        <item x="222"/>
        <item x="185"/>
        <item x="114"/>
        <item x="163"/>
        <item x="190"/>
        <item x="290"/>
        <item x="314"/>
        <item x="260"/>
        <item x="207"/>
        <item x="68"/>
        <item x="212"/>
        <item x="229"/>
        <item x="437"/>
        <item x="211"/>
        <item x="256"/>
        <item x="115"/>
        <item x="390"/>
        <item x="333"/>
        <item x="357"/>
        <item x="443"/>
        <item x="97"/>
        <item x="438"/>
        <item x="235"/>
        <item x="62"/>
        <item x="354"/>
        <item x="138"/>
        <item x="246"/>
        <item x="405"/>
        <item x="166"/>
        <item x="84"/>
        <item x="223"/>
        <item x="144"/>
        <item x="252"/>
        <item x="322"/>
        <item x="454"/>
        <item x="17"/>
        <item x="442"/>
        <item x="451"/>
        <item x="387"/>
        <item x="145"/>
        <item x="15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18">
        <item x="12"/>
        <item x="6"/>
        <item x="8"/>
        <item x="5"/>
        <item x="0"/>
        <item x="9"/>
        <item x="16"/>
        <item x="11"/>
        <item x="13"/>
        <item x="3"/>
        <item x="1"/>
        <item x="14"/>
        <item x="4"/>
        <item x="10"/>
        <item x="7"/>
        <item x="15"/>
        <item x="2"/>
        <item t="default"/>
      </items>
    </pivotField>
    <pivotField compact="0" showAll="0">
      <items count="462">
        <item x="297"/>
        <item x="16"/>
        <item x="35"/>
        <item x="284"/>
        <item x="169"/>
        <item x="277"/>
        <item x="200"/>
        <item x="45"/>
        <item x="144"/>
        <item x="81"/>
        <item x="327"/>
        <item x="397"/>
        <item x="371"/>
        <item x="266"/>
        <item x="378"/>
        <item x="414"/>
        <item x="454"/>
        <item x="170"/>
        <item x="306"/>
        <item x="255"/>
        <item x="282"/>
        <item x="79"/>
        <item x="318"/>
        <item x="352"/>
        <item x="368"/>
        <item x="121"/>
        <item x="19"/>
        <item x="348"/>
        <item x="24"/>
        <item x="128"/>
        <item x="240"/>
        <item x="245"/>
        <item x="210"/>
        <item x="193"/>
        <item x="432"/>
        <item x="180"/>
        <item x="123"/>
        <item x="380"/>
        <item x="165"/>
        <item x="258"/>
        <item x="63"/>
        <item x="379"/>
        <item x="211"/>
        <item x="58"/>
        <item x="138"/>
        <item x="145"/>
        <item x="85"/>
        <item x="89"/>
        <item x="385"/>
        <item x="243"/>
        <item x="320"/>
        <item x="363"/>
        <item x="364"/>
        <item x="442"/>
        <item x="333"/>
        <item x="101"/>
        <item x="311"/>
        <item x="73"/>
        <item x="153"/>
        <item x="30"/>
        <item x="334"/>
        <item x="61"/>
        <item x="407"/>
        <item x="288"/>
        <item x="173"/>
        <item x="48"/>
        <item x="86"/>
        <item x="237"/>
        <item x="446"/>
        <item x="119"/>
        <item x="215"/>
        <item x="338"/>
        <item x="70"/>
        <item x="152"/>
        <item x="353"/>
        <item x="313"/>
        <item x="265"/>
        <item x="423"/>
        <item x="60"/>
        <item x="399"/>
        <item x="126"/>
        <item x="178"/>
        <item x="413"/>
        <item x="78"/>
        <item x="444"/>
        <item x="91"/>
        <item x="374"/>
        <item x="150"/>
        <item x="298"/>
        <item x="350"/>
        <item x="354"/>
        <item x="139"/>
        <item x="95"/>
        <item x="131"/>
        <item x="2"/>
        <item x="177"/>
        <item x="106"/>
        <item x="291"/>
        <item x="203"/>
        <item x="0"/>
        <item x="459"/>
        <item x="387"/>
        <item x="328"/>
        <item x="190"/>
        <item x="222"/>
        <item x="324"/>
        <item x="299"/>
        <item x="204"/>
        <item x="232"/>
        <item x="262"/>
        <item x="309"/>
        <item x="304"/>
        <item x="196"/>
        <item x="316"/>
        <item x="116"/>
        <item x="246"/>
        <item x="207"/>
        <item x="332"/>
        <item x="436"/>
        <item x="217"/>
        <item x="136"/>
        <item x="23"/>
        <item x="408"/>
        <item x="184"/>
        <item x="164"/>
        <item x="289"/>
        <item x="409"/>
        <item x="375"/>
        <item x="261"/>
        <item x="300"/>
        <item x="448"/>
        <item x="92"/>
        <item x="373"/>
        <item x="400"/>
        <item x="137"/>
        <item x="186"/>
        <item x="325"/>
        <item x="359"/>
        <item x="457"/>
        <item x="140"/>
        <item x="14"/>
        <item x="205"/>
        <item x="33"/>
        <item x="273"/>
        <item x="112"/>
        <item x="272"/>
        <item x="97"/>
        <item x="458"/>
        <item x="431"/>
        <item x="18"/>
        <item x="202"/>
        <item x="422"/>
        <item x="34"/>
        <item x="3"/>
        <item x="226"/>
        <item x="41"/>
        <item x="377"/>
        <item x="340"/>
        <item x="201"/>
        <item x="132"/>
        <item x="322"/>
        <item x="234"/>
        <item x="185"/>
        <item x="114"/>
        <item x="96"/>
        <item x="233"/>
        <item x="276"/>
        <item x="337"/>
        <item x="220"/>
        <item x="135"/>
        <item x="450"/>
        <item x="47"/>
        <item x="355"/>
        <item x="376"/>
        <item x="213"/>
        <item x="5"/>
        <item x="416"/>
        <item x="111"/>
        <item x="8"/>
        <item x="419"/>
        <item x="254"/>
        <item x="381"/>
        <item x="438"/>
        <item x="44"/>
        <item x="425"/>
        <item x="134"/>
        <item x="57"/>
        <item x="314"/>
        <item x="366"/>
        <item x="105"/>
        <item x="428"/>
        <item x="187"/>
        <item x="351"/>
        <item x="302"/>
        <item x="127"/>
        <item x="331"/>
        <item x="15"/>
        <item x="194"/>
        <item x="349"/>
        <item x="225"/>
        <item x="59"/>
        <item x="11"/>
        <item x="192"/>
        <item x="198"/>
        <item x="109"/>
        <item x="104"/>
        <item x="263"/>
        <item x="62"/>
        <item x="280"/>
        <item x="27"/>
        <item x="281"/>
        <item x="21"/>
        <item x="329"/>
        <item x="315"/>
        <item x="32"/>
        <item x="159"/>
        <item x="6"/>
        <item x="25"/>
        <item x="415"/>
        <item x="323"/>
        <item x="199"/>
        <item x="238"/>
        <item x="326"/>
        <item x="183"/>
        <item x="162"/>
        <item x="56"/>
        <item x="287"/>
        <item x="257"/>
        <item x="239"/>
        <item x="129"/>
        <item x="301"/>
        <item x="65"/>
        <item x="28"/>
        <item x="54"/>
        <item x="356"/>
        <item x="252"/>
        <item x="142"/>
        <item x="293"/>
        <item x="274"/>
        <item x="22"/>
        <item x="209"/>
        <item x="189"/>
        <item x="445"/>
        <item x="321"/>
        <item x="37"/>
        <item x="286"/>
        <item x="80"/>
        <item x="181"/>
        <item x="312"/>
        <item x="347"/>
        <item x="295"/>
        <item x="365"/>
        <item x="417"/>
        <item x="75"/>
        <item x="389"/>
        <item x="188"/>
        <item x="163"/>
        <item x="115"/>
        <item x="452"/>
        <item x="235"/>
        <item x="330"/>
        <item x="357"/>
        <item x="372"/>
        <item x="122"/>
        <item x="403"/>
        <item x="50"/>
        <item x="455"/>
        <item x="310"/>
        <item x="52"/>
        <item x="40"/>
        <item x="362"/>
        <item x="437"/>
        <item x="404"/>
        <item x="271"/>
        <item x="292"/>
        <item x="53"/>
        <item x="307"/>
        <item x="250"/>
        <item x="264"/>
        <item x="283"/>
        <item x="434"/>
        <item x="390"/>
        <item x="460"/>
        <item x="358"/>
        <item x="100"/>
        <item x="197"/>
        <item x="51"/>
        <item x="396"/>
        <item x="117"/>
        <item x="341"/>
        <item x="256"/>
        <item x="223"/>
        <item x="440"/>
        <item x="290"/>
        <item x="72"/>
        <item x="253"/>
        <item x="149"/>
        <item x="10"/>
        <item x="342"/>
        <item x="392"/>
        <item x="221"/>
        <item x="285"/>
        <item x="248"/>
        <item x="433"/>
        <item x="9"/>
        <item x="66"/>
        <item x="195"/>
        <item x="133"/>
        <item x="98"/>
        <item x="166"/>
        <item x="251"/>
        <item x="39"/>
        <item x="158"/>
        <item x="412"/>
        <item x="269"/>
        <item x="141"/>
        <item x="148"/>
        <item x="102"/>
        <item x="55"/>
        <item x="447"/>
        <item x="82"/>
        <item x="229"/>
        <item x="17"/>
        <item x="439"/>
        <item x="427"/>
        <item x="384"/>
        <item x="247"/>
        <item x="88"/>
        <item x="69"/>
        <item x="418"/>
        <item x="90"/>
        <item x="435"/>
        <item x="388"/>
        <item x="124"/>
        <item x="208"/>
        <item x="231"/>
        <item x="270"/>
        <item x="36"/>
        <item x="93"/>
        <item x="260"/>
        <item x="118"/>
        <item x="346"/>
        <item x="421"/>
        <item x="317"/>
        <item x="420"/>
        <item x="13"/>
        <item x="219"/>
        <item x="125"/>
        <item x="393"/>
        <item x="113"/>
        <item x="206"/>
        <item x="120"/>
        <item x="227"/>
        <item x="38"/>
        <item x="236"/>
        <item x="87"/>
        <item x="83"/>
        <item x="103"/>
        <item x="244"/>
        <item x="67"/>
        <item x="151"/>
        <item x="1"/>
        <item x="68"/>
        <item x="305"/>
        <item x="336"/>
        <item x="29"/>
        <item x="161"/>
        <item x="175"/>
        <item x="214"/>
        <item x="367"/>
        <item x="443"/>
        <item x="71"/>
        <item x="430"/>
        <item x="94"/>
        <item x="160"/>
        <item x="212"/>
        <item x="402"/>
        <item x="76"/>
        <item x="174"/>
        <item x="361"/>
        <item x="401"/>
        <item x="224"/>
        <item x="426"/>
        <item x="230"/>
        <item x="146"/>
        <item x="216"/>
        <item x="7"/>
        <item x="171"/>
        <item x="451"/>
        <item x="31"/>
        <item x="143"/>
        <item x="294"/>
        <item x="228"/>
        <item x="370"/>
        <item x="84"/>
        <item x="241"/>
        <item x="99"/>
        <item x="267"/>
        <item x="382"/>
        <item x="303"/>
        <item x="449"/>
        <item x="249"/>
        <item x="46"/>
        <item x="279"/>
        <item x="147"/>
        <item x="168"/>
        <item x="42"/>
        <item x="49"/>
        <item x="268"/>
        <item x="20"/>
        <item x="26"/>
        <item x="218"/>
        <item x="182"/>
        <item x="406"/>
        <item x="441"/>
        <item x="12"/>
        <item x="167"/>
        <item x="156"/>
        <item x="410"/>
        <item x="383"/>
        <item x="456"/>
        <item x="453"/>
        <item x="77"/>
        <item x="154"/>
        <item x="394"/>
        <item x="110"/>
        <item x="411"/>
        <item x="360"/>
        <item x="335"/>
        <item x="398"/>
        <item x="191"/>
        <item x="176"/>
        <item x="369"/>
        <item x="74"/>
        <item x="386"/>
        <item x="155"/>
        <item x="278"/>
        <item x="64"/>
        <item x="108"/>
        <item x="157"/>
        <item x="308"/>
        <item x="4"/>
        <item x="344"/>
        <item x="259"/>
        <item x="172"/>
        <item x="391"/>
        <item x="179"/>
        <item x="275"/>
        <item x="345"/>
        <item x="43"/>
        <item x="429"/>
        <item x="343"/>
        <item x="395"/>
        <item x="424"/>
        <item x="339"/>
        <item x="296"/>
        <item x="130"/>
        <item x="319"/>
        <item x="107"/>
        <item x="242"/>
        <item x="405"/>
        <item t="default"/>
      </items>
    </pivotField>
    <pivotField dataField="1" compact="0" showAll="0">
      <items count="503">
        <item x="434"/>
        <item x="439"/>
        <item x="34"/>
        <item x="117"/>
        <item x="126"/>
        <item x="105"/>
        <item x="61"/>
        <item x="165"/>
        <item x="300"/>
        <item x="222"/>
        <item x="492"/>
        <item x="381"/>
        <item x="194"/>
        <item x="94"/>
        <item x="84"/>
        <item x="267"/>
        <item x="437"/>
        <item x="252"/>
        <item x="499"/>
        <item x="399"/>
        <item x="430"/>
        <item x="31"/>
        <item x="146"/>
        <item x="204"/>
        <item x="189"/>
        <item x="137"/>
        <item x="148"/>
        <item x="375"/>
        <item x="361"/>
        <item x="104"/>
        <item x="45"/>
        <item x="180"/>
        <item x="388"/>
        <item x="211"/>
        <item x="75"/>
        <item x="420"/>
        <item x="458"/>
        <item x="428"/>
        <item x="284"/>
        <item x="73"/>
        <item x="186"/>
        <item x="152"/>
        <item x="450"/>
        <item x="224"/>
        <item x="87"/>
        <item x="379"/>
        <item x="92"/>
        <item x="122"/>
        <item x="113"/>
        <item x="147"/>
        <item x="477"/>
        <item x="438"/>
        <item x="214"/>
        <item x="158"/>
        <item x="480"/>
        <item x="491"/>
        <item x="269"/>
        <item x="9"/>
        <item x="160"/>
        <item x="272"/>
        <item x="66"/>
        <item x="404"/>
        <item x="210"/>
        <item x="181"/>
        <item x="262"/>
        <item x="479"/>
        <item x="173"/>
        <item x="368"/>
        <item x="431"/>
        <item x="135"/>
        <item x="79"/>
        <item x="316"/>
        <item x="352"/>
        <item x="443"/>
        <item x="311"/>
        <item x="405"/>
        <item x="109"/>
        <item x="445"/>
        <item x="294"/>
        <item x="237"/>
        <item x="247"/>
        <item x="340"/>
        <item x="359"/>
        <item x="264"/>
        <item x="13"/>
        <item x="327"/>
        <item x="459"/>
        <item x="329"/>
        <item x="115"/>
        <item x="416"/>
        <item x="193"/>
        <item x="338"/>
        <item x="168"/>
        <item x="44"/>
        <item x="251"/>
        <item x="335"/>
        <item x="391"/>
        <item x="394"/>
        <item x="456"/>
        <item x="27"/>
        <item x="121"/>
        <item x="91"/>
        <item x="301"/>
        <item x="495"/>
        <item x="415"/>
        <item x="1"/>
        <item x="442"/>
        <item x="209"/>
        <item x="287"/>
        <item x="37"/>
        <item x="308"/>
        <item x="138"/>
        <item x="275"/>
        <item x="25"/>
        <item x="4"/>
        <item x="401"/>
        <item x="461"/>
        <item x="221"/>
        <item x="382"/>
        <item x="144"/>
        <item x="235"/>
        <item x="419"/>
        <item x="348"/>
        <item x="393"/>
        <item x="323"/>
        <item x="149"/>
        <item x="277"/>
        <item x="343"/>
        <item x="487"/>
        <item x="226"/>
        <item x="107"/>
        <item x="281"/>
        <item x="279"/>
        <item x="32"/>
        <item x="130"/>
        <item x="35"/>
        <item x="496"/>
        <item x="249"/>
        <item x="10"/>
        <item x="298"/>
        <item x="315"/>
        <item x="41"/>
        <item x="64"/>
        <item x="43"/>
        <item x="353"/>
        <item x="116"/>
        <item x="156"/>
        <item x="101"/>
        <item x="80"/>
        <item x="369"/>
        <item x="95"/>
        <item x="429"/>
        <item x="475"/>
        <item x="229"/>
        <item x="356"/>
        <item x="471"/>
        <item x="220"/>
        <item x="336"/>
        <item x="457"/>
        <item x="157"/>
        <item x="166"/>
        <item x="201"/>
        <item x="470"/>
        <item x="102"/>
        <item x="295"/>
        <item x="49"/>
        <item x="464"/>
        <item x="297"/>
        <item x="313"/>
        <item x="334"/>
        <item x="85"/>
        <item x="423"/>
        <item x="110"/>
        <item x="134"/>
        <item x="424"/>
        <item x="484"/>
        <item x="78"/>
        <item x="77"/>
        <item x="15"/>
        <item x="426"/>
        <item x="212"/>
        <item x="296"/>
        <item x="390"/>
        <item x="392"/>
        <item x="286"/>
        <item x="191"/>
        <item x="346"/>
        <item x="132"/>
        <item x="344"/>
        <item x="435"/>
        <item x="385"/>
        <item x="246"/>
        <item x="397"/>
        <item x="365"/>
        <item x="98"/>
        <item x="366"/>
        <item x="273"/>
        <item x="175"/>
        <item x="172"/>
        <item x="154"/>
        <item x="231"/>
        <item x="472"/>
        <item x="463"/>
        <item x="123"/>
        <item x="89"/>
        <item x="371"/>
        <item x="396"/>
        <item x="24"/>
        <item x="174"/>
        <item x="378"/>
        <item x="497"/>
        <item x="55"/>
        <item x="208"/>
        <item x="271"/>
        <item x="243"/>
        <item x="362"/>
        <item x="162"/>
        <item x="53"/>
        <item x="250"/>
        <item x="236"/>
        <item x="358"/>
        <item x="490"/>
        <item x="446"/>
        <item x="377"/>
        <item x="451"/>
        <item x="383"/>
        <item x="23"/>
        <item x="417"/>
        <item x="136"/>
        <item x="322"/>
        <item x="21"/>
        <item x="414"/>
        <item x="93"/>
        <item x="409"/>
        <item x="403"/>
        <item x="58"/>
        <item x="233"/>
        <item x="151"/>
        <item x="3"/>
        <item x="373"/>
        <item x="170"/>
        <item x="326"/>
        <item x="481"/>
        <item x="161"/>
        <item x="367"/>
        <item x="47"/>
        <item x="258"/>
        <item x="360"/>
        <item x="81"/>
        <item x="76"/>
        <item x="228"/>
        <item x="205"/>
        <item x="8"/>
        <item x="183"/>
        <item x="330"/>
        <item x="242"/>
        <item x="337"/>
        <item x="72"/>
        <item x="195"/>
        <item x="318"/>
        <item x="63"/>
        <item x="370"/>
        <item x="299"/>
        <item x="197"/>
        <item x="48"/>
        <item x="97"/>
        <item x="364"/>
        <item x="389"/>
        <item x="6"/>
        <item x="257"/>
        <item x="185"/>
        <item x="171"/>
        <item x="260"/>
        <item x="11"/>
        <item x="255"/>
        <item x="51"/>
        <item x="169"/>
        <item x="30"/>
        <item x="54"/>
        <item x="263"/>
        <item x="19"/>
        <item x="478"/>
        <item x="120"/>
        <item x="332"/>
        <item x="114"/>
        <item x="62"/>
        <item x="65"/>
        <item x="372"/>
        <item x="395"/>
        <item x="100"/>
        <item x="261"/>
        <item x="412"/>
        <item x="462"/>
        <item x="139"/>
        <item x="482"/>
        <item x="150"/>
        <item x="476"/>
        <item x="254"/>
        <item x="103"/>
        <item x="69"/>
        <item x="216"/>
        <item x="20"/>
        <item x="207"/>
        <item x="178"/>
        <item x="452"/>
        <item x="46"/>
        <item x="274"/>
        <item x="82"/>
        <item x="289"/>
        <item x="141"/>
        <item x="410"/>
        <item x="493"/>
        <item x="498"/>
        <item x="317"/>
        <item x="402"/>
        <item x="200"/>
        <item x="305"/>
        <item x="218"/>
        <item x="339"/>
        <item x="17"/>
        <item x="290"/>
        <item x="449"/>
        <item x="374"/>
        <item x="219"/>
        <item x="270"/>
        <item x="312"/>
        <item x="223"/>
        <item x="432"/>
        <item x="486"/>
        <item x="198"/>
        <item x="321"/>
        <item x="283"/>
        <item x="354"/>
        <item x="142"/>
        <item x="494"/>
        <item x="177"/>
        <item x="128"/>
        <item x="266"/>
        <item x="350"/>
        <item x="265"/>
        <item x="319"/>
        <item x="18"/>
        <item x="411"/>
        <item x="398"/>
        <item x="453"/>
        <item x="238"/>
        <item x="454"/>
        <item x="400"/>
        <item x="57"/>
        <item x="71"/>
        <item x="42"/>
        <item x="489"/>
        <item x="418"/>
        <item x="256"/>
        <item x="433"/>
        <item x="106"/>
        <item x="306"/>
        <item x="425"/>
        <item x="88"/>
        <item x="460"/>
        <item x="140"/>
        <item x="176"/>
        <item x="324"/>
        <item x="376"/>
        <item x="347"/>
        <item x="187"/>
        <item x="217"/>
        <item x="232"/>
        <item x="380"/>
        <item x="304"/>
        <item x="386"/>
        <item x="182"/>
        <item x="307"/>
        <item x="38"/>
        <item x="427"/>
        <item x="203"/>
        <item x="192"/>
        <item x="36"/>
        <item x="26"/>
        <item x="285"/>
        <item x="309"/>
        <item x="125"/>
        <item x="227"/>
        <item x="22"/>
        <item x="28"/>
        <item x="96"/>
        <item x="133"/>
        <item x="39"/>
        <item x="108"/>
        <item x="50"/>
        <item x="363"/>
        <item x="325"/>
        <item x="276"/>
        <item x="167"/>
        <item x="244"/>
        <item x="143"/>
        <item x="129"/>
        <item x="202"/>
        <item x="0"/>
        <item x="314"/>
        <item x="355"/>
        <item x="196"/>
        <item x="145"/>
        <item x="466"/>
        <item x="468"/>
        <item x="131"/>
        <item x="483"/>
        <item x="40"/>
        <item x="341"/>
        <item x="112"/>
        <item x="387"/>
        <item x="407"/>
        <item x="406"/>
        <item x="119"/>
        <item x="282"/>
        <item x="52"/>
        <item x="206"/>
        <item x="467"/>
        <item x="349"/>
        <item x="357"/>
        <item x="469"/>
        <item x="268"/>
        <item x="310"/>
        <item x="253"/>
        <item x="163"/>
        <item x="288"/>
        <item x="240"/>
        <item x="333"/>
        <item x="179"/>
        <item x="70"/>
        <item x="153"/>
        <item x="278"/>
        <item x="421"/>
        <item x="83"/>
        <item x="500"/>
        <item x="5"/>
        <item x="474"/>
        <item x="99"/>
        <item x="215"/>
        <item x="74"/>
        <item x="293"/>
        <item x="239"/>
        <item x="259"/>
        <item x="488"/>
        <item x="303"/>
        <item x="164"/>
        <item x="448"/>
        <item x="86"/>
        <item x="422"/>
        <item x="440"/>
        <item x="345"/>
        <item x="485"/>
        <item x="328"/>
        <item x="436"/>
        <item x="59"/>
        <item x="60"/>
        <item x="473"/>
        <item x="342"/>
        <item x="241"/>
        <item x="155"/>
        <item x="7"/>
        <item x="68"/>
        <item x="230"/>
        <item x="465"/>
        <item x="291"/>
        <item x="188"/>
        <item x="124"/>
        <item x="199"/>
        <item x="56"/>
        <item x="33"/>
        <item x="67"/>
        <item x="413"/>
        <item x="184"/>
        <item x="90"/>
        <item x="2"/>
        <item x="234"/>
        <item x="292"/>
        <item x="190"/>
        <item x="127"/>
        <item x="12"/>
        <item x="280"/>
        <item x="16"/>
        <item x="29"/>
        <item x="245"/>
        <item x="384"/>
        <item x="441"/>
        <item x="408"/>
        <item x="331"/>
        <item x="248"/>
        <item x="351"/>
        <item x="159"/>
        <item x="455"/>
        <item x="320"/>
        <item x="111"/>
        <item x="447"/>
        <item x="444"/>
        <item x="213"/>
        <item x="225"/>
        <item x="118"/>
        <item x="14"/>
        <item x="302"/>
        <item x="501"/>
        <item t="default"/>
      </items>
    </pivotField>
    <pivotField compact="0" showAll="0">
      <items count="16">
        <item x="8"/>
        <item x="0"/>
        <item x="3"/>
        <item x="6"/>
        <item x="1"/>
        <item x="4"/>
        <item x="2"/>
        <item x="7"/>
        <item x="5"/>
        <item x="11"/>
        <item x="10"/>
        <item x="12"/>
        <item x="13"/>
        <item x="9"/>
        <item x="14"/>
        <item t="default"/>
      </items>
    </pivotField>
    <pivotField dataField="1" compact="0" showAll="0">
      <items count="13">
        <item h="1" x="0"/>
        <item h="1" x="9"/>
        <item h="1" x="2"/>
        <item h="1" x="4"/>
        <item x="10"/>
        <item h="1" x="8"/>
        <item h="1" x="1"/>
        <item h="1" x="5"/>
        <item h="1" x="6"/>
        <item h="1" x="7"/>
        <item h="1" x="3"/>
        <item h="1" x="11"/>
        <item t="default"/>
      </items>
    </pivotField>
    <pivotField compact="0" showAll="0">
      <items count="517">
        <item x="310"/>
        <item x="14"/>
        <item x="395"/>
        <item x="119"/>
        <item x="61"/>
        <item x="2"/>
        <item x="171"/>
        <item x="210"/>
        <item x="166"/>
        <item x="83"/>
        <item x="497"/>
        <item x="434"/>
        <item x="98"/>
        <item x="132"/>
        <item x="342"/>
        <item x="97"/>
        <item x="170"/>
        <item x="249"/>
        <item x="195"/>
        <item x="136"/>
        <item x="82"/>
        <item x="6"/>
        <item x="58"/>
        <item x="33"/>
        <item x="109"/>
        <item x="207"/>
        <item x="225"/>
        <item x="488"/>
        <item x="378"/>
        <item x="204"/>
        <item x="244"/>
        <item x="149"/>
        <item x="480"/>
        <item x="496"/>
        <item x="492"/>
        <item x="284"/>
        <item x="299"/>
        <item x="39"/>
        <item x="211"/>
        <item x="394"/>
        <item x="272"/>
        <item x="337"/>
        <item x="107"/>
        <item x="348"/>
        <item x="51"/>
        <item x="206"/>
        <item x="500"/>
        <item x="355"/>
        <item x="150"/>
        <item x="175"/>
        <item x="167"/>
        <item x="268"/>
        <item x="423"/>
        <item x="28"/>
        <item x="228"/>
        <item x="279"/>
        <item x="35"/>
        <item x="305"/>
        <item x="318"/>
        <item x="287"/>
        <item x="435"/>
        <item x="108"/>
        <item x="236"/>
        <item x="501"/>
        <item x="64"/>
        <item x="84"/>
        <item x="495"/>
        <item x="336"/>
        <item x="63"/>
        <item x="60"/>
        <item x="116"/>
        <item x="212"/>
        <item x="124"/>
        <item x="308"/>
        <item x="239"/>
        <item x="416"/>
        <item x="164"/>
        <item x="159"/>
        <item x="506"/>
        <item x="118"/>
        <item x="400"/>
        <item x="493"/>
        <item x="45"/>
        <item x="197"/>
        <item x="129"/>
        <item x="513"/>
        <item x="274"/>
        <item x="95"/>
        <item x="155"/>
        <item x="34"/>
        <item x="453"/>
        <item x="62"/>
        <item x="11"/>
        <item x="447"/>
        <item x="253"/>
        <item x="390"/>
        <item x="123"/>
        <item x="172"/>
        <item x="194"/>
        <item x="222"/>
        <item x="232"/>
        <item x="230"/>
        <item x="451"/>
        <item x="338"/>
        <item x="106"/>
        <item x="148"/>
        <item x="271"/>
        <item x="154"/>
        <item x="269"/>
        <item x="93"/>
        <item x="259"/>
        <item x="386"/>
        <item x="392"/>
        <item x="77"/>
        <item x="202"/>
        <item x="85"/>
        <item x="243"/>
        <item x="265"/>
        <item x="380"/>
        <item x="151"/>
        <item x="219"/>
        <item x="443"/>
        <item x="407"/>
        <item x="485"/>
        <item x="306"/>
        <item x="31"/>
        <item x="74"/>
        <item x="105"/>
        <item x="86"/>
        <item x="371"/>
        <item x="218"/>
        <item x="140"/>
        <item x="411"/>
        <item x="303"/>
        <item x="472"/>
        <item x="433"/>
        <item x="158"/>
        <item x="200"/>
        <item x="153"/>
        <item x="509"/>
        <item x="67"/>
        <item x="241"/>
        <item x="285"/>
        <item x="464"/>
        <item x="9"/>
        <item x="428"/>
        <item x="255"/>
        <item x="439"/>
        <item x="452"/>
        <item x="276"/>
        <item x="377"/>
        <item x="76"/>
        <item x="478"/>
        <item x="188"/>
        <item x="437"/>
        <item x="80"/>
        <item x="152"/>
        <item x="187"/>
        <item x="138"/>
        <item x="505"/>
        <item x="441"/>
        <item x="324"/>
        <item x="157"/>
        <item x="510"/>
        <item x="292"/>
        <item x="446"/>
        <item x="369"/>
        <item x="379"/>
        <item x="245"/>
        <item x="417"/>
        <item x="257"/>
        <item x="214"/>
        <item x="88"/>
        <item x="180"/>
        <item x="494"/>
        <item x="491"/>
        <item x="114"/>
        <item x="146"/>
        <item x="141"/>
        <item x="179"/>
        <item x="319"/>
        <item x="201"/>
        <item x="353"/>
        <item x="90"/>
        <item x="19"/>
        <item x="127"/>
        <item x="374"/>
        <item x="128"/>
        <item x="429"/>
        <item x="316"/>
        <item x="37"/>
        <item x="13"/>
        <item x="344"/>
        <item x="335"/>
        <item x="473"/>
        <item x="368"/>
        <item x="406"/>
        <item x="361"/>
        <item x="309"/>
        <item x="122"/>
        <item x="110"/>
        <item x="156"/>
        <item x="312"/>
        <item x="444"/>
        <item x="459"/>
        <item x="457"/>
        <item x="23"/>
        <item x="267"/>
        <item x="10"/>
        <item x="413"/>
        <item x="475"/>
        <item x="330"/>
        <item x="283"/>
        <item x="393"/>
        <item x="397"/>
        <item x="302"/>
        <item x="234"/>
        <item x="484"/>
        <item x="349"/>
        <item x="229"/>
        <item x="4"/>
        <item x="456"/>
        <item x="347"/>
        <item x="101"/>
        <item x="357"/>
        <item x="403"/>
        <item x="405"/>
        <item x="466"/>
        <item x="289"/>
        <item x="254"/>
        <item x="295"/>
        <item x="27"/>
        <item x="367"/>
        <item x="44"/>
        <item x="25"/>
        <item x="331"/>
        <item x="102"/>
        <item x="217"/>
        <item x="43"/>
        <item x="133"/>
        <item x="470"/>
        <item x="92"/>
        <item x="96"/>
        <item x="41"/>
        <item x="1"/>
        <item x="343"/>
        <item x="117"/>
        <item x="323"/>
        <item x="209"/>
        <item x="215"/>
        <item x="250"/>
        <item x="365"/>
        <item x="436"/>
        <item x="173"/>
        <item x="432"/>
        <item x="402"/>
        <item x="22"/>
        <item x="334"/>
        <item x="298"/>
        <item x="384"/>
        <item x="476"/>
        <item x="144"/>
        <item x="264"/>
        <item x="304"/>
        <item x="32"/>
        <item x="169"/>
        <item x="321"/>
        <item x="471"/>
        <item x="103"/>
        <item x="223"/>
        <item x="421"/>
        <item x="352"/>
        <item x="111"/>
        <item x="177"/>
        <item x="20"/>
        <item x="65"/>
        <item x="99"/>
        <item x="79"/>
        <item x="182"/>
        <item x="333"/>
        <item x="181"/>
        <item x="81"/>
        <item x="294"/>
        <item x="362"/>
        <item x="498"/>
        <item x="162"/>
        <item x="15"/>
        <item x="8"/>
        <item x="404"/>
        <item x="345"/>
        <item x="66"/>
        <item x="237"/>
        <item x="163"/>
        <item x="489"/>
        <item x="54"/>
        <item x="442"/>
        <item x="192"/>
        <item x="160"/>
        <item x="460"/>
        <item x="199"/>
        <item x="382"/>
        <item x="50"/>
        <item x="240"/>
        <item x="94"/>
        <item x="281"/>
        <item x="419"/>
        <item x="504"/>
        <item x="137"/>
        <item x="70"/>
        <item x="427"/>
        <item x="224"/>
        <item x="7"/>
        <item x="78"/>
        <item x="477"/>
        <item x="42"/>
        <item x="251"/>
        <item x="3"/>
        <item x="372"/>
        <item x="56"/>
        <item x="313"/>
        <item x="388"/>
        <item x="190"/>
        <item x="220"/>
        <item x="410"/>
        <item x="430"/>
        <item x="203"/>
        <item x="135"/>
        <item x="252"/>
        <item x="278"/>
        <item x="277"/>
        <item x="381"/>
        <item x="18"/>
        <item x="307"/>
        <item x="258"/>
        <item x="449"/>
        <item x="375"/>
        <item x="409"/>
        <item x="396"/>
        <item x="315"/>
        <item x="486"/>
        <item x="52"/>
        <item x="364"/>
        <item x="72"/>
        <item x="273"/>
        <item x="47"/>
        <item x="24"/>
        <item x="59"/>
        <item x="301"/>
        <item x="408"/>
        <item x="389"/>
        <item x="511"/>
        <item x="422"/>
        <item x="216"/>
        <item x="326"/>
        <item x="21"/>
        <item x="69"/>
        <item x="418"/>
        <item x="465"/>
        <item x="139"/>
        <item x="178"/>
        <item x="235"/>
        <item x="329"/>
        <item x="270"/>
        <item x="143"/>
        <item x="415"/>
        <item x="115"/>
        <item x="48"/>
        <item x="49"/>
        <item x="55"/>
        <item x="89"/>
        <item x="401"/>
        <item x="350"/>
        <item x="383"/>
        <item x="145"/>
        <item x="325"/>
        <item x="370"/>
        <item x="205"/>
        <item x="314"/>
        <item x="168"/>
        <item x="176"/>
        <item x="185"/>
        <item x="104"/>
        <item x="73"/>
        <item x="490"/>
        <item x="213"/>
        <item x="339"/>
        <item x="467"/>
        <item x="512"/>
        <item x="483"/>
        <item x="174"/>
        <item x="346"/>
        <item x="113"/>
        <item x="282"/>
        <item x="445"/>
        <item x="120"/>
        <item x="341"/>
        <item x="193"/>
        <item x="165"/>
        <item x="514"/>
        <item x="40"/>
        <item x="262"/>
        <item x="358"/>
        <item x="425"/>
        <item x="121"/>
        <item x="17"/>
        <item x="30"/>
        <item x="317"/>
        <item x="208"/>
        <item x="142"/>
        <item x="183"/>
        <item x="248"/>
        <item x="186"/>
        <item x="487"/>
        <item x="463"/>
        <item x="227"/>
        <item x="231"/>
        <item x="46"/>
        <item x="391"/>
        <item x="354"/>
        <item x="246"/>
        <item x="275"/>
        <item x="499"/>
        <item x="0"/>
        <item x="412"/>
        <item x="238"/>
        <item x="507"/>
        <item x="198"/>
        <item x="286"/>
        <item x="438"/>
        <item x="100"/>
        <item x="261"/>
        <item x="297"/>
        <item x="468"/>
        <item x="260"/>
        <item x="131"/>
        <item x="503"/>
        <item x="385"/>
        <item x="387"/>
        <item x="424"/>
        <item x="75"/>
        <item x="226"/>
        <item x="414"/>
        <item x="130"/>
        <item x="26"/>
        <item x="320"/>
        <item x="266"/>
        <item x="440"/>
        <item x="291"/>
        <item x="431"/>
        <item x="36"/>
        <item x="293"/>
        <item x="189"/>
        <item x="38"/>
        <item x="363"/>
        <item x="399"/>
        <item x="184"/>
        <item x="508"/>
        <item x="398"/>
        <item x="53"/>
        <item x="359"/>
        <item x="373"/>
        <item x="454"/>
        <item x="327"/>
        <item x="263"/>
        <item x="134"/>
        <item x="147"/>
        <item x="474"/>
        <item x="482"/>
        <item x="332"/>
        <item x="360"/>
        <item x="290"/>
        <item x="280"/>
        <item x="356"/>
        <item x="376"/>
        <item x="462"/>
        <item x="126"/>
        <item x="450"/>
        <item x="502"/>
        <item x="366"/>
        <item x="71"/>
        <item x="481"/>
        <item x="322"/>
        <item x="29"/>
        <item x="91"/>
        <item x="16"/>
        <item x="300"/>
        <item x="87"/>
        <item x="455"/>
        <item x="5"/>
        <item x="479"/>
        <item x="311"/>
        <item x="57"/>
        <item x="161"/>
        <item x="296"/>
        <item x="351"/>
        <item x="247"/>
        <item x="196"/>
        <item x="125"/>
        <item x="68"/>
        <item x="191"/>
        <item x="328"/>
        <item x="12"/>
        <item x="288"/>
        <item x="242"/>
        <item x="426"/>
        <item x="256"/>
        <item x="420"/>
        <item x="221"/>
        <item x="469"/>
        <item x="340"/>
        <item x="112"/>
        <item x="448"/>
        <item x="461"/>
        <item x="458"/>
        <item x="233"/>
        <item x="515"/>
        <item t="default"/>
      </items>
    </pivotField>
    <pivotField compact="0" showAll="0">
      <items count="517">
        <item x="253"/>
        <item x="390"/>
        <item x="123"/>
        <item x="172"/>
        <item x="194"/>
        <item x="222"/>
        <item x="232"/>
        <item x="230"/>
        <item x="447"/>
        <item x="451"/>
        <item x="338"/>
        <item x="106"/>
        <item x="148"/>
        <item x="271"/>
        <item x="11"/>
        <item x="154"/>
        <item x="269"/>
        <item x="93"/>
        <item x="259"/>
        <item x="386"/>
        <item x="392"/>
        <item x="77"/>
        <item x="202"/>
        <item x="85"/>
        <item x="243"/>
        <item x="265"/>
        <item x="380"/>
        <item x="151"/>
        <item x="219"/>
        <item x="443"/>
        <item x="407"/>
        <item x="485"/>
        <item x="306"/>
        <item x="31"/>
        <item x="74"/>
        <item x="105"/>
        <item x="62"/>
        <item x="86"/>
        <item x="371"/>
        <item x="453"/>
        <item x="218"/>
        <item x="34"/>
        <item x="140"/>
        <item x="411"/>
        <item x="303"/>
        <item x="472"/>
        <item x="433"/>
        <item x="155"/>
        <item x="95"/>
        <item x="158"/>
        <item x="200"/>
        <item x="153"/>
        <item x="509"/>
        <item x="67"/>
        <item x="241"/>
        <item x="285"/>
        <item x="464"/>
        <item x="9"/>
        <item x="428"/>
        <item x="255"/>
        <item x="439"/>
        <item x="452"/>
        <item x="274"/>
        <item x="276"/>
        <item x="377"/>
        <item x="76"/>
        <item x="478"/>
        <item x="188"/>
        <item x="437"/>
        <item x="80"/>
        <item x="152"/>
        <item x="187"/>
        <item x="138"/>
        <item x="505"/>
        <item x="513"/>
        <item x="441"/>
        <item x="324"/>
        <item x="157"/>
        <item x="510"/>
        <item x="292"/>
        <item x="446"/>
        <item x="369"/>
        <item x="379"/>
        <item x="245"/>
        <item x="417"/>
        <item x="257"/>
        <item x="214"/>
        <item x="129"/>
        <item x="88"/>
        <item x="180"/>
        <item x="494"/>
        <item x="491"/>
        <item x="114"/>
        <item x="146"/>
        <item x="141"/>
        <item x="179"/>
        <item x="319"/>
        <item x="201"/>
        <item x="353"/>
        <item x="197"/>
        <item x="90"/>
        <item x="45"/>
        <item x="493"/>
        <item x="19"/>
        <item x="127"/>
        <item x="374"/>
        <item x="128"/>
        <item x="429"/>
        <item x="400"/>
        <item x="316"/>
        <item x="37"/>
        <item x="13"/>
        <item x="344"/>
        <item x="335"/>
        <item x="473"/>
        <item x="368"/>
        <item x="118"/>
        <item x="506"/>
        <item x="406"/>
        <item x="361"/>
        <item x="309"/>
        <item x="122"/>
        <item x="110"/>
        <item x="156"/>
        <item x="312"/>
        <item x="444"/>
        <item x="159"/>
        <item x="459"/>
        <item x="457"/>
        <item x="23"/>
        <item x="267"/>
        <item x="10"/>
        <item x="413"/>
        <item x="475"/>
        <item x="330"/>
        <item x="283"/>
        <item x="393"/>
        <item x="397"/>
        <item x="302"/>
        <item x="234"/>
        <item x="484"/>
        <item x="349"/>
        <item x="229"/>
        <item x="4"/>
        <item x="456"/>
        <item x="347"/>
        <item x="164"/>
        <item x="101"/>
        <item x="357"/>
        <item x="403"/>
        <item x="405"/>
        <item x="466"/>
        <item x="289"/>
        <item x="254"/>
        <item x="295"/>
        <item x="27"/>
        <item x="367"/>
        <item x="44"/>
        <item x="25"/>
        <item x="331"/>
        <item x="102"/>
        <item x="416"/>
        <item x="217"/>
        <item x="43"/>
        <item x="133"/>
        <item x="470"/>
        <item x="92"/>
        <item x="96"/>
        <item x="41"/>
        <item x="1"/>
        <item x="343"/>
        <item x="117"/>
        <item x="323"/>
        <item x="209"/>
        <item x="215"/>
        <item x="250"/>
        <item x="239"/>
        <item x="365"/>
        <item x="308"/>
        <item x="124"/>
        <item x="436"/>
        <item x="173"/>
        <item x="212"/>
        <item x="432"/>
        <item x="402"/>
        <item x="22"/>
        <item x="116"/>
        <item x="334"/>
        <item x="298"/>
        <item x="384"/>
        <item x="60"/>
        <item x="476"/>
        <item x="144"/>
        <item x="264"/>
        <item x="304"/>
        <item x="32"/>
        <item x="169"/>
        <item x="321"/>
        <item x="471"/>
        <item x="103"/>
        <item x="223"/>
        <item x="421"/>
        <item x="352"/>
        <item x="63"/>
        <item x="111"/>
        <item x="177"/>
        <item x="20"/>
        <item x="65"/>
        <item x="99"/>
        <item x="79"/>
        <item x="182"/>
        <item x="333"/>
        <item x="181"/>
        <item x="81"/>
        <item x="294"/>
        <item x="362"/>
        <item x="498"/>
        <item x="162"/>
        <item x="15"/>
        <item x="8"/>
        <item x="404"/>
        <item x="345"/>
        <item x="66"/>
        <item x="237"/>
        <item x="163"/>
        <item x="489"/>
        <item x="54"/>
        <item x="442"/>
        <item x="336"/>
        <item x="192"/>
        <item x="495"/>
        <item x="160"/>
        <item x="84"/>
        <item x="460"/>
        <item x="199"/>
        <item x="382"/>
        <item x="50"/>
        <item x="240"/>
        <item x="64"/>
        <item x="94"/>
        <item x="281"/>
        <item x="419"/>
        <item x="504"/>
        <item x="501"/>
        <item x="236"/>
        <item x="108"/>
        <item x="137"/>
        <item x="70"/>
        <item x="435"/>
        <item x="427"/>
        <item x="224"/>
        <item x="7"/>
        <item x="78"/>
        <item x="477"/>
        <item x="287"/>
        <item x="42"/>
        <item x="318"/>
        <item x="251"/>
        <item x="3"/>
        <item x="305"/>
        <item x="35"/>
        <item x="372"/>
        <item x="56"/>
        <item x="313"/>
        <item x="388"/>
        <item x="190"/>
        <item x="279"/>
        <item x="220"/>
        <item x="410"/>
        <item x="228"/>
        <item x="430"/>
        <item x="28"/>
        <item x="203"/>
        <item x="135"/>
        <item x="252"/>
        <item x="278"/>
        <item x="277"/>
        <item x="381"/>
        <item x="18"/>
        <item x="307"/>
        <item x="258"/>
        <item x="449"/>
        <item x="375"/>
        <item x="409"/>
        <item x="396"/>
        <item x="315"/>
        <item x="486"/>
        <item x="52"/>
        <item x="364"/>
        <item x="72"/>
        <item x="273"/>
        <item x="47"/>
        <item x="24"/>
        <item x="59"/>
        <item x="301"/>
        <item x="408"/>
        <item x="423"/>
        <item x="389"/>
        <item x="511"/>
        <item x="422"/>
        <item x="216"/>
        <item x="326"/>
        <item x="21"/>
        <item x="268"/>
        <item x="69"/>
        <item x="418"/>
        <item x="167"/>
        <item x="175"/>
        <item x="465"/>
        <item x="150"/>
        <item x="139"/>
        <item x="178"/>
        <item x="235"/>
        <item x="329"/>
        <item x="270"/>
        <item x="143"/>
        <item x="355"/>
        <item x="415"/>
        <item x="115"/>
        <item x="48"/>
        <item x="49"/>
        <item x="500"/>
        <item x="55"/>
        <item x="89"/>
        <item x="401"/>
        <item x="350"/>
        <item x="383"/>
        <item x="145"/>
        <item x="206"/>
        <item x="325"/>
        <item x="370"/>
        <item x="205"/>
        <item x="314"/>
        <item x="168"/>
        <item x="176"/>
        <item x="185"/>
        <item x="104"/>
        <item x="73"/>
        <item x="490"/>
        <item x="213"/>
        <item x="339"/>
        <item x="51"/>
        <item x="348"/>
        <item x="467"/>
        <item x="512"/>
        <item x="483"/>
        <item x="174"/>
        <item x="346"/>
        <item x="113"/>
        <item x="282"/>
        <item x="107"/>
        <item x="337"/>
        <item x="445"/>
        <item x="120"/>
        <item x="341"/>
        <item x="272"/>
        <item x="193"/>
        <item x="165"/>
        <item x="514"/>
        <item x="40"/>
        <item x="262"/>
        <item x="358"/>
        <item x="425"/>
        <item x="121"/>
        <item x="17"/>
        <item x="30"/>
        <item x="317"/>
        <item x="394"/>
        <item x="211"/>
        <item x="208"/>
        <item x="142"/>
        <item x="183"/>
        <item x="248"/>
        <item x="186"/>
        <item x="487"/>
        <item x="463"/>
        <item x="227"/>
        <item x="231"/>
        <item x="46"/>
        <item x="391"/>
        <item x="354"/>
        <item x="246"/>
        <item x="275"/>
        <item x="499"/>
        <item x="0"/>
        <item x="412"/>
        <item x="238"/>
        <item x="507"/>
        <item x="198"/>
        <item x="286"/>
        <item x="438"/>
        <item x="100"/>
        <item x="261"/>
        <item x="297"/>
        <item x="468"/>
        <item x="260"/>
        <item x="131"/>
        <item x="503"/>
        <item x="39"/>
        <item x="385"/>
        <item x="299"/>
        <item x="387"/>
        <item x="424"/>
        <item x="75"/>
        <item x="226"/>
        <item x="284"/>
        <item x="414"/>
        <item x="130"/>
        <item x="26"/>
        <item x="320"/>
        <item x="266"/>
        <item x="440"/>
        <item x="291"/>
        <item x="431"/>
        <item x="36"/>
        <item x="293"/>
        <item x="189"/>
        <item x="492"/>
        <item x="496"/>
        <item x="480"/>
        <item x="38"/>
        <item x="363"/>
        <item x="399"/>
        <item x="184"/>
        <item x="508"/>
        <item x="398"/>
        <item x="149"/>
        <item x="53"/>
        <item x="244"/>
        <item x="359"/>
        <item x="373"/>
        <item x="454"/>
        <item x="327"/>
        <item x="204"/>
        <item x="263"/>
        <item x="134"/>
        <item x="378"/>
        <item x="147"/>
        <item x="474"/>
        <item x="482"/>
        <item x="332"/>
        <item x="360"/>
        <item x="290"/>
        <item x="280"/>
        <item x="356"/>
        <item x="376"/>
        <item x="462"/>
        <item x="126"/>
        <item x="488"/>
        <item x="450"/>
        <item x="225"/>
        <item x="502"/>
        <item x="207"/>
        <item x="366"/>
        <item x="109"/>
        <item x="71"/>
        <item x="481"/>
        <item x="322"/>
        <item x="29"/>
        <item x="91"/>
        <item x="33"/>
        <item x="58"/>
        <item x="16"/>
        <item x="6"/>
        <item x="300"/>
        <item x="87"/>
        <item x="82"/>
        <item x="455"/>
        <item x="136"/>
        <item x="5"/>
        <item x="195"/>
        <item x="249"/>
        <item x="479"/>
        <item x="170"/>
        <item x="97"/>
        <item x="311"/>
        <item x="57"/>
        <item x="342"/>
        <item x="161"/>
        <item x="132"/>
        <item x="296"/>
        <item x="98"/>
        <item x="351"/>
        <item x="434"/>
        <item x="247"/>
        <item x="196"/>
        <item x="125"/>
        <item x="68"/>
        <item x="191"/>
        <item x="328"/>
        <item x="12"/>
        <item x="497"/>
        <item x="83"/>
        <item x="288"/>
        <item x="242"/>
        <item x="426"/>
        <item x="166"/>
        <item x="256"/>
        <item x="210"/>
        <item x="420"/>
        <item x="171"/>
        <item x="221"/>
        <item x="469"/>
        <item x="340"/>
        <item x="2"/>
        <item x="61"/>
        <item x="119"/>
        <item x="112"/>
        <item x="448"/>
        <item x="395"/>
        <item x="461"/>
        <item x="458"/>
        <item x="233"/>
        <item x="14"/>
        <item x="310"/>
        <item x="515"/>
        <item t="default"/>
      </items>
    </pivotField>
    <pivotField compact="0" showAll="0">
      <items count="506">
        <item x="442"/>
        <item x="34"/>
        <item x="436"/>
        <item x="117"/>
        <item x="126"/>
        <item x="301"/>
        <item x="495"/>
        <item x="61"/>
        <item x="94"/>
        <item x="205"/>
        <item x="268"/>
        <item x="502"/>
        <item x="190"/>
        <item x="45"/>
        <item x="161"/>
        <item x="273"/>
        <item x="390"/>
        <item x="166"/>
        <item x="105"/>
        <item x="159"/>
        <item x="169"/>
        <item x="406"/>
        <item x="440"/>
        <item x="223"/>
        <item x="383"/>
        <item x="195"/>
        <item x="84"/>
        <item x="432"/>
        <item x="31"/>
        <item x="147"/>
        <item x="482"/>
        <item x="253"/>
        <item x="363"/>
        <item x="104"/>
        <item x="401"/>
        <item x="115"/>
        <item x="422"/>
        <item x="137"/>
        <item x="149"/>
        <item x="461"/>
        <item x="377"/>
        <item x="187"/>
        <item x="490"/>
        <item x="107"/>
        <item x="453"/>
        <item x="280"/>
        <item x="225"/>
        <item x="181"/>
        <item x="92"/>
        <item x="212"/>
        <item x="75"/>
        <item x="148"/>
        <item x="430"/>
        <item x="441"/>
        <item x="215"/>
        <item x="285"/>
        <item x="73"/>
        <item x="494"/>
        <item x="270"/>
        <item x="221"/>
        <item x="153"/>
        <item x="87"/>
        <item x="381"/>
        <item x="263"/>
        <item x="122"/>
        <item x="113"/>
        <item x="174"/>
        <item x="35"/>
        <item x="370"/>
        <item x="480"/>
        <item x="79"/>
        <item x="483"/>
        <item x="312"/>
        <item x="407"/>
        <item x="237"/>
        <item x="9"/>
        <item x="238"/>
        <item x="248"/>
        <item x="66"/>
        <item x="211"/>
        <item x="265"/>
        <item x="13"/>
        <item x="182"/>
        <item x="328"/>
        <item x="462"/>
        <item x="298"/>
        <item x="331"/>
        <item x="348"/>
        <item x="418"/>
        <item x="433"/>
        <item x="135"/>
        <item x="317"/>
        <item x="354"/>
        <item x="446"/>
        <item x="369"/>
        <item x="252"/>
        <item x="81"/>
        <item x="337"/>
        <item x="109"/>
        <item x="448"/>
        <item x="295"/>
        <item x="396"/>
        <item x="121"/>
        <item x="342"/>
        <item x="302"/>
        <item x="361"/>
        <item x="498"/>
        <item x="417"/>
        <item x="445"/>
        <item x="309"/>
        <item x="138"/>
        <item x="276"/>
        <item x="194"/>
        <item x="340"/>
        <item x="4"/>
        <item x="403"/>
        <item x="464"/>
        <item x="222"/>
        <item x="384"/>
        <item x="144"/>
        <item x="44"/>
        <item x="97"/>
        <item x="236"/>
        <item x="385"/>
        <item x="393"/>
        <item x="6"/>
        <item x="459"/>
        <item x="350"/>
        <item x="27"/>
        <item x="324"/>
        <item x="91"/>
        <item x="150"/>
        <item x="278"/>
        <item x="1"/>
        <item x="210"/>
        <item x="227"/>
        <item x="288"/>
        <item x="37"/>
        <item x="25"/>
        <item x="130"/>
        <item x="499"/>
        <item x="250"/>
        <item x="299"/>
        <item x="316"/>
        <item x="101"/>
        <item x="371"/>
        <item x="421"/>
        <item x="95"/>
        <item x="395"/>
        <item x="474"/>
        <item x="345"/>
        <item x="167"/>
        <item x="282"/>
        <item x="202"/>
        <item x="473"/>
        <item x="102"/>
        <item x="296"/>
        <item x="32"/>
        <item x="467"/>
        <item x="82"/>
        <item x="10"/>
        <item x="314"/>
        <item x="85"/>
        <item x="41"/>
        <item x="64"/>
        <item x="43"/>
        <item x="355"/>
        <item x="116"/>
        <item x="425"/>
        <item x="157"/>
        <item x="110"/>
        <item x="80"/>
        <item x="426"/>
        <item x="431"/>
        <item x="478"/>
        <item x="78"/>
        <item x="230"/>
        <item x="358"/>
        <item x="338"/>
        <item x="460"/>
        <item x="158"/>
        <item x="15"/>
        <item x="481"/>
        <item x="428"/>
        <item x="49"/>
        <item x="297"/>
        <item x="336"/>
        <item x="287"/>
        <item x="192"/>
        <item x="346"/>
        <item x="485"/>
        <item x="134"/>
        <item x="487"/>
        <item x="247"/>
        <item x="98"/>
        <item x="368"/>
        <item x="77"/>
        <item x="173"/>
        <item x="155"/>
        <item x="232"/>
        <item x="466"/>
        <item x="213"/>
        <item x="123"/>
        <item x="89"/>
        <item x="373"/>
        <item x="392"/>
        <item x="175"/>
        <item x="394"/>
        <item x="55"/>
        <item x="132"/>
        <item x="244"/>
        <item x="364"/>
        <item x="438"/>
        <item x="387"/>
        <item x="360"/>
        <item x="399"/>
        <item x="367"/>
        <item x="274"/>
        <item x="176"/>
        <item x="63"/>
        <item x="419"/>
        <item x="475"/>
        <item x="323"/>
        <item x="398"/>
        <item x="24"/>
        <item x="152"/>
        <item x="375"/>
        <item x="380"/>
        <item x="500"/>
        <item x="484"/>
        <item x="209"/>
        <item x="272"/>
        <item x="47"/>
        <item x="329"/>
        <item x="163"/>
        <item x="53"/>
        <item x="251"/>
        <item x="76"/>
        <item x="493"/>
        <item x="449"/>
        <item x="229"/>
        <item x="379"/>
        <item x="454"/>
        <item x="23"/>
        <item x="136"/>
        <item x="21"/>
        <item x="416"/>
        <item x="93"/>
        <item x="243"/>
        <item x="411"/>
        <item x="405"/>
        <item x="58"/>
        <item x="57"/>
        <item x="319"/>
        <item x="234"/>
        <item x="3"/>
        <item x="146"/>
        <item x="171"/>
        <item x="11"/>
        <item x="327"/>
        <item x="162"/>
        <item x="259"/>
        <item x="48"/>
        <item x="362"/>
        <item x="391"/>
        <item x="206"/>
        <item x="8"/>
        <item x="258"/>
        <item x="184"/>
        <item x="188"/>
        <item x="332"/>
        <item x="339"/>
        <item x="72"/>
        <item x="51"/>
        <item x="196"/>
        <item x="372"/>
        <item x="170"/>
        <item x="300"/>
        <item x="198"/>
        <item x="341"/>
        <item x="62"/>
        <item x="65"/>
        <item x="366"/>
        <item x="262"/>
        <item x="412"/>
        <item x="186"/>
        <item x="172"/>
        <item x="261"/>
        <item x="151"/>
        <item x="271"/>
        <item x="256"/>
        <item x="69"/>
        <item x="30"/>
        <item x="54"/>
        <item x="264"/>
        <item x="129"/>
        <item x="20"/>
        <item x="208"/>
        <item x="455"/>
        <item x="19"/>
        <item x="141"/>
        <item x="120"/>
        <item x="334"/>
        <item x="114"/>
        <item x="318"/>
        <item x="374"/>
        <item x="397"/>
        <item x="100"/>
        <item x="414"/>
        <item x="266"/>
        <item x="465"/>
        <item x="139"/>
        <item x="17"/>
        <item x="291"/>
        <item x="479"/>
        <item x="255"/>
        <item x="452"/>
        <item x="103"/>
        <item x="217"/>
        <item x="220"/>
        <item x="179"/>
        <item x="46"/>
        <item x="275"/>
        <item x="290"/>
        <item x="496"/>
        <item x="434"/>
        <item x="203"/>
        <item x="501"/>
        <item x="404"/>
        <item x="489"/>
        <item x="199"/>
        <item x="201"/>
        <item x="322"/>
        <item x="306"/>
        <item x="219"/>
        <item x="96"/>
        <item x="133"/>
        <item x="128"/>
        <item x="218"/>
        <item x="267"/>
        <item x="376"/>
        <item x="18"/>
        <item x="413"/>
        <item x="313"/>
        <item x="142"/>
        <item x="224"/>
        <item x="71"/>
        <item x="42"/>
        <item x="108"/>
        <item x="106"/>
        <item x="284"/>
        <item x="356"/>
        <item x="497"/>
        <item x="204"/>
        <item x="178"/>
        <item x="140"/>
        <item x="352"/>
        <item x="165"/>
        <item x="320"/>
        <item x="28"/>
        <item x="400"/>
        <item x="486"/>
        <item x="456"/>
        <item x="233"/>
        <item x="239"/>
        <item x="382"/>
        <item x="305"/>
        <item x="388"/>
        <item x="457"/>
        <item x="402"/>
        <item x="183"/>
        <item x="308"/>
        <item x="492"/>
        <item x="420"/>
        <item x="257"/>
        <item x="38"/>
        <item x="435"/>
        <item x="307"/>
        <item x="197"/>
        <item x="427"/>
        <item x="145"/>
        <item x="88"/>
        <item x="463"/>
        <item x="177"/>
        <item x="325"/>
        <item x="39"/>
        <item x="378"/>
        <item x="349"/>
        <item x="193"/>
        <item x="50"/>
        <item x="277"/>
        <item x="423"/>
        <item x="168"/>
        <item x="245"/>
        <item x="143"/>
        <item x="429"/>
        <item x="164"/>
        <item x="36"/>
        <item x="26"/>
        <item x="286"/>
        <item x="310"/>
        <item x="125"/>
        <item x="335"/>
        <item x="228"/>
        <item x="22"/>
        <item x="357"/>
        <item x="469"/>
        <item x="365"/>
        <item x="131"/>
        <item x="326"/>
        <item x="343"/>
        <item x="112"/>
        <item x="477"/>
        <item x="409"/>
        <item x="408"/>
        <item x="0"/>
        <item x="119"/>
        <item x="52"/>
        <item x="83"/>
        <item x="351"/>
        <item x="315"/>
        <item x="472"/>
        <item x="269"/>
        <item x="311"/>
        <item x="254"/>
        <item x="471"/>
        <item x="40"/>
        <item x="241"/>
        <item x="180"/>
        <item x="60"/>
        <item x="154"/>
        <item x="389"/>
        <item x="5"/>
        <item x="283"/>
        <item x="207"/>
        <item x="386"/>
        <item x="470"/>
        <item x="359"/>
        <item x="99"/>
        <item x="74"/>
        <item x="260"/>
        <item x="289"/>
        <item x="491"/>
        <item x="70"/>
        <item x="279"/>
        <item x="503"/>
        <item x="424"/>
        <item x="59"/>
        <item x="347"/>
        <item x="488"/>
        <item x="216"/>
        <item x="330"/>
        <item x="294"/>
        <item x="240"/>
        <item x="304"/>
        <item x="451"/>
        <item x="292"/>
        <item x="476"/>
        <item x="86"/>
        <item x="242"/>
        <item x="443"/>
        <item x="200"/>
        <item x="2"/>
        <item x="439"/>
        <item x="231"/>
        <item x="344"/>
        <item x="156"/>
        <item x="33"/>
        <item x="7"/>
        <item x="68"/>
        <item x="415"/>
        <item x="468"/>
        <item x="191"/>
        <item x="189"/>
        <item x="90"/>
        <item x="124"/>
        <item x="56"/>
        <item x="293"/>
        <item x="127"/>
        <item x="67"/>
        <item x="185"/>
        <item x="16"/>
        <item x="29"/>
        <item x="246"/>
        <item x="444"/>
        <item x="333"/>
        <item x="235"/>
        <item x="160"/>
        <item x="12"/>
        <item x="281"/>
        <item x="353"/>
        <item x="410"/>
        <item x="249"/>
        <item x="14"/>
        <item x="458"/>
        <item x="321"/>
        <item x="118"/>
        <item x="111"/>
        <item x="214"/>
        <item x="450"/>
        <item x="447"/>
        <item x="437"/>
        <item x="226"/>
        <item x="303"/>
        <item x="504"/>
        <item t="default"/>
      </items>
    </pivotField>
    <pivotField compact="0" showAll="0">
      <items count="3">
        <item x="1"/>
        <item x="0"/>
        <item t="default"/>
      </items>
    </pivotField>
  </pivotFields>
  <rowFields count="1">
    <field x="4"/>
  </rowFields>
  <rowItems count="2"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   Sales   " fld="17" baseField="0" baseItem="0" numFmtId="178"/>
    <dataField name="Sum of Discount" fld="19" baseField="0" baseItem="0" numFmtId="9"/>
    <dataField name="Average of    Sales   " fld="17" subtotal="average" baseField="0" baseItem="0" numFmtId="183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:B7" firstHeaderRow="1" firstDataRow="1" firstDataCol="1"/>
  <pivotFields count="24">
    <pivotField compact="0" numFmtId="176" showAll="0">
      <items count="54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t="default"/>
      </items>
    </pivotField>
    <pivotField compact="0" showAll="0">
      <items count="540">
        <item x="196"/>
        <item x="534"/>
        <item x="254"/>
        <item x="75"/>
        <item x="334"/>
        <item x="421"/>
        <item x="7"/>
        <item x="29"/>
        <item x="351"/>
        <item x="358"/>
        <item x="525"/>
        <item x="396"/>
        <item x="70"/>
        <item x="140"/>
        <item x="135"/>
        <item x="327"/>
        <item x="343"/>
        <item x="183"/>
        <item x="226"/>
        <item x="328"/>
        <item x="56"/>
        <item x="463"/>
        <item x="3"/>
        <item x="175"/>
        <item x="337"/>
        <item x="477"/>
        <item x="82"/>
        <item x="143"/>
        <item x="155"/>
        <item x="90"/>
        <item x="164"/>
        <item x="524"/>
        <item x="345"/>
        <item x="400"/>
        <item x="461"/>
        <item x="222"/>
        <item x="153"/>
        <item x="332"/>
        <item x="139"/>
        <item x="277"/>
        <item x="113"/>
        <item x="509"/>
        <item x="342"/>
        <item x="441"/>
        <item x="98"/>
        <item x="225"/>
        <item x="402"/>
        <item x="417"/>
        <item x="535"/>
        <item x="377"/>
        <item x="221"/>
        <item x="276"/>
        <item x="406"/>
        <item x="438"/>
        <item x="326"/>
        <item x="37"/>
        <item x="81"/>
        <item x="94"/>
        <item x="251"/>
        <item x="383"/>
        <item x="192"/>
        <item x="9"/>
        <item x="426"/>
        <item x="217"/>
        <item x="264"/>
        <item x="22"/>
        <item x="409"/>
        <item x="404"/>
        <item x="280"/>
        <item x="379"/>
        <item x="331"/>
        <item x="224"/>
        <item x="184"/>
        <item x="261"/>
        <item x="311"/>
        <item x="369"/>
        <item x="147"/>
        <item x="318"/>
        <item x="88"/>
        <item x="486"/>
        <item x="357"/>
        <item x="470"/>
        <item x="495"/>
        <item x="145"/>
        <item x="146"/>
        <item x="361"/>
        <item x="87"/>
        <item x="8"/>
        <item x="144"/>
        <item x="392"/>
        <item x="103"/>
        <item x="372"/>
        <item x="92"/>
        <item x="244"/>
        <item x="483"/>
        <item x="12"/>
        <item x="381"/>
        <item x="490"/>
        <item x="211"/>
        <item x="57"/>
        <item x="69"/>
        <item x="439"/>
        <item x="482"/>
        <item x="354"/>
        <item x="457"/>
        <item x="256"/>
        <item x="394"/>
        <item x="356"/>
        <item x="442"/>
        <item x="24"/>
        <item x="367"/>
        <item x="17"/>
        <item x="74"/>
        <item x="322"/>
        <item x="78"/>
        <item x="450"/>
        <item x="181"/>
        <item x="174"/>
        <item x="491"/>
        <item x="371"/>
        <item x="480"/>
        <item x="73"/>
        <item x="172"/>
        <item x="481"/>
        <item x="529"/>
        <item x="498"/>
        <item x="274"/>
        <item x="154"/>
        <item x="414"/>
        <item x="53"/>
        <item x="265"/>
        <item x="170"/>
        <item x="132"/>
        <item x="131"/>
        <item x="408"/>
        <item x="93"/>
        <item x="321"/>
        <item x="272"/>
        <item x="508"/>
        <item x="489"/>
        <item x="434"/>
        <item x="229"/>
        <item x="250"/>
        <item x="349"/>
        <item x="27"/>
        <item x="86"/>
        <item x="152"/>
        <item x="287"/>
        <item x="378"/>
        <item x="325"/>
        <item x="418"/>
        <item x="138"/>
        <item x="362"/>
        <item x="233"/>
        <item x="104"/>
        <item x="307"/>
        <item x="472"/>
        <item x="249"/>
        <item x="447"/>
        <item x="44"/>
        <item x="270"/>
        <item x="38"/>
        <item x="474"/>
        <item x="216"/>
        <item x="366"/>
        <item x="364"/>
        <item x="122"/>
        <item x="127"/>
        <item x="517"/>
        <item x="468"/>
        <item x="522"/>
        <item x="238"/>
        <item x="241"/>
        <item x="459"/>
        <item x="478"/>
        <item x="503"/>
        <item x="107"/>
        <item x="507"/>
        <item x="538"/>
        <item x="492"/>
        <item x="293"/>
        <item x="106"/>
        <item x="208"/>
        <item x="220"/>
        <item x="19"/>
        <item x="501"/>
        <item x="59"/>
        <item x="218"/>
        <item x="301"/>
        <item x="89"/>
        <item x="368"/>
        <item x="424"/>
        <item x="476"/>
        <item x="448"/>
        <item x="25"/>
        <item x="31"/>
        <item x="235"/>
        <item x="182"/>
        <item x="43"/>
        <item x="496"/>
        <item x="212"/>
        <item x="475"/>
        <item x="66"/>
        <item x="348"/>
        <item x="134"/>
        <item x="124"/>
        <item x="26"/>
        <item x="133"/>
        <item x="335"/>
        <item x="497"/>
        <item x="262"/>
        <item x="398"/>
        <item x="80"/>
        <item x="76"/>
        <item x="71"/>
        <item x="338"/>
        <item x="375"/>
        <item x="204"/>
        <item x="295"/>
        <item x="411"/>
        <item x="16"/>
        <item x="21"/>
        <item x="536"/>
        <item x="30"/>
        <item x="278"/>
        <item x="460"/>
        <item x="283"/>
        <item x="13"/>
        <item x="399"/>
        <item x="308"/>
        <item x="523"/>
        <item x="121"/>
        <item x="230"/>
        <item x="494"/>
        <item x="247"/>
        <item x="36"/>
        <item x="269"/>
        <item x="199"/>
        <item x="500"/>
        <item x="55"/>
        <item x="516"/>
        <item x="159"/>
        <item x="50"/>
        <item x="161"/>
        <item x="105"/>
        <item x="431"/>
        <item x="520"/>
        <item x="303"/>
        <item x="533"/>
        <item x="405"/>
        <item x="403"/>
        <item x="171"/>
        <item x="510"/>
        <item x="374"/>
        <item x="257"/>
        <item x="252"/>
        <item x="305"/>
        <item x="10"/>
        <item x="160"/>
        <item x="1"/>
        <item x="527"/>
        <item x="445"/>
        <item x="425"/>
        <item x="350"/>
        <item x="336"/>
        <item x="136"/>
        <item x="142"/>
        <item x="449"/>
        <item x="309"/>
        <item x="469"/>
        <item x="467"/>
        <item x="65"/>
        <item x="115"/>
        <item x="116"/>
        <item x="296"/>
        <item x="201"/>
        <item x="189"/>
        <item x="48"/>
        <item x="382"/>
        <item x="440"/>
        <item x="346"/>
        <item x="0"/>
        <item x="397"/>
        <item x="219"/>
        <item x="79"/>
        <item x="114"/>
        <item x="479"/>
        <item x="165"/>
        <item x="91"/>
        <item x="359"/>
        <item x="112"/>
        <item x="407"/>
        <item x="49"/>
        <item x="72"/>
        <item x="42"/>
        <item x="537"/>
        <item x="302"/>
        <item x="5"/>
        <item x="393"/>
        <item x="282"/>
        <item x="148"/>
        <item x="77"/>
        <item x="324"/>
        <item x="316"/>
        <item x="416"/>
        <item x="437"/>
        <item x="388"/>
        <item x="206"/>
        <item x="246"/>
        <item x="227"/>
        <item x="23"/>
        <item x="521"/>
        <item x="471"/>
        <item x="260"/>
        <item x="384"/>
        <item x="176"/>
        <item x="259"/>
        <item x="456"/>
        <item x="435"/>
        <item x="179"/>
        <item x="360"/>
        <item x="166"/>
        <item x="97"/>
        <item x="373"/>
        <item x="298"/>
        <item x="67"/>
        <item x="493"/>
        <item x="395"/>
        <item x="95"/>
        <item x="15"/>
        <item x="101"/>
        <item x="333"/>
        <item x="191"/>
        <item x="313"/>
        <item x="413"/>
        <item x="518"/>
        <item x="258"/>
        <item x="242"/>
        <item x="444"/>
        <item x="4"/>
        <item x="32"/>
        <item x="323"/>
        <item x="410"/>
        <item x="419"/>
        <item x="352"/>
        <item x="186"/>
        <item x="185"/>
        <item x="285"/>
        <item x="128"/>
        <item x="487"/>
        <item x="271"/>
        <item x="263"/>
        <item x="52"/>
        <item x="455"/>
        <item x="18"/>
        <item x="499"/>
        <item x="513"/>
        <item x="188"/>
        <item x="526"/>
        <item x="193"/>
        <item x="355"/>
        <item x="347"/>
        <item x="300"/>
        <item x="100"/>
        <item x="141"/>
        <item x="386"/>
        <item x="237"/>
        <item x="387"/>
        <item x="365"/>
        <item x="202"/>
        <item x="314"/>
        <item x="453"/>
        <item x="341"/>
        <item x="430"/>
        <item x="310"/>
        <item x="422"/>
        <item x="129"/>
        <item x="423"/>
        <item x="353"/>
        <item x="290"/>
        <item x="158"/>
        <item x="232"/>
        <item x="485"/>
        <item x="462"/>
        <item x="234"/>
        <item x="376"/>
        <item x="102"/>
        <item x="454"/>
        <item x="123"/>
        <item x="266"/>
        <item x="433"/>
        <item x="284"/>
        <item x="20"/>
        <item x="40"/>
        <item x="304"/>
        <item x="223"/>
        <item x="187"/>
        <item x="432"/>
        <item x="380"/>
        <item x="339"/>
        <item x="292"/>
        <item x="163"/>
        <item x="443"/>
        <item x="239"/>
        <item x="273"/>
        <item x="329"/>
        <item x="54"/>
        <item x="207"/>
        <item x="195"/>
        <item x="420"/>
        <item x="429"/>
        <item x="370"/>
        <item x="458"/>
        <item x="197"/>
        <item x="506"/>
        <item x="511"/>
        <item x="149"/>
        <item x="289"/>
        <item x="205"/>
        <item x="190"/>
        <item x="214"/>
        <item x="68"/>
        <item x="41"/>
        <item x="162"/>
        <item x="194"/>
        <item x="267"/>
        <item x="203"/>
        <item x="47"/>
        <item x="466"/>
        <item x="111"/>
        <item x="427"/>
        <item x="46"/>
        <item x="319"/>
        <item x="401"/>
        <item x="514"/>
        <item x="255"/>
        <item x="288"/>
        <item x="118"/>
        <item x="236"/>
        <item x="126"/>
        <item x="268"/>
        <item x="180"/>
        <item x="473"/>
        <item x="297"/>
        <item x="157"/>
        <item x="83"/>
        <item x="385"/>
        <item x="281"/>
        <item x="120"/>
        <item x="209"/>
        <item x="286"/>
        <item x="389"/>
        <item x="320"/>
        <item x="167"/>
        <item x="61"/>
        <item x="178"/>
        <item x="177"/>
        <item x="436"/>
        <item x="35"/>
        <item x="200"/>
        <item x="60"/>
        <item x="109"/>
        <item x="531"/>
        <item x="505"/>
        <item x="412"/>
        <item x="213"/>
        <item x="85"/>
        <item x="532"/>
        <item x="2"/>
        <item x="6"/>
        <item x="253"/>
        <item x="156"/>
        <item x="488"/>
        <item x="504"/>
        <item x="33"/>
        <item x="58"/>
        <item x="243"/>
        <item x="451"/>
        <item x="108"/>
        <item x="14"/>
        <item x="51"/>
        <item x="363"/>
        <item x="117"/>
        <item x="130"/>
        <item x="28"/>
        <item x="173"/>
        <item x="215"/>
        <item x="279"/>
        <item x="231"/>
        <item x="428"/>
        <item x="228"/>
        <item x="294"/>
        <item x="198"/>
        <item x="63"/>
        <item x="168"/>
        <item x="291"/>
        <item x="391"/>
        <item x="240"/>
        <item x="150"/>
        <item x="344"/>
        <item x="151"/>
        <item x="340"/>
        <item x="512"/>
        <item x="306"/>
        <item x="275"/>
        <item x="210"/>
        <item x="515"/>
        <item x="530"/>
        <item x="330"/>
        <item x="465"/>
        <item x="110"/>
        <item x="464"/>
        <item x="312"/>
        <item x="484"/>
        <item x="62"/>
        <item x="45"/>
        <item x="452"/>
        <item x="446"/>
        <item x="99"/>
        <item x="34"/>
        <item x="315"/>
        <item x="39"/>
        <item x="248"/>
        <item x="415"/>
        <item x="96"/>
        <item x="299"/>
        <item x="245"/>
        <item x="169"/>
        <item x="125"/>
        <item x="519"/>
        <item x="502"/>
        <item x="84"/>
        <item x="137"/>
        <item x="119"/>
        <item x="390"/>
        <item x="11"/>
        <item x="64"/>
        <item x="528"/>
        <item x="317"/>
        <item t="default"/>
      </items>
    </pivotField>
    <pivotField compact="0" showAll="0">
      <items count="411">
        <item x="277"/>
        <item x="232"/>
        <item x="320"/>
        <item x="269"/>
        <item x="286"/>
        <item x="360"/>
        <item x="406"/>
        <item x="215"/>
        <item x="398"/>
        <item x="315"/>
        <item x="181"/>
        <item x="72"/>
        <item x="223"/>
        <item x="234"/>
        <item x="90"/>
        <item x="267"/>
        <item x="322"/>
        <item x="388"/>
        <item x="138"/>
        <item x="164"/>
        <item x="333"/>
        <item x="309"/>
        <item x="218"/>
        <item x="8"/>
        <item x="287"/>
        <item x="371"/>
        <item x="235"/>
        <item x="279"/>
        <item x="106"/>
        <item x="270"/>
        <item x="159"/>
        <item x="3"/>
        <item x="345"/>
        <item x="261"/>
        <item x="169"/>
        <item x="307"/>
        <item x="290"/>
        <item x="268"/>
        <item x="260"/>
        <item x="384"/>
        <item x="136"/>
        <item x="192"/>
        <item x="149"/>
        <item x="93"/>
        <item x="407"/>
        <item x="79"/>
        <item x="233"/>
        <item x="128"/>
        <item x="55"/>
        <item x="86"/>
        <item x="9"/>
        <item x="399"/>
        <item x="78"/>
        <item x="340"/>
        <item x="171"/>
        <item x="103"/>
        <item x="80"/>
        <item x="328"/>
        <item x="111"/>
        <item x="59"/>
        <item x="158"/>
        <item x="358"/>
        <item x="146"/>
        <item x="127"/>
        <item x="191"/>
        <item x="273"/>
        <item x="36"/>
        <item x="303"/>
        <item x="22"/>
        <item x="68"/>
        <item x="194"/>
        <item x="301"/>
        <item x="130"/>
        <item x="187"/>
        <item x="7"/>
        <item x="84"/>
        <item x="156"/>
        <item x="35"/>
        <item x="266"/>
        <item x="29"/>
        <item x="337"/>
        <item x="325"/>
        <item x="174"/>
        <item x="163"/>
        <item x="58"/>
        <item x="129"/>
        <item x="282"/>
        <item x="125"/>
        <item x="98"/>
        <item x="184"/>
        <item x="43"/>
        <item x="302"/>
        <item x="285"/>
        <item x="97"/>
        <item x="102"/>
        <item x="56"/>
        <item x="366"/>
        <item x="199"/>
        <item x="305"/>
        <item x="204"/>
        <item x="262"/>
        <item x="368"/>
        <item x="57"/>
        <item x="265"/>
        <item x="347"/>
        <item x="24"/>
        <item x="334"/>
        <item x="33"/>
        <item x="381"/>
        <item x="152"/>
        <item x="28"/>
        <item x="124"/>
        <item x="263"/>
        <item x="293"/>
        <item x="390"/>
        <item x="71"/>
        <item x="352"/>
        <item x="70"/>
        <item x="387"/>
        <item x="409"/>
        <item x="385"/>
        <item x="382"/>
        <item x="137"/>
        <item x="153"/>
        <item x="386"/>
        <item x="230"/>
        <item x="380"/>
        <item x="353"/>
        <item x="117"/>
        <item x="374"/>
        <item x="101"/>
        <item x="291"/>
        <item x="252"/>
        <item x="375"/>
        <item x="284"/>
        <item x="135"/>
        <item x="37"/>
        <item x="67"/>
        <item x="229"/>
        <item x="14"/>
        <item x="227"/>
        <item x="402"/>
        <item x="357"/>
        <item x="404"/>
        <item x="12"/>
        <item x="120"/>
        <item x="292"/>
        <item x="242"/>
        <item x="348"/>
        <item x="330"/>
        <item x="2"/>
        <item x="88"/>
        <item x="313"/>
        <item x="52"/>
        <item x="324"/>
        <item x="372"/>
        <item x="89"/>
        <item x="121"/>
        <item x="376"/>
        <item x="209"/>
        <item x="113"/>
        <item x="50"/>
        <item x="219"/>
        <item x="312"/>
        <item x="82"/>
        <item x="6"/>
        <item x="27"/>
        <item x="154"/>
        <item x="109"/>
        <item x="239"/>
        <item x="155"/>
        <item x="214"/>
        <item x="364"/>
        <item x="295"/>
        <item x="350"/>
        <item x="83"/>
        <item x="217"/>
        <item x="139"/>
        <item x="379"/>
        <item x="100"/>
        <item x="207"/>
        <item x="17"/>
        <item x="75"/>
        <item x="319"/>
        <item x="383"/>
        <item x="13"/>
        <item x="327"/>
        <item x="115"/>
        <item x="403"/>
        <item x="391"/>
        <item x="271"/>
        <item x="317"/>
        <item x="346"/>
        <item x="311"/>
        <item x="21"/>
        <item x="299"/>
        <item x="69"/>
        <item x="196"/>
        <item x="231"/>
        <item x="396"/>
        <item x="253"/>
        <item x="178"/>
        <item x="41"/>
        <item x="281"/>
        <item x="143"/>
        <item x="342"/>
        <item x="397"/>
        <item x="167"/>
        <item x="173"/>
        <item x="183"/>
        <item x="131"/>
        <item x="134"/>
        <item x="236"/>
        <item x="195"/>
        <item x="74"/>
        <item x="288"/>
        <item x="244"/>
        <item x="206"/>
        <item x="316"/>
        <item x="211"/>
        <item x="198"/>
        <item x="30"/>
        <item x="112"/>
        <item x="224"/>
        <item x="1"/>
        <item x="26"/>
        <item x="351"/>
        <item x="23"/>
        <item x="190"/>
        <item x="274"/>
        <item x="212"/>
        <item x="188"/>
        <item x="216"/>
        <item x="87"/>
        <item x="19"/>
        <item x="310"/>
        <item x="197"/>
        <item x="405"/>
        <item x="408"/>
        <item x="243"/>
        <item x="298"/>
        <item x="250"/>
        <item x="370"/>
        <item x="278"/>
        <item x="48"/>
        <item x="133"/>
        <item x="142"/>
        <item x="323"/>
        <item x="64"/>
        <item x="47"/>
        <item x="162"/>
        <item x="369"/>
        <item x="108"/>
        <item x="126"/>
        <item x="306"/>
        <item x="42"/>
        <item x="31"/>
        <item x="251"/>
        <item x="182"/>
        <item x="150"/>
        <item x="321"/>
        <item x="339"/>
        <item x="63"/>
        <item x="201"/>
        <item x="147"/>
        <item x="332"/>
        <item x="248"/>
        <item x="189"/>
        <item x="99"/>
        <item x="54"/>
        <item x="254"/>
        <item x="61"/>
        <item x="77"/>
        <item x="0"/>
        <item x="338"/>
        <item x="373"/>
        <item x="76"/>
        <item x="258"/>
        <item x="73"/>
        <item x="393"/>
        <item x="85"/>
        <item x="49"/>
        <item x="275"/>
        <item x="5"/>
        <item x="16"/>
        <item x="10"/>
        <item x="107"/>
        <item x="25"/>
        <item x="180"/>
        <item x="272"/>
        <item x="186"/>
        <item x="122"/>
        <item x="314"/>
        <item x="363"/>
        <item x="392"/>
        <item x="176"/>
        <item x="276"/>
        <item x="203"/>
        <item x="205"/>
        <item x="289"/>
        <item x="62"/>
        <item x="297"/>
        <item x="168"/>
        <item x="144"/>
        <item x="294"/>
        <item x="257"/>
        <item x="177"/>
        <item x="185"/>
        <item x="355"/>
        <item x="104"/>
        <item x="359"/>
        <item x="318"/>
        <item x="349"/>
        <item x="4"/>
        <item x="81"/>
        <item x="300"/>
        <item x="304"/>
        <item x="356"/>
        <item x="240"/>
        <item x="401"/>
        <item x="367"/>
        <item x="394"/>
        <item x="39"/>
        <item x="148"/>
        <item x="95"/>
        <item x="110"/>
        <item x="255"/>
        <item x="193"/>
        <item x="140"/>
        <item x="114"/>
        <item x="46"/>
        <item x="249"/>
        <item x="308"/>
        <item x="92"/>
        <item x="335"/>
        <item x="222"/>
        <item x="160"/>
        <item x="91"/>
        <item x="141"/>
        <item x="362"/>
        <item x="11"/>
        <item x="228"/>
        <item x="246"/>
        <item x="283"/>
        <item x="245"/>
        <item x="378"/>
        <item x="238"/>
        <item x="170"/>
        <item x="326"/>
        <item x="151"/>
        <item x="264"/>
        <item x="213"/>
        <item x="395"/>
        <item x="210"/>
        <item x="18"/>
        <item x="220"/>
        <item x="32"/>
        <item x="175"/>
        <item x="118"/>
        <item x="65"/>
        <item x="20"/>
        <item x="296"/>
        <item x="241"/>
        <item x="145"/>
        <item x="365"/>
        <item x="400"/>
        <item x="172"/>
        <item x="280"/>
        <item x="361"/>
        <item x="389"/>
        <item x="119"/>
        <item x="336"/>
        <item x="161"/>
        <item x="15"/>
        <item x="179"/>
        <item x="208"/>
        <item x="40"/>
        <item x="341"/>
        <item x="132"/>
        <item x="259"/>
        <item x="60"/>
        <item x="44"/>
        <item x="45"/>
        <item x="343"/>
        <item x="105"/>
        <item x="38"/>
        <item x="237"/>
        <item x="123"/>
        <item x="225"/>
        <item x="51"/>
        <item x="221"/>
        <item x="200"/>
        <item x="344"/>
        <item x="354"/>
        <item x="329"/>
        <item x="96"/>
        <item x="256"/>
        <item x="226"/>
        <item x="166"/>
        <item x="34"/>
        <item x="157"/>
        <item x="94"/>
        <item x="202"/>
        <item x="66"/>
        <item x="331"/>
        <item x="165"/>
        <item x="53"/>
        <item x="377"/>
        <item x="116"/>
        <item x="247"/>
        <item t="default"/>
      </items>
    </pivotField>
    <pivotField compact="0" showAll="0">
      <items count="439">
        <item x="297"/>
        <item x="244"/>
        <item x="288"/>
        <item x="306"/>
        <item x="385"/>
        <item x="434"/>
        <item x="224"/>
        <item x="427"/>
        <item x="336"/>
        <item x="189"/>
        <item x="70"/>
        <item x="232"/>
        <item x="247"/>
        <item x="86"/>
        <item x="284"/>
        <item x="343"/>
        <item x="139"/>
        <item x="167"/>
        <item x="352"/>
        <item x="8"/>
        <item x="227"/>
        <item x="307"/>
        <item x="396"/>
        <item x="248"/>
        <item x="104"/>
        <item x="290"/>
        <item x="161"/>
        <item x="200"/>
        <item x="3"/>
        <item x="340"/>
        <item x="365"/>
        <item x="278"/>
        <item x="175"/>
        <item x="326"/>
        <item x="287"/>
        <item x="277"/>
        <item x="406"/>
        <item x="137"/>
        <item x="151"/>
        <item x="90"/>
        <item x="338"/>
        <item x="75"/>
        <item x="245"/>
        <item x="128"/>
        <item x="55"/>
        <item x="83"/>
        <item x="9"/>
        <item x="428"/>
        <item x="74"/>
        <item x="178"/>
        <item x="359"/>
        <item x="370"/>
        <item x="101"/>
        <item x="233"/>
        <item x="76"/>
        <item x="110"/>
        <item x="160"/>
        <item x="131"/>
        <item x="59"/>
        <item x="316"/>
        <item x="148"/>
        <item x="127"/>
        <item x="197"/>
        <item x="293"/>
        <item x="323"/>
        <item x="36"/>
        <item x="21"/>
        <item x="65"/>
        <item x="199"/>
        <item x="322"/>
        <item x="130"/>
        <item x="193"/>
        <item x="390"/>
        <item x="7"/>
        <item x="81"/>
        <item x="158"/>
        <item x="34"/>
        <item x="283"/>
        <item x="80"/>
        <item x="28"/>
        <item x="367"/>
        <item x="345"/>
        <item x="355"/>
        <item x="182"/>
        <item x="166"/>
        <item x="58"/>
        <item x="129"/>
        <item x="252"/>
        <item x="302"/>
        <item x="124"/>
        <item x="96"/>
        <item x="191"/>
        <item x="43"/>
        <item x="95"/>
        <item x="100"/>
        <item x="56"/>
        <item x="392"/>
        <item x="206"/>
        <item x="325"/>
        <item x="211"/>
        <item x="394"/>
        <item x="279"/>
        <item x="57"/>
        <item x="282"/>
        <item x="368"/>
        <item x="23"/>
        <item x="353"/>
        <item x="32"/>
        <item x="402"/>
        <item x="27"/>
        <item x="123"/>
        <item x="280"/>
        <item x="311"/>
        <item x="68"/>
        <item x="69"/>
        <item x="414"/>
        <item x="363"/>
        <item x="437"/>
        <item x="409"/>
        <item x="403"/>
        <item x="138"/>
        <item x="155"/>
        <item x="314"/>
        <item x="413"/>
        <item x="242"/>
        <item x="401"/>
        <item x="376"/>
        <item x="116"/>
        <item x="99"/>
        <item x="309"/>
        <item x="269"/>
        <item x="399"/>
        <item x="136"/>
        <item x="305"/>
        <item x="216"/>
        <item x="37"/>
        <item x="64"/>
        <item x="240"/>
        <item x="400"/>
        <item x="14"/>
        <item x="238"/>
        <item x="430"/>
        <item x="118"/>
        <item x="432"/>
        <item x="12"/>
        <item x="119"/>
        <item x="310"/>
        <item x="256"/>
        <item x="349"/>
        <item x="84"/>
        <item x="334"/>
        <item x="2"/>
        <item x="52"/>
        <item x="397"/>
        <item x="164"/>
        <item x="85"/>
        <item x="217"/>
        <item x="416"/>
        <item x="112"/>
        <item x="50"/>
        <item x="78"/>
        <item x="332"/>
        <item x="6"/>
        <item x="26"/>
        <item x="382"/>
        <item x="156"/>
        <item x="253"/>
        <item x="107"/>
        <item x="157"/>
        <item x="222"/>
        <item x="234"/>
        <item x="223"/>
        <item x="301"/>
        <item x="313"/>
        <item x="374"/>
        <item x="79"/>
        <item x="190"/>
        <item x="226"/>
        <item x="140"/>
        <item x="317"/>
        <item x="98"/>
        <item x="16"/>
        <item x="214"/>
        <item x="341"/>
        <item x="405"/>
        <item x="13"/>
        <item x="347"/>
        <item x="431"/>
        <item x="113"/>
        <item x="417"/>
        <item x="291"/>
        <item x="337"/>
        <item x="366"/>
        <item x="331"/>
        <item x="20"/>
        <item x="67"/>
        <item x="320"/>
        <item x="202"/>
        <item x="298"/>
        <item x="243"/>
        <item x="426"/>
        <item x="270"/>
        <item x="187"/>
        <item x="264"/>
        <item x="300"/>
        <item x="41"/>
        <item x="361"/>
        <item x="144"/>
        <item x="229"/>
        <item x="172"/>
        <item x="180"/>
        <item x="408"/>
        <item x="132"/>
        <item x="145"/>
        <item x="135"/>
        <item x="249"/>
        <item x="72"/>
        <item x="201"/>
        <item x="315"/>
        <item x="213"/>
        <item x="308"/>
        <item x="258"/>
        <item x="388"/>
        <item x="219"/>
        <item x="204"/>
        <item x="29"/>
        <item x="181"/>
        <item x="103"/>
        <item x="419"/>
        <item x="111"/>
        <item x="183"/>
        <item x="35"/>
        <item x="1"/>
        <item x="25"/>
        <item x="375"/>
        <item x="372"/>
        <item x="22"/>
        <item x="196"/>
        <item x="294"/>
        <item x="220"/>
        <item x="225"/>
        <item x="194"/>
        <item x="246"/>
        <item x="18"/>
        <item x="330"/>
        <item x="203"/>
        <item x="433"/>
        <item x="435"/>
        <item x="423"/>
        <item x="257"/>
        <item x="319"/>
        <item x="395"/>
        <item x="267"/>
        <item x="134"/>
        <item x="48"/>
        <item x="143"/>
        <item x="383"/>
        <item x="344"/>
        <item x="62"/>
        <item x="411"/>
        <item x="165"/>
        <item x="47"/>
        <item x="250"/>
        <item x="126"/>
        <item x="106"/>
        <item x="268"/>
        <item x="369"/>
        <item x="42"/>
        <item x="30"/>
        <item x="152"/>
        <item x="342"/>
        <item x="358"/>
        <item x="389"/>
        <item x="61"/>
        <item x="149"/>
        <item x="208"/>
        <item x="351"/>
        <item x="154"/>
        <item x="97"/>
        <item x="195"/>
        <item x="121"/>
        <item x="271"/>
        <item x="237"/>
        <item x="281"/>
        <item x="333"/>
        <item x="54"/>
        <item x="0"/>
        <item x="357"/>
        <item x="398"/>
        <item x="73"/>
        <item x="407"/>
        <item x="71"/>
        <item x="422"/>
        <item x="82"/>
        <item x="49"/>
        <item x="296"/>
        <item x="66"/>
        <item x="5"/>
        <item x="436"/>
        <item x="10"/>
        <item x="105"/>
        <item x="265"/>
        <item x="24"/>
        <item x="292"/>
        <item x="120"/>
        <item x="259"/>
        <item x="335"/>
        <item x="387"/>
        <item x="185"/>
        <item x="418"/>
        <item x="212"/>
        <item x="210"/>
        <item x="60"/>
        <item x="318"/>
        <item x="174"/>
        <item x="146"/>
        <item x="420"/>
        <item x="312"/>
        <item x="275"/>
        <item x="186"/>
        <item x="192"/>
        <item x="377"/>
        <item x="384"/>
        <item x="102"/>
        <item x="339"/>
        <item x="125"/>
        <item x="4"/>
        <item x="321"/>
        <item x="77"/>
        <item x="324"/>
        <item x="380"/>
        <item x="254"/>
        <item x="286"/>
        <item x="393"/>
        <item x="39"/>
        <item x="424"/>
        <item x="150"/>
        <item x="92"/>
        <item x="272"/>
        <item x="109"/>
        <item x="198"/>
        <item x="261"/>
        <item x="141"/>
        <item x="46"/>
        <item x="329"/>
        <item x="273"/>
        <item x="266"/>
        <item x="356"/>
        <item x="327"/>
        <item x="171"/>
        <item x="89"/>
        <item x="354"/>
        <item x="231"/>
        <item x="162"/>
        <item x="142"/>
        <item x="88"/>
        <item x="386"/>
        <item x="11"/>
        <item x="262"/>
        <item x="239"/>
        <item x="303"/>
        <item x="260"/>
        <item x="176"/>
        <item x="328"/>
        <item x="346"/>
        <item x="153"/>
        <item x="425"/>
        <item x="371"/>
        <item x="285"/>
        <item x="221"/>
        <item x="218"/>
        <item x="230"/>
        <item x="17"/>
        <item x="31"/>
        <item x="184"/>
        <item x="295"/>
        <item x="304"/>
        <item x="19"/>
        <item x="255"/>
        <item x="289"/>
        <item x="147"/>
        <item x="429"/>
        <item x="391"/>
        <item x="299"/>
        <item x="179"/>
        <item x="412"/>
        <item x="415"/>
        <item x="117"/>
        <item x="163"/>
        <item x="15"/>
        <item x="188"/>
        <item x="215"/>
        <item x="360"/>
        <item x="40"/>
        <item x="276"/>
        <item x="133"/>
        <item x="373"/>
        <item x="170"/>
        <item x="173"/>
        <item x="45"/>
        <item x="44"/>
        <item x="87"/>
        <item x="205"/>
        <item x="38"/>
        <item x="251"/>
        <item x="381"/>
        <item x="410"/>
        <item x="228"/>
        <item x="122"/>
        <item x="421"/>
        <item x="177"/>
        <item x="207"/>
        <item x="51"/>
        <item x="364"/>
        <item x="348"/>
        <item x="108"/>
        <item x="379"/>
        <item x="241"/>
        <item x="94"/>
        <item x="274"/>
        <item x="235"/>
        <item x="33"/>
        <item x="169"/>
        <item x="114"/>
        <item x="93"/>
        <item x="159"/>
        <item x="404"/>
        <item x="91"/>
        <item x="350"/>
        <item x="209"/>
        <item x="63"/>
        <item x="168"/>
        <item x="53"/>
        <item x="378"/>
        <item x="115"/>
        <item x="362"/>
        <item x="236"/>
        <item x="263"/>
        <item t="default"/>
      </items>
    </pivotField>
    <pivotField compact="0" showAll="0">
      <items count="5">
        <item x="2"/>
        <item x="3"/>
        <item x="0"/>
        <item x="1"/>
        <item t="default"/>
      </items>
    </pivotField>
    <pivotField compact="0" showAll="0">
      <items count="398">
        <item x="211"/>
        <item x="4"/>
        <item x="144"/>
        <item x="376"/>
        <item x="269"/>
        <item x="141"/>
        <item x="57"/>
        <item x="314"/>
        <item x="8"/>
        <item x="369"/>
        <item x="122"/>
        <item x="132"/>
        <item x="165"/>
        <item x="326"/>
        <item x="151"/>
        <item x="340"/>
        <item x="124"/>
        <item x="117"/>
        <item x="321"/>
        <item x="295"/>
        <item x="219"/>
        <item x="195"/>
        <item x="87"/>
        <item x="275"/>
        <item x="153"/>
        <item x="239"/>
        <item x="255"/>
        <item x="382"/>
        <item x="216"/>
        <item x="127"/>
        <item x="238"/>
        <item x="155"/>
        <item x="357"/>
        <item x="247"/>
        <item x="121"/>
        <item x="179"/>
        <item x="217"/>
        <item x="214"/>
        <item x="205"/>
        <item x="232"/>
        <item x="336"/>
        <item x="292"/>
        <item x="3"/>
        <item x="318"/>
        <item x="78"/>
        <item x="312"/>
        <item x="298"/>
        <item x="272"/>
        <item x="202"/>
        <item x="162"/>
        <item x="130"/>
        <item x="29"/>
        <item x="94"/>
        <item x="354"/>
        <item x="388"/>
        <item x="296"/>
        <item x="308"/>
        <item x="244"/>
        <item x="119"/>
        <item x="222"/>
        <item x="90"/>
        <item x="118"/>
        <item x="230"/>
        <item x="254"/>
        <item x="142"/>
        <item x="113"/>
        <item x="303"/>
        <item x="263"/>
        <item x="344"/>
        <item x="0"/>
        <item x="170"/>
        <item x="237"/>
        <item x="278"/>
        <item x="242"/>
        <item x="316"/>
        <item x="52"/>
        <item x="200"/>
        <item x="320"/>
        <item x="291"/>
        <item x="128"/>
        <item x="257"/>
        <item x="229"/>
        <item x="79"/>
        <item x="294"/>
        <item x="37"/>
        <item x="51"/>
        <item x="194"/>
        <item x="72"/>
        <item x="106"/>
        <item x="203"/>
        <item x="140"/>
        <item x="383"/>
        <item x="290"/>
        <item x="368"/>
        <item x="249"/>
        <item x="137"/>
        <item x="264"/>
        <item x="213"/>
        <item x="54"/>
        <item x="83"/>
        <item x="158"/>
        <item x="297"/>
        <item x="351"/>
        <item x="111"/>
        <item x="114"/>
        <item x="35"/>
        <item x="157"/>
        <item x="24"/>
        <item x="317"/>
        <item x="273"/>
        <item x="112"/>
        <item x="284"/>
        <item x="103"/>
        <item x="1"/>
        <item x="231"/>
        <item x="108"/>
        <item x="61"/>
        <item x="105"/>
        <item x="182"/>
        <item x="225"/>
        <item x="12"/>
        <item x="387"/>
        <item x="378"/>
        <item x="283"/>
        <item x="13"/>
        <item x="258"/>
        <item x="330"/>
        <item x="75"/>
        <item x="191"/>
        <item x="313"/>
        <item x="212"/>
        <item x="45"/>
        <item x="301"/>
        <item x="20"/>
        <item x="135"/>
        <item x="92"/>
        <item x="86"/>
        <item x="248"/>
        <item x="224"/>
        <item x="389"/>
        <item x="315"/>
        <item x="334"/>
        <item x="241"/>
        <item x="55"/>
        <item x="395"/>
        <item x="16"/>
        <item x="348"/>
        <item x="136"/>
        <item x="306"/>
        <item x="39"/>
        <item x="323"/>
        <item x="265"/>
        <item x="218"/>
        <item x="150"/>
        <item x="47"/>
        <item x="66"/>
        <item x="96"/>
        <item x="332"/>
        <item x="31"/>
        <item x="6"/>
        <item x="367"/>
        <item x="304"/>
        <item x="393"/>
        <item x="5"/>
        <item x="350"/>
        <item x="80"/>
        <item x="102"/>
        <item x="209"/>
        <item x="36"/>
        <item x="63"/>
        <item x="148"/>
        <item x="251"/>
        <item x="188"/>
        <item x="32"/>
        <item x="68"/>
        <item x="282"/>
        <item x="226"/>
        <item x="223"/>
        <item x="161"/>
        <item x="189"/>
        <item x="371"/>
        <item x="101"/>
        <item x="98"/>
        <item x="370"/>
        <item x="342"/>
        <item x="380"/>
        <item x="271"/>
        <item x="82"/>
        <item x="300"/>
        <item x="311"/>
        <item x="145"/>
        <item x="252"/>
        <item x="139"/>
        <item x="49"/>
        <item x="25"/>
        <item x="341"/>
        <item x="123"/>
        <item x="270"/>
        <item x="187"/>
        <item x="335"/>
        <item x="329"/>
        <item x="40"/>
        <item x="365"/>
        <item x="185"/>
        <item x="208"/>
        <item x="41"/>
        <item x="10"/>
        <item x="33"/>
        <item x="346"/>
        <item x="110"/>
        <item x="169"/>
        <item x="30"/>
        <item x="44"/>
        <item x="347"/>
        <item x="168"/>
        <item x="175"/>
        <item x="120"/>
        <item x="126"/>
        <item x="107"/>
        <item x="366"/>
        <item x="392"/>
        <item x="27"/>
        <item x="147"/>
        <item x="156"/>
        <item x="48"/>
        <item x="62"/>
        <item x="18"/>
        <item x="95"/>
        <item x="97"/>
        <item x="166"/>
        <item x="23"/>
        <item x="293"/>
        <item x="109"/>
        <item x="328"/>
        <item x="215"/>
        <item x="221"/>
        <item x="235"/>
        <item x="322"/>
        <item x="60"/>
        <item x="201"/>
        <item x="299"/>
        <item x="352"/>
        <item x="15"/>
        <item x="377"/>
        <item x="93"/>
        <item x="204"/>
        <item x="266"/>
        <item x="305"/>
        <item x="198"/>
        <item x="384"/>
        <item x="250"/>
        <item x="375"/>
        <item x="67"/>
        <item x="396"/>
        <item x="207"/>
        <item x="186"/>
        <item x="77"/>
        <item x="149"/>
        <item x="177"/>
        <item x="394"/>
        <item x="152"/>
        <item x="373"/>
        <item x="246"/>
        <item x="88"/>
        <item x="172"/>
        <item x="280"/>
        <item x="333"/>
        <item x="234"/>
        <item x="99"/>
        <item x="363"/>
        <item x="192"/>
        <item x="160"/>
        <item x="360"/>
        <item x="199"/>
        <item x="89"/>
        <item x="240"/>
        <item x="173"/>
        <item x="243"/>
        <item x="159"/>
        <item x="71"/>
        <item x="134"/>
        <item x="268"/>
        <item x="73"/>
        <item x="379"/>
        <item x="125"/>
        <item x="21"/>
        <item x="220"/>
        <item x="50"/>
        <item x="287"/>
        <item x="171"/>
        <item x="331"/>
        <item x="58"/>
        <item x="310"/>
        <item x="38"/>
        <item x="206"/>
        <item x="307"/>
        <item x="324"/>
        <item x="7"/>
        <item x="327"/>
        <item x="43"/>
        <item x="138"/>
        <item x="22"/>
        <item x="178"/>
        <item x="285"/>
        <item x="381"/>
        <item x="28"/>
        <item x="391"/>
        <item x="267"/>
        <item x="19"/>
        <item x="154"/>
        <item x="362"/>
        <item x="181"/>
        <item x="46"/>
        <item x="262"/>
        <item x="42"/>
        <item x="176"/>
        <item x="116"/>
        <item x="53"/>
        <item x="390"/>
        <item x="361"/>
        <item x="372"/>
        <item x="279"/>
        <item x="76"/>
        <item x="288"/>
        <item x="167"/>
        <item x="302"/>
        <item x="385"/>
        <item x="343"/>
        <item x="210"/>
        <item x="84"/>
        <item x="197"/>
        <item x="345"/>
        <item x="261"/>
        <item x="276"/>
        <item x="338"/>
        <item x="355"/>
        <item x="193"/>
        <item x="115"/>
        <item x="337"/>
        <item x="183"/>
        <item x="253"/>
        <item x="281"/>
        <item x="56"/>
        <item x="34"/>
        <item x="174"/>
        <item x="339"/>
        <item x="11"/>
        <item x="227"/>
        <item x="245"/>
        <item x="65"/>
        <item x="64"/>
        <item x="129"/>
        <item x="319"/>
        <item x="81"/>
        <item x="85"/>
        <item x="359"/>
        <item x="325"/>
        <item x="17"/>
        <item x="2"/>
        <item x="259"/>
        <item x="70"/>
        <item x="133"/>
        <item x="256"/>
        <item x="164"/>
        <item x="196"/>
        <item x="286"/>
        <item x="277"/>
        <item x="374"/>
        <item x="349"/>
        <item x="26"/>
        <item x="386"/>
        <item x="353"/>
        <item x="14"/>
        <item x="180"/>
        <item x="143"/>
        <item x="228"/>
        <item x="260"/>
        <item x="274"/>
        <item x="184"/>
        <item x="236"/>
        <item x="309"/>
        <item x="131"/>
        <item x="358"/>
        <item x="59"/>
        <item x="74"/>
        <item x="69"/>
        <item x="356"/>
        <item x="146"/>
        <item x="104"/>
        <item x="364"/>
        <item x="91"/>
        <item x="163"/>
        <item x="100"/>
        <item x="190"/>
        <item x="289"/>
        <item x="233"/>
        <item x="9"/>
        <item t="default"/>
      </items>
    </pivotField>
    <pivotField compact="0" showAll="0">
      <items count="398">
        <item x="382"/>
        <item x="144"/>
        <item x="340"/>
        <item x="376"/>
        <item x="216"/>
        <item x="269"/>
        <item x="57"/>
        <item x="124"/>
        <item x="117"/>
        <item x="127"/>
        <item x="238"/>
        <item x="8"/>
        <item x="155"/>
        <item x="87"/>
        <item x="211"/>
        <item x="369"/>
        <item x="153"/>
        <item x="141"/>
        <item x="4"/>
        <item x="122"/>
        <item x="239"/>
        <item x="132"/>
        <item x="357"/>
        <item x="165"/>
        <item x="247"/>
        <item x="326"/>
        <item x="321"/>
        <item x="295"/>
        <item x="255"/>
        <item x="314"/>
        <item x="151"/>
        <item x="275"/>
        <item x="219"/>
        <item x="195"/>
        <item x="121"/>
        <item x="292"/>
        <item x="162"/>
        <item x="308"/>
        <item x="78"/>
        <item x="130"/>
        <item x="296"/>
        <item x="318"/>
        <item x="217"/>
        <item x="336"/>
        <item x="272"/>
        <item x="214"/>
        <item x="202"/>
        <item x="388"/>
        <item x="179"/>
        <item x="29"/>
        <item x="205"/>
        <item x="312"/>
        <item x="3"/>
        <item x="232"/>
        <item x="94"/>
        <item x="298"/>
        <item x="354"/>
        <item x="194"/>
        <item x="303"/>
        <item x="229"/>
        <item x="263"/>
        <item x="170"/>
        <item x="90"/>
        <item x="344"/>
        <item x="79"/>
        <item x="230"/>
        <item x="237"/>
        <item x="294"/>
        <item x="244"/>
        <item x="119"/>
        <item x="278"/>
        <item x="291"/>
        <item x="200"/>
        <item x="37"/>
        <item x="254"/>
        <item x="320"/>
        <item x="0"/>
        <item x="118"/>
        <item x="142"/>
        <item x="52"/>
        <item x="242"/>
        <item x="128"/>
        <item x="113"/>
        <item x="257"/>
        <item x="316"/>
        <item x="222"/>
        <item x="51"/>
        <item x="383"/>
        <item x="297"/>
        <item x="112"/>
        <item x="351"/>
        <item x="213"/>
        <item x="24"/>
        <item x="284"/>
        <item x="1"/>
        <item x="72"/>
        <item x="54"/>
        <item x="317"/>
        <item x="106"/>
        <item x="83"/>
        <item x="273"/>
        <item x="103"/>
        <item x="203"/>
        <item x="158"/>
        <item x="368"/>
        <item x="290"/>
        <item x="111"/>
        <item x="249"/>
        <item x="157"/>
        <item x="231"/>
        <item x="108"/>
        <item x="137"/>
        <item x="61"/>
        <item x="114"/>
        <item x="140"/>
        <item x="264"/>
        <item x="35"/>
        <item x="182"/>
        <item x="330"/>
        <item x="225"/>
        <item x="45"/>
        <item x="12"/>
        <item x="283"/>
        <item x="212"/>
        <item x="387"/>
        <item x="13"/>
        <item x="75"/>
        <item x="378"/>
        <item x="301"/>
        <item x="105"/>
        <item x="191"/>
        <item x="20"/>
        <item x="313"/>
        <item x="258"/>
        <item x="135"/>
        <item x="86"/>
        <item x="224"/>
        <item x="92"/>
        <item x="248"/>
        <item x="389"/>
        <item x="395"/>
        <item x="306"/>
        <item x="39"/>
        <item x="47"/>
        <item x="16"/>
        <item x="334"/>
        <item x="241"/>
        <item x="136"/>
        <item x="265"/>
        <item x="55"/>
        <item x="348"/>
        <item x="218"/>
        <item x="315"/>
        <item x="323"/>
        <item x="150"/>
        <item x="367"/>
        <item x="6"/>
        <item x="96"/>
        <item x="66"/>
        <item x="304"/>
        <item x="31"/>
        <item x="332"/>
        <item x="393"/>
        <item x="5"/>
        <item x="161"/>
        <item x="311"/>
        <item x="49"/>
        <item x="25"/>
        <item x="123"/>
        <item x="380"/>
        <item x="209"/>
        <item x="282"/>
        <item x="271"/>
        <item x="80"/>
        <item x="226"/>
        <item x="371"/>
        <item x="370"/>
        <item x="188"/>
        <item x="223"/>
        <item x="145"/>
        <item x="187"/>
        <item x="341"/>
        <item x="270"/>
        <item x="329"/>
        <item x="82"/>
        <item x="40"/>
        <item x="300"/>
        <item x="32"/>
        <item x="342"/>
        <item x="189"/>
        <item x="252"/>
        <item x="139"/>
        <item x="365"/>
        <item x="63"/>
        <item x="101"/>
        <item x="102"/>
        <item x="185"/>
        <item x="350"/>
        <item x="98"/>
        <item x="148"/>
        <item x="36"/>
        <item x="251"/>
        <item x="68"/>
        <item x="335"/>
        <item x="366"/>
        <item x="208"/>
        <item x="346"/>
        <item x="30"/>
        <item x="41"/>
        <item x="44"/>
        <item x="347"/>
        <item x="147"/>
        <item x="168"/>
        <item x="110"/>
        <item x="126"/>
        <item x="10"/>
        <item x="33"/>
        <item x="175"/>
        <item x="107"/>
        <item x="392"/>
        <item x="169"/>
        <item x="120"/>
        <item x="27"/>
        <item x="156"/>
        <item x="97"/>
        <item x="328"/>
        <item x="48"/>
        <item x="62"/>
        <item x="23"/>
        <item x="235"/>
        <item x="18"/>
        <item x="322"/>
        <item x="60"/>
        <item x="352"/>
        <item x="293"/>
        <item x="215"/>
        <item x="221"/>
        <item x="299"/>
        <item x="95"/>
        <item x="109"/>
        <item x="166"/>
        <item x="201"/>
        <item x="93"/>
        <item x="198"/>
        <item x="333"/>
        <item x="199"/>
        <item x="394"/>
        <item x="88"/>
        <item x="373"/>
        <item x="89"/>
        <item x="280"/>
        <item x="15"/>
        <item x="204"/>
        <item x="375"/>
        <item x="67"/>
        <item x="396"/>
        <item x="250"/>
        <item x="77"/>
        <item x="186"/>
        <item x="246"/>
        <item x="363"/>
        <item x="234"/>
        <item x="266"/>
        <item x="384"/>
        <item x="149"/>
        <item x="172"/>
        <item x="99"/>
        <item x="377"/>
        <item x="192"/>
        <item x="305"/>
        <item x="207"/>
        <item x="177"/>
        <item x="160"/>
        <item x="360"/>
        <item x="152"/>
        <item x="268"/>
        <item x="243"/>
        <item x="173"/>
        <item x="159"/>
        <item x="134"/>
        <item x="71"/>
        <item x="379"/>
        <item x="125"/>
        <item x="240"/>
        <item x="73"/>
        <item x="21"/>
        <item x="220"/>
        <item x="331"/>
        <item x="43"/>
        <item x="206"/>
        <item x="310"/>
        <item x="138"/>
        <item x="22"/>
        <item x="381"/>
        <item x="38"/>
        <item x="324"/>
        <item x="28"/>
        <item x="307"/>
        <item x="50"/>
        <item x="7"/>
        <item x="287"/>
        <item x="327"/>
        <item x="171"/>
        <item x="58"/>
        <item x="178"/>
        <item x="285"/>
        <item x="391"/>
        <item x="345"/>
        <item x="267"/>
        <item x="343"/>
        <item x="181"/>
        <item x="261"/>
        <item x="46"/>
        <item x="390"/>
        <item x="302"/>
        <item x="385"/>
        <item x="262"/>
        <item x="361"/>
        <item x="210"/>
        <item x="338"/>
        <item x="372"/>
        <item x="84"/>
        <item x="355"/>
        <item x="42"/>
        <item x="288"/>
        <item x="276"/>
        <item x="197"/>
        <item x="176"/>
        <item x="279"/>
        <item x="116"/>
        <item x="167"/>
        <item x="19"/>
        <item x="76"/>
        <item x="154"/>
        <item x="362"/>
        <item x="53"/>
        <item x="64"/>
        <item x="85"/>
        <item x="325"/>
        <item x="337"/>
        <item x="11"/>
        <item x="65"/>
        <item x="183"/>
        <item x="339"/>
        <item x="319"/>
        <item x="164"/>
        <item x="359"/>
        <item x="227"/>
        <item x="349"/>
        <item x="115"/>
        <item x="253"/>
        <item x="2"/>
        <item x="277"/>
        <item x="129"/>
        <item x="174"/>
        <item x="81"/>
        <item x="259"/>
        <item x="196"/>
        <item x="70"/>
        <item x="281"/>
        <item x="17"/>
        <item x="56"/>
        <item x="256"/>
        <item x="34"/>
        <item x="374"/>
        <item x="193"/>
        <item x="133"/>
        <item x="286"/>
        <item x="245"/>
        <item x="143"/>
        <item x="69"/>
        <item x="184"/>
        <item x="26"/>
        <item x="74"/>
        <item x="236"/>
        <item x="386"/>
        <item x="353"/>
        <item x="131"/>
        <item x="260"/>
        <item x="309"/>
        <item x="358"/>
        <item x="14"/>
        <item x="274"/>
        <item x="356"/>
        <item x="180"/>
        <item x="59"/>
        <item x="228"/>
        <item x="104"/>
        <item x="91"/>
        <item x="163"/>
        <item x="146"/>
        <item x="100"/>
        <item x="364"/>
        <item x="190"/>
        <item x="289"/>
        <item x="233"/>
        <item x="9"/>
        <item t="default"/>
      </items>
    </pivotField>
    <pivotField dataField="1" compact="0" showAll="0">
      <items count="4">
        <item h="1" x="0"/>
        <item h="1" x="1"/>
        <item x="2"/>
        <item t="default"/>
      </items>
    </pivotField>
    <pivotField compact="0" showAll="0">
      <items count="2">
        <item x="0"/>
        <item t="default"/>
      </items>
    </pivotField>
    <pivotField compact="0" showAll="0">
      <items count="190">
        <item x="59"/>
        <item x="166"/>
        <item x="112"/>
        <item x="125"/>
        <item x="81"/>
        <item x="82"/>
        <item x="153"/>
        <item x="118"/>
        <item x="109"/>
        <item x="34"/>
        <item x="89"/>
        <item x="185"/>
        <item x="186"/>
        <item x="78"/>
        <item x="41"/>
        <item x="172"/>
        <item x="151"/>
        <item x="71"/>
        <item x="39"/>
        <item x="184"/>
        <item x="140"/>
        <item x="105"/>
        <item x="51"/>
        <item x="143"/>
        <item x="72"/>
        <item x="35"/>
        <item x="142"/>
        <item x="22"/>
        <item x="74"/>
        <item x="138"/>
        <item x="77"/>
        <item x="29"/>
        <item x="38"/>
        <item x="3"/>
        <item x="116"/>
        <item x="150"/>
        <item x="61"/>
        <item x="130"/>
        <item x="27"/>
        <item x="60"/>
        <item x="96"/>
        <item x="66"/>
        <item x="18"/>
        <item x="65"/>
        <item x="28"/>
        <item x="16"/>
        <item x="188"/>
        <item x="50"/>
        <item x="156"/>
        <item x="148"/>
        <item x="54"/>
        <item x="168"/>
        <item x="115"/>
        <item x="159"/>
        <item x="2"/>
        <item x="5"/>
        <item x="47"/>
        <item x="9"/>
        <item x="164"/>
        <item x="107"/>
        <item x="23"/>
        <item x="119"/>
        <item x="55"/>
        <item x="120"/>
        <item x="124"/>
        <item x="129"/>
        <item x="83"/>
        <item x="179"/>
        <item x="57"/>
        <item x="92"/>
        <item x="0"/>
        <item x="187"/>
        <item x="86"/>
        <item x="146"/>
        <item x="12"/>
        <item x="101"/>
        <item x="114"/>
        <item x="44"/>
        <item x="75"/>
        <item x="25"/>
        <item x="108"/>
        <item x="177"/>
        <item x="154"/>
        <item x="121"/>
        <item x="69"/>
        <item x="80"/>
        <item x="152"/>
        <item x="128"/>
        <item x="180"/>
        <item x="98"/>
        <item x="182"/>
        <item x="104"/>
        <item x="88"/>
        <item x="161"/>
        <item x="113"/>
        <item x="85"/>
        <item x="160"/>
        <item x="1"/>
        <item x="103"/>
        <item x="90"/>
        <item x="6"/>
        <item x="91"/>
        <item x="126"/>
        <item x="64"/>
        <item x="15"/>
        <item x="26"/>
        <item x="123"/>
        <item x="100"/>
        <item x="158"/>
        <item x="31"/>
        <item x="133"/>
        <item x="53"/>
        <item x="122"/>
        <item x="73"/>
        <item x="145"/>
        <item x="87"/>
        <item x="174"/>
        <item x="14"/>
        <item x="19"/>
        <item x="163"/>
        <item x="106"/>
        <item x="20"/>
        <item x="46"/>
        <item x="110"/>
        <item x="165"/>
        <item x="147"/>
        <item x="175"/>
        <item x="155"/>
        <item x="11"/>
        <item x="36"/>
        <item x="144"/>
        <item x="111"/>
        <item x="117"/>
        <item x="45"/>
        <item x="95"/>
        <item x="97"/>
        <item x="10"/>
        <item x="42"/>
        <item x="135"/>
        <item x="32"/>
        <item x="94"/>
        <item x="56"/>
        <item x="181"/>
        <item x="13"/>
        <item x="102"/>
        <item x="169"/>
        <item x="30"/>
        <item x="134"/>
        <item x="43"/>
        <item x="171"/>
        <item x="63"/>
        <item x="33"/>
        <item x="178"/>
        <item x="84"/>
        <item x="127"/>
        <item x="162"/>
        <item x="52"/>
        <item x="70"/>
        <item x="8"/>
        <item x="49"/>
        <item x="157"/>
        <item x="68"/>
        <item x="48"/>
        <item x="4"/>
        <item x="136"/>
        <item x="24"/>
        <item x="76"/>
        <item x="67"/>
        <item x="79"/>
        <item x="167"/>
        <item x="170"/>
        <item x="149"/>
        <item x="21"/>
        <item x="93"/>
        <item x="139"/>
        <item x="37"/>
        <item x="132"/>
        <item x="137"/>
        <item x="173"/>
        <item x="131"/>
        <item x="99"/>
        <item x="176"/>
        <item x="141"/>
        <item x="7"/>
        <item x="58"/>
        <item x="17"/>
        <item x="62"/>
        <item x="40"/>
        <item x="183"/>
        <item t="default"/>
      </items>
    </pivotField>
    <pivotField compact="0" showAll="0">
      <items count="44">
        <item x="19"/>
        <item x="16"/>
        <item x="36"/>
        <item x="1"/>
        <item x="22"/>
        <item x="29"/>
        <item x="13"/>
        <item x="40"/>
        <item x="2"/>
        <item x="32"/>
        <item x="10"/>
        <item x="14"/>
        <item x="23"/>
        <item x="0"/>
        <item x="28"/>
        <item x="42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24"/>
        <item x="26"/>
        <item x="21"/>
        <item x="9"/>
        <item x="34"/>
        <item x="20"/>
        <item x="18"/>
        <item x="5"/>
        <item x="7"/>
        <item x="41"/>
        <item x="17"/>
        <item x="4"/>
        <item x="6"/>
        <item t="default"/>
      </items>
    </pivotField>
    <pivotField compact="0" showAll="0">
      <items count="242">
        <item x="128"/>
        <item x="111"/>
        <item x="117"/>
        <item x="122"/>
        <item x="208"/>
        <item x="238"/>
        <item x="113"/>
        <item x="211"/>
        <item x="69"/>
        <item x="204"/>
        <item x="170"/>
        <item x="73"/>
        <item x="98"/>
        <item x="103"/>
        <item x="92"/>
        <item x="100"/>
        <item x="206"/>
        <item x="29"/>
        <item x="164"/>
        <item x="23"/>
        <item x="45"/>
        <item x="184"/>
        <item x="131"/>
        <item x="187"/>
        <item x="140"/>
        <item x="24"/>
        <item x="135"/>
        <item x="144"/>
        <item x="207"/>
        <item x="181"/>
        <item x="74"/>
        <item x="63"/>
        <item x="11"/>
        <item x="105"/>
        <item x="49"/>
        <item x="21"/>
        <item x="225"/>
        <item x="233"/>
        <item x="209"/>
        <item x="28"/>
        <item x="101"/>
        <item x="212"/>
        <item x="180"/>
        <item x="195"/>
        <item x="220"/>
        <item x="179"/>
        <item x="182"/>
        <item x="91"/>
        <item x="35"/>
        <item x="234"/>
        <item x="4"/>
        <item x="132"/>
        <item x="43"/>
        <item x="124"/>
        <item x="222"/>
        <item x="196"/>
        <item x="37"/>
        <item x="148"/>
        <item x="166"/>
        <item x="112"/>
        <item x="183"/>
        <item x="133"/>
        <item x="18"/>
        <item x="186"/>
        <item x="118"/>
        <item x="123"/>
        <item x="2"/>
        <item x="96"/>
        <item x="219"/>
        <item x="85"/>
        <item x="104"/>
        <item x="152"/>
        <item x="33"/>
        <item x="153"/>
        <item x="78"/>
        <item x="239"/>
        <item x="108"/>
        <item x="48"/>
        <item x="31"/>
        <item x="84"/>
        <item x="129"/>
        <item x="175"/>
        <item x="126"/>
        <item x="202"/>
        <item x="0"/>
        <item x="82"/>
        <item x="55"/>
        <item x="163"/>
        <item x="47"/>
        <item x="213"/>
        <item x="203"/>
        <item x="177"/>
        <item x="81"/>
        <item x="75"/>
        <item x="72"/>
        <item x="93"/>
        <item x="228"/>
        <item x="157"/>
        <item x="22"/>
        <item x="134"/>
        <item x="229"/>
        <item x="165"/>
        <item x="99"/>
        <item x="190"/>
        <item x="20"/>
        <item x="130"/>
        <item x="185"/>
        <item x="83"/>
        <item x="151"/>
        <item x="169"/>
        <item x="80"/>
        <item x="30"/>
        <item x="193"/>
        <item x="46"/>
        <item x="223"/>
        <item x="56"/>
        <item x="201"/>
        <item x="7"/>
        <item x="156"/>
        <item x="240"/>
        <item x="191"/>
        <item x="87"/>
        <item x="41"/>
        <item x="19"/>
        <item x="39"/>
        <item x="38"/>
        <item x="150"/>
        <item x="138"/>
        <item x="235"/>
        <item x="189"/>
        <item x="44"/>
        <item x="173"/>
        <item x="17"/>
        <item x="26"/>
        <item x="36"/>
        <item x="155"/>
        <item x="120"/>
        <item x="50"/>
        <item x="116"/>
        <item x="67"/>
        <item x="227"/>
        <item x="53"/>
        <item x="149"/>
        <item x="226"/>
        <item x="10"/>
        <item x="198"/>
        <item x="192"/>
        <item x="68"/>
        <item x="145"/>
        <item x="61"/>
        <item x="136"/>
        <item x="210"/>
        <item x="70"/>
        <item x="15"/>
        <item x="176"/>
        <item x="162"/>
        <item x="77"/>
        <item x="178"/>
        <item x="174"/>
        <item x="6"/>
        <item x="230"/>
        <item x="66"/>
        <item x="16"/>
        <item x="32"/>
        <item x="14"/>
        <item x="143"/>
        <item x="89"/>
        <item x="161"/>
        <item x="65"/>
        <item x="114"/>
        <item x="217"/>
        <item x="110"/>
        <item x="139"/>
        <item x="102"/>
        <item x="42"/>
        <item x="127"/>
        <item x="147"/>
        <item x="76"/>
        <item x="97"/>
        <item x="109"/>
        <item x="12"/>
        <item x="8"/>
        <item x="51"/>
        <item x="154"/>
        <item x="27"/>
        <item x="57"/>
        <item x="237"/>
        <item x="171"/>
        <item x="115"/>
        <item x="214"/>
        <item x="231"/>
        <item x="64"/>
        <item x="121"/>
        <item x="25"/>
        <item x="141"/>
        <item x="3"/>
        <item x="1"/>
        <item x="62"/>
        <item x="13"/>
        <item x="95"/>
        <item x="216"/>
        <item x="79"/>
        <item x="106"/>
        <item x="54"/>
        <item x="142"/>
        <item x="88"/>
        <item x="218"/>
        <item x="188"/>
        <item x="107"/>
        <item x="71"/>
        <item x="215"/>
        <item x="197"/>
        <item x="221"/>
        <item x="146"/>
        <item x="125"/>
        <item x="168"/>
        <item x="200"/>
        <item x="158"/>
        <item x="194"/>
        <item x="205"/>
        <item x="9"/>
        <item x="94"/>
        <item x="34"/>
        <item x="90"/>
        <item x="137"/>
        <item x="167"/>
        <item x="86"/>
        <item x="58"/>
        <item x="52"/>
        <item x="40"/>
        <item x="160"/>
        <item x="232"/>
        <item x="199"/>
        <item x="5"/>
        <item x="59"/>
        <item x="60"/>
        <item x="119"/>
        <item x="159"/>
        <item x="224"/>
        <item x="172"/>
        <item x="236"/>
        <item t="default"/>
      </items>
    </pivotField>
    <pivotField compact="0" showAll="0">
      <items count="5">
        <item x="2"/>
        <item x="3"/>
        <item x="0"/>
        <item x="1"/>
        <item t="default"/>
      </items>
    </pivotField>
    <pivotField compact="0" showAll="0">
      <items count="464">
        <item x="0"/>
        <item x="151"/>
        <item x="88"/>
        <item x="203"/>
        <item x="389"/>
        <item x="461"/>
        <item x="292"/>
        <item x="449"/>
        <item x="13"/>
        <item x="183"/>
        <item x="198"/>
        <item x="32"/>
        <item x="227"/>
        <item x="350"/>
        <item x="39"/>
        <item x="27"/>
        <item x="281"/>
        <item x="269"/>
        <item x="238"/>
        <item x="199"/>
        <item x="327"/>
        <item x="140"/>
        <item x="337"/>
        <item x="11"/>
        <item x="108"/>
        <item x="414"/>
        <item x="225"/>
        <item x="192"/>
        <item x="324"/>
        <item x="251"/>
        <item x="59"/>
        <item x="417"/>
        <item x="331"/>
        <item x="81"/>
        <item x="263"/>
        <item x="103"/>
        <item x="178"/>
        <item x="301"/>
        <item x="201"/>
        <item x="194"/>
        <item x="264"/>
        <item x="306"/>
        <item x="193"/>
        <item x="228"/>
        <item x="67"/>
        <item x="271"/>
        <item x="45"/>
        <item x="272"/>
        <item x="341"/>
        <item x="411"/>
        <item x="220"/>
        <item x="376"/>
        <item x="450"/>
        <item x="3"/>
        <item x="137"/>
        <item x="424"/>
        <item x="136"/>
        <item x="53"/>
        <item x="278"/>
        <item x="403"/>
        <item x="143"/>
        <item x="58"/>
        <item x="427"/>
        <item x="302"/>
        <item x="111"/>
        <item x="132"/>
        <item x="285"/>
        <item x="202"/>
        <item x="96"/>
        <item x="239"/>
        <item x="284"/>
        <item x="34"/>
        <item x="184"/>
        <item x="295"/>
        <item x="402"/>
        <item x="261"/>
        <item x="358"/>
        <item x="433"/>
        <item x="371"/>
        <item x="293"/>
        <item x="338"/>
        <item x="129"/>
        <item x="406"/>
        <item x="323"/>
        <item x="182"/>
        <item x="64"/>
        <item x="460"/>
        <item x="305"/>
        <item x="2"/>
        <item x="162"/>
        <item x="317"/>
        <item x="391"/>
        <item x="196"/>
        <item x="105"/>
        <item x="56"/>
        <item x="215"/>
        <item x="401"/>
        <item x="131"/>
        <item x="313"/>
        <item x="296"/>
        <item x="125"/>
        <item x="425"/>
        <item x="94"/>
        <item x="60"/>
        <item x="158"/>
        <item x="69"/>
        <item x="47"/>
        <item x="339"/>
        <item x="159"/>
        <item x="288"/>
        <item x="79"/>
        <item x="66"/>
        <item x="152"/>
        <item x="299"/>
        <item x="233"/>
        <item x="265"/>
        <item x="35"/>
        <item x="113"/>
        <item x="6"/>
        <item x="280"/>
        <item x="276"/>
        <item x="200"/>
        <item x="80"/>
        <item x="95"/>
        <item x="244"/>
        <item x="174"/>
        <item x="287"/>
        <item x="254"/>
        <item x="415"/>
        <item x="149"/>
        <item x="435"/>
        <item x="10"/>
        <item x="186"/>
        <item x="54"/>
        <item x="195"/>
        <item x="394"/>
        <item x="65"/>
        <item x="102"/>
        <item x="375"/>
        <item x="428"/>
        <item x="71"/>
        <item x="180"/>
        <item x="219"/>
        <item x="439"/>
        <item x="342"/>
        <item x="82"/>
        <item x="286"/>
        <item x="404"/>
        <item x="36"/>
        <item x="360"/>
        <item x="28"/>
        <item x="135"/>
        <item x="351"/>
        <item x="208"/>
        <item x="9"/>
        <item x="459"/>
        <item x="343"/>
        <item x="139"/>
        <item x="248"/>
        <item x="326"/>
        <item x="173"/>
        <item x="242"/>
        <item x="117"/>
        <item x="133"/>
        <item x="221"/>
        <item x="150"/>
        <item x="253"/>
        <item x="177"/>
        <item x="77"/>
        <item x="355"/>
        <item x="90"/>
        <item x="164"/>
        <item x="42"/>
        <item x="330"/>
        <item x="165"/>
        <item x="456"/>
        <item x="407"/>
        <item x="430"/>
        <item x="92"/>
        <item x="237"/>
        <item x="367"/>
        <item x="335"/>
        <item x="266"/>
        <item x="453"/>
        <item x="189"/>
        <item x="127"/>
        <item x="258"/>
        <item x="325"/>
        <item x="352"/>
        <item x="134"/>
        <item x="379"/>
        <item x="328"/>
        <item x="356"/>
        <item x="332"/>
        <item x="12"/>
        <item x="303"/>
        <item x="218"/>
        <item x="104"/>
        <item x="46"/>
        <item x="399"/>
        <item x="458"/>
        <item x="85"/>
        <item x="146"/>
        <item x="156"/>
        <item x="270"/>
        <item x="412"/>
        <item x="377"/>
        <item x="262"/>
        <item x="204"/>
        <item x="154"/>
        <item x="231"/>
        <item x="217"/>
        <item x="448"/>
        <item x="61"/>
        <item x="289"/>
        <item x="147"/>
        <item x="300"/>
        <item x="446"/>
        <item x="315"/>
        <item x="57"/>
        <item x="5"/>
        <item x="434"/>
        <item x="372"/>
        <item x="366"/>
        <item x="418"/>
        <item x="167"/>
        <item x="373"/>
        <item x="76"/>
        <item x="416"/>
        <item x="455"/>
        <item x="33"/>
        <item x="23"/>
        <item x="168"/>
        <item x="232"/>
        <item x="187"/>
        <item x="142"/>
        <item x="30"/>
        <item x="385"/>
        <item x="44"/>
        <item x="124"/>
        <item x="329"/>
        <item x="37"/>
        <item x="383"/>
        <item x="308"/>
        <item x="298"/>
        <item x="408"/>
        <item x="216"/>
        <item x="89"/>
        <item x="75"/>
        <item x="422"/>
        <item x="16"/>
        <item x="429"/>
        <item x="441"/>
        <item x="419"/>
        <item x="24"/>
        <item x="148"/>
        <item x="101"/>
        <item x="55"/>
        <item x="141"/>
        <item x="349"/>
        <item x="224"/>
        <item x="128"/>
        <item x="277"/>
        <item x="245"/>
        <item x="118"/>
        <item x="240"/>
        <item x="1"/>
        <item x="444"/>
        <item x="386"/>
        <item x="153"/>
        <item x="243"/>
        <item x="334"/>
        <item x="409"/>
        <item x="72"/>
        <item x="312"/>
        <item x="210"/>
        <item x="410"/>
        <item x="364"/>
        <item x="321"/>
        <item x="100"/>
        <item x="365"/>
        <item x="344"/>
        <item x="176"/>
        <item x="336"/>
        <item x="14"/>
        <item x="397"/>
        <item x="346"/>
        <item x="398"/>
        <item x="126"/>
        <item x="29"/>
        <item x="78"/>
        <item x="123"/>
        <item x="432"/>
        <item x="361"/>
        <item x="431"/>
        <item x="259"/>
        <item x="423"/>
        <item x="353"/>
        <item x="381"/>
        <item x="396"/>
        <item x="370"/>
        <item x="297"/>
        <item x="63"/>
        <item x="275"/>
        <item x="172"/>
        <item x="70"/>
        <item x="309"/>
        <item x="155"/>
        <item x="130"/>
        <item x="445"/>
        <item x="395"/>
        <item x="191"/>
        <item x="384"/>
        <item x="4"/>
        <item x="319"/>
        <item x="106"/>
        <item x="122"/>
        <item x="93"/>
        <item x="73"/>
        <item x="388"/>
        <item x="157"/>
        <item x="43"/>
        <item x="48"/>
        <item x="107"/>
        <item x="320"/>
        <item x="393"/>
        <item x="368"/>
        <item x="345"/>
        <item x="179"/>
        <item x="279"/>
        <item x="340"/>
        <item x="49"/>
        <item x="205"/>
        <item x="304"/>
        <item x="426"/>
        <item x="400"/>
        <item x="413"/>
        <item x="369"/>
        <item x="247"/>
        <item x="109"/>
        <item x="31"/>
        <item x="160"/>
        <item x="421"/>
        <item x="8"/>
        <item x="273"/>
        <item x="25"/>
        <item x="98"/>
        <item x="310"/>
        <item x="169"/>
        <item x="110"/>
        <item x="374"/>
        <item x="230"/>
        <item x="87"/>
        <item x="91"/>
        <item x="452"/>
        <item x="257"/>
        <item x="282"/>
        <item x="171"/>
        <item x="21"/>
        <item x="241"/>
        <item x="213"/>
        <item x="267"/>
        <item x="447"/>
        <item x="382"/>
        <item x="318"/>
        <item x="378"/>
        <item x="206"/>
        <item x="249"/>
        <item x="120"/>
        <item x="19"/>
        <item x="188"/>
        <item x="41"/>
        <item x="83"/>
        <item x="18"/>
        <item x="38"/>
        <item x="119"/>
        <item x="7"/>
        <item x="226"/>
        <item x="362"/>
        <item x="440"/>
        <item x="170"/>
        <item x="255"/>
        <item x="283"/>
        <item x="250"/>
        <item x="307"/>
        <item x="175"/>
        <item x="20"/>
        <item x="112"/>
        <item x="359"/>
        <item x="52"/>
        <item x="380"/>
        <item x="214"/>
        <item x="99"/>
        <item x="311"/>
        <item x="234"/>
        <item x="209"/>
        <item x="236"/>
        <item x="50"/>
        <item x="363"/>
        <item x="197"/>
        <item x="40"/>
        <item x="22"/>
        <item x="294"/>
        <item x="86"/>
        <item x="347"/>
        <item x="392"/>
        <item x="268"/>
        <item x="457"/>
        <item x="420"/>
        <item x="462"/>
        <item x="348"/>
        <item x="51"/>
        <item x="121"/>
        <item x="74"/>
        <item x="274"/>
        <item x="291"/>
        <item x="181"/>
        <item x="116"/>
        <item x="26"/>
        <item x="161"/>
        <item x="436"/>
        <item x="316"/>
        <item x="222"/>
        <item x="185"/>
        <item x="114"/>
        <item x="163"/>
        <item x="190"/>
        <item x="290"/>
        <item x="314"/>
        <item x="260"/>
        <item x="207"/>
        <item x="68"/>
        <item x="212"/>
        <item x="229"/>
        <item x="437"/>
        <item x="211"/>
        <item x="256"/>
        <item x="115"/>
        <item x="390"/>
        <item x="333"/>
        <item x="357"/>
        <item x="443"/>
        <item x="97"/>
        <item x="438"/>
        <item x="235"/>
        <item x="62"/>
        <item x="354"/>
        <item x="138"/>
        <item x="246"/>
        <item x="405"/>
        <item x="166"/>
        <item x="84"/>
        <item x="223"/>
        <item x="144"/>
        <item x="252"/>
        <item x="322"/>
        <item x="454"/>
        <item x="17"/>
        <item x="442"/>
        <item x="451"/>
        <item x="387"/>
        <item x="145"/>
        <item x="15"/>
        <item t="default"/>
      </items>
    </pivotField>
    <pivotField axis="axisRow" compact="0" showAll="0">
      <items count="4">
        <item x="0"/>
        <item x="1"/>
        <item x="2"/>
        <item t="default"/>
      </items>
    </pivotField>
    <pivotField compact="0" showAll="0">
      <items count="18">
        <item x="12"/>
        <item x="6"/>
        <item x="8"/>
        <item x="5"/>
        <item x="0"/>
        <item x="9"/>
        <item x="16"/>
        <item x="11"/>
        <item x="13"/>
        <item x="3"/>
        <item x="1"/>
        <item x="14"/>
        <item x="4"/>
        <item x="10"/>
        <item x="7"/>
        <item x="15"/>
        <item x="2"/>
        <item t="default"/>
      </items>
    </pivotField>
    <pivotField compact="0" showAll="0">
      <items count="462">
        <item x="297"/>
        <item x="16"/>
        <item x="35"/>
        <item x="284"/>
        <item x="169"/>
        <item x="277"/>
        <item x="200"/>
        <item x="45"/>
        <item x="144"/>
        <item x="81"/>
        <item x="327"/>
        <item x="397"/>
        <item x="371"/>
        <item x="266"/>
        <item x="378"/>
        <item x="414"/>
        <item x="454"/>
        <item x="170"/>
        <item x="306"/>
        <item x="255"/>
        <item x="282"/>
        <item x="79"/>
        <item x="318"/>
        <item x="352"/>
        <item x="368"/>
        <item x="121"/>
        <item x="19"/>
        <item x="348"/>
        <item x="24"/>
        <item x="128"/>
        <item x="240"/>
        <item x="245"/>
        <item x="210"/>
        <item x="193"/>
        <item x="432"/>
        <item x="180"/>
        <item x="123"/>
        <item x="380"/>
        <item x="165"/>
        <item x="258"/>
        <item x="63"/>
        <item x="379"/>
        <item x="211"/>
        <item x="58"/>
        <item x="138"/>
        <item x="145"/>
        <item x="85"/>
        <item x="89"/>
        <item x="385"/>
        <item x="243"/>
        <item x="320"/>
        <item x="363"/>
        <item x="364"/>
        <item x="442"/>
        <item x="333"/>
        <item x="101"/>
        <item x="311"/>
        <item x="73"/>
        <item x="153"/>
        <item x="30"/>
        <item x="334"/>
        <item x="61"/>
        <item x="407"/>
        <item x="288"/>
        <item x="173"/>
        <item x="48"/>
        <item x="86"/>
        <item x="237"/>
        <item x="446"/>
        <item x="119"/>
        <item x="215"/>
        <item x="338"/>
        <item x="70"/>
        <item x="152"/>
        <item x="353"/>
        <item x="313"/>
        <item x="265"/>
        <item x="423"/>
        <item x="60"/>
        <item x="399"/>
        <item x="126"/>
        <item x="178"/>
        <item x="413"/>
        <item x="78"/>
        <item x="444"/>
        <item x="91"/>
        <item x="374"/>
        <item x="150"/>
        <item x="298"/>
        <item x="350"/>
        <item x="354"/>
        <item x="139"/>
        <item x="95"/>
        <item x="131"/>
        <item x="2"/>
        <item x="177"/>
        <item x="106"/>
        <item x="291"/>
        <item x="203"/>
        <item x="0"/>
        <item x="459"/>
        <item x="387"/>
        <item x="328"/>
        <item x="190"/>
        <item x="222"/>
        <item x="324"/>
        <item x="299"/>
        <item x="204"/>
        <item x="232"/>
        <item x="262"/>
        <item x="309"/>
        <item x="304"/>
        <item x="196"/>
        <item x="316"/>
        <item x="116"/>
        <item x="246"/>
        <item x="207"/>
        <item x="332"/>
        <item x="436"/>
        <item x="217"/>
        <item x="136"/>
        <item x="23"/>
        <item x="408"/>
        <item x="184"/>
        <item x="164"/>
        <item x="289"/>
        <item x="409"/>
        <item x="375"/>
        <item x="261"/>
        <item x="300"/>
        <item x="448"/>
        <item x="92"/>
        <item x="373"/>
        <item x="400"/>
        <item x="137"/>
        <item x="186"/>
        <item x="325"/>
        <item x="359"/>
        <item x="457"/>
        <item x="140"/>
        <item x="14"/>
        <item x="205"/>
        <item x="33"/>
        <item x="273"/>
        <item x="112"/>
        <item x="272"/>
        <item x="97"/>
        <item x="458"/>
        <item x="431"/>
        <item x="18"/>
        <item x="202"/>
        <item x="422"/>
        <item x="34"/>
        <item x="3"/>
        <item x="226"/>
        <item x="41"/>
        <item x="377"/>
        <item x="340"/>
        <item x="201"/>
        <item x="132"/>
        <item x="322"/>
        <item x="234"/>
        <item x="185"/>
        <item x="114"/>
        <item x="96"/>
        <item x="233"/>
        <item x="276"/>
        <item x="337"/>
        <item x="220"/>
        <item x="135"/>
        <item x="450"/>
        <item x="47"/>
        <item x="355"/>
        <item x="376"/>
        <item x="213"/>
        <item x="5"/>
        <item x="416"/>
        <item x="111"/>
        <item x="8"/>
        <item x="419"/>
        <item x="254"/>
        <item x="381"/>
        <item x="438"/>
        <item x="44"/>
        <item x="425"/>
        <item x="134"/>
        <item x="57"/>
        <item x="314"/>
        <item x="366"/>
        <item x="105"/>
        <item x="428"/>
        <item x="187"/>
        <item x="351"/>
        <item x="302"/>
        <item x="127"/>
        <item x="331"/>
        <item x="15"/>
        <item x="194"/>
        <item x="349"/>
        <item x="225"/>
        <item x="59"/>
        <item x="11"/>
        <item x="192"/>
        <item x="198"/>
        <item x="109"/>
        <item x="104"/>
        <item x="263"/>
        <item x="62"/>
        <item x="280"/>
        <item x="27"/>
        <item x="281"/>
        <item x="21"/>
        <item x="329"/>
        <item x="315"/>
        <item x="32"/>
        <item x="159"/>
        <item x="6"/>
        <item x="25"/>
        <item x="415"/>
        <item x="323"/>
        <item x="199"/>
        <item x="238"/>
        <item x="326"/>
        <item x="183"/>
        <item x="162"/>
        <item x="56"/>
        <item x="287"/>
        <item x="257"/>
        <item x="239"/>
        <item x="129"/>
        <item x="301"/>
        <item x="65"/>
        <item x="28"/>
        <item x="54"/>
        <item x="356"/>
        <item x="252"/>
        <item x="142"/>
        <item x="293"/>
        <item x="274"/>
        <item x="22"/>
        <item x="209"/>
        <item x="189"/>
        <item x="445"/>
        <item x="321"/>
        <item x="37"/>
        <item x="286"/>
        <item x="80"/>
        <item x="181"/>
        <item x="312"/>
        <item x="347"/>
        <item x="295"/>
        <item x="365"/>
        <item x="417"/>
        <item x="75"/>
        <item x="389"/>
        <item x="188"/>
        <item x="163"/>
        <item x="115"/>
        <item x="452"/>
        <item x="235"/>
        <item x="330"/>
        <item x="357"/>
        <item x="372"/>
        <item x="122"/>
        <item x="403"/>
        <item x="50"/>
        <item x="455"/>
        <item x="310"/>
        <item x="52"/>
        <item x="40"/>
        <item x="362"/>
        <item x="437"/>
        <item x="404"/>
        <item x="271"/>
        <item x="292"/>
        <item x="53"/>
        <item x="307"/>
        <item x="250"/>
        <item x="264"/>
        <item x="283"/>
        <item x="434"/>
        <item x="390"/>
        <item x="460"/>
        <item x="358"/>
        <item x="100"/>
        <item x="197"/>
        <item x="51"/>
        <item x="396"/>
        <item x="117"/>
        <item x="341"/>
        <item x="256"/>
        <item x="223"/>
        <item x="440"/>
        <item x="290"/>
        <item x="72"/>
        <item x="253"/>
        <item x="149"/>
        <item x="10"/>
        <item x="342"/>
        <item x="392"/>
        <item x="221"/>
        <item x="285"/>
        <item x="248"/>
        <item x="433"/>
        <item x="9"/>
        <item x="66"/>
        <item x="195"/>
        <item x="133"/>
        <item x="98"/>
        <item x="166"/>
        <item x="251"/>
        <item x="39"/>
        <item x="158"/>
        <item x="412"/>
        <item x="269"/>
        <item x="141"/>
        <item x="148"/>
        <item x="102"/>
        <item x="55"/>
        <item x="447"/>
        <item x="82"/>
        <item x="229"/>
        <item x="17"/>
        <item x="439"/>
        <item x="427"/>
        <item x="384"/>
        <item x="247"/>
        <item x="88"/>
        <item x="69"/>
        <item x="418"/>
        <item x="90"/>
        <item x="435"/>
        <item x="388"/>
        <item x="124"/>
        <item x="208"/>
        <item x="231"/>
        <item x="270"/>
        <item x="36"/>
        <item x="93"/>
        <item x="260"/>
        <item x="118"/>
        <item x="346"/>
        <item x="421"/>
        <item x="317"/>
        <item x="420"/>
        <item x="13"/>
        <item x="219"/>
        <item x="125"/>
        <item x="393"/>
        <item x="113"/>
        <item x="206"/>
        <item x="120"/>
        <item x="227"/>
        <item x="38"/>
        <item x="236"/>
        <item x="87"/>
        <item x="83"/>
        <item x="103"/>
        <item x="244"/>
        <item x="67"/>
        <item x="151"/>
        <item x="1"/>
        <item x="68"/>
        <item x="305"/>
        <item x="336"/>
        <item x="29"/>
        <item x="161"/>
        <item x="175"/>
        <item x="214"/>
        <item x="367"/>
        <item x="443"/>
        <item x="71"/>
        <item x="430"/>
        <item x="94"/>
        <item x="160"/>
        <item x="212"/>
        <item x="402"/>
        <item x="76"/>
        <item x="174"/>
        <item x="361"/>
        <item x="401"/>
        <item x="224"/>
        <item x="426"/>
        <item x="230"/>
        <item x="146"/>
        <item x="216"/>
        <item x="7"/>
        <item x="171"/>
        <item x="451"/>
        <item x="31"/>
        <item x="143"/>
        <item x="294"/>
        <item x="228"/>
        <item x="370"/>
        <item x="84"/>
        <item x="241"/>
        <item x="99"/>
        <item x="267"/>
        <item x="382"/>
        <item x="303"/>
        <item x="449"/>
        <item x="249"/>
        <item x="46"/>
        <item x="279"/>
        <item x="147"/>
        <item x="168"/>
        <item x="42"/>
        <item x="49"/>
        <item x="268"/>
        <item x="20"/>
        <item x="26"/>
        <item x="218"/>
        <item x="182"/>
        <item x="406"/>
        <item x="441"/>
        <item x="12"/>
        <item x="167"/>
        <item x="156"/>
        <item x="410"/>
        <item x="383"/>
        <item x="456"/>
        <item x="453"/>
        <item x="77"/>
        <item x="154"/>
        <item x="394"/>
        <item x="110"/>
        <item x="411"/>
        <item x="360"/>
        <item x="335"/>
        <item x="398"/>
        <item x="191"/>
        <item x="176"/>
        <item x="369"/>
        <item x="74"/>
        <item x="386"/>
        <item x="155"/>
        <item x="278"/>
        <item x="64"/>
        <item x="108"/>
        <item x="157"/>
        <item x="308"/>
        <item x="4"/>
        <item x="344"/>
        <item x="259"/>
        <item x="172"/>
        <item x="391"/>
        <item x="179"/>
        <item x="275"/>
        <item x="345"/>
        <item x="43"/>
        <item x="429"/>
        <item x="343"/>
        <item x="395"/>
        <item x="424"/>
        <item x="339"/>
        <item x="296"/>
        <item x="130"/>
        <item x="319"/>
        <item x="107"/>
        <item x="242"/>
        <item x="405"/>
        <item t="default"/>
      </items>
    </pivotField>
    <pivotField compact="0" showAll="0">
      <items count="503">
        <item x="434"/>
        <item x="439"/>
        <item x="34"/>
        <item x="117"/>
        <item x="126"/>
        <item x="105"/>
        <item x="61"/>
        <item x="165"/>
        <item x="300"/>
        <item x="222"/>
        <item x="492"/>
        <item x="381"/>
        <item x="194"/>
        <item x="94"/>
        <item x="84"/>
        <item x="267"/>
        <item x="437"/>
        <item x="252"/>
        <item x="499"/>
        <item x="399"/>
        <item x="430"/>
        <item x="31"/>
        <item x="146"/>
        <item x="204"/>
        <item x="189"/>
        <item x="137"/>
        <item x="148"/>
        <item x="375"/>
        <item x="361"/>
        <item x="104"/>
        <item x="45"/>
        <item x="180"/>
        <item x="388"/>
        <item x="211"/>
        <item x="75"/>
        <item x="420"/>
        <item x="458"/>
        <item x="428"/>
        <item x="284"/>
        <item x="73"/>
        <item x="186"/>
        <item x="152"/>
        <item x="450"/>
        <item x="224"/>
        <item x="87"/>
        <item x="379"/>
        <item x="92"/>
        <item x="122"/>
        <item x="113"/>
        <item x="147"/>
        <item x="477"/>
        <item x="438"/>
        <item x="214"/>
        <item x="158"/>
        <item x="480"/>
        <item x="491"/>
        <item x="269"/>
        <item x="9"/>
        <item x="160"/>
        <item x="272"/>
        <item x="66"/>
        <item x="404"/>
        <item x="210"/>
        <item x="181"/>
        <item x="262"/>
        <item x="479"/>
        <item x="173"/>
        <item x="368"/>
        <item x="431"/>
        <item x="135"/>
        <item x="79"/>
        <item x="316"/>
        <item x="352"/>
        <item x="443"/>
        <item x="311"/>
        <item x="405"/>
        <item x="109"/>
        <item x="445"/>
        <item x="294"/>
        <item x="237"/>
        <item x="247"/>
        <item x="340"/>
        <item x="359"/>
        <item x="264"/>
        <item x="13"/>
        <item x="327"/>
        <item x="459"/>
        <item x="329"/>
        <item x="115"/>
        <item x="416"/>
        <item x="193"/>
        <item x="338"/>
        <item x="168"/>
        <item x="44"/>
        <item x="251"/>
        <item x="335"/>
        <item x="391"/>
        <item x="394"/>
        <item x="456"/>
        <item x="27"/>
        <item x="121"/>
        <item x="91"/>
        <item x="301"/>
        <item x="495"/>
        <item x="415"/>
        <item x="1"/>
        <item x="442"/>
        <item x="209"/>
        <item x="287"/>
        <item x="37"/>
        <item x="308"/>
        <item x="138"/>
        <item x="275"/>
        <item x="25"/>
        <item x="4"/>
        <item x="401"/>
        <item x="461"/>
        <item x="221"/>
        <item x="382"/>
        <item x="144"/>
        <item x="235"/>
        <item x="419"/>
        <item x="348"/>
        <item x="393"/>
        <item x="323"/>
        <item x="149"/>
        <item x="277"/>
        <item x="343"/>
        <item x="487"/>
        <item x="226"/>
        <item x="107"/>
        <item x="281"/>
        <item x="279"/>
        <item x="32"/>
        <item x="130"/>
        <item x="35"/>
        <item x="496"/>
        <item x="249"/>
        <item x="10"/>
        <item x="298"/>
        <item x="315"/>
        <item x="41"/>
        <item x="64"/>
        <item x="43"/>
        <item x="353"/>
        <item x="116"/>
        <item x="156"/>
        <item x="101"/>
        <item x="80"/>
        <item x="369"/>
        <item x="95"/>
        <item x="429"/>
        <item x="475"/>
        <item x="229"/>
        <item x="356"/>
        <item x="471"/>
        <item x="220"/>
        <item x="336"/>
        <item x="457"/>
        <item x="157"/>
        <item x="166"/>
        <item x="201"/>
        <item x="470"/>
        <item x="102"/>
        <item x="295"/>
        <item x="49"/>
        <item x="464"/>
        <item x="297"/>
        <item x="313"/>
        <item x="334"/>
        <item x="85"/>
        <item x="423"/>
        <item x="110"/>
        <item x="134"/>
        <item x="424"/>
        <item x="484"/>
        <item x="78"/>
        <item x="77"/>
        <item x="15"/>
        <item x="426"/>
        <item x="212"/>
        <item x="296"/>
        <item x="390"/>
        <item x="392"/>
        <item x="286"/>
        <item x="191"/>
        <item x="346"/>
        <item x="132"/>
        <item x="344"/>
        <item x="435"/>
        <item x="385"/>
        <item x="246"/>
        <item x="397"/>
        <item x="365"/>
        <item x="98"/>
        <item x="366"/>
        <item x="273"/>
        <item x="175"/>
        <item x="172"/>
        <item x="154"/>
        <item x="231"/>
        <item x="472"/>
        <item x="463"/>
        <item x="123"/>
        <item x="89"/>
        <item x="371"/>
        <item x="396"/>
        <item x="24"/>
        <item x="174"/>
        <item x="378"/>
        <item x="497"/>
        <item x="55"/>
        <item x="208"/>
        <item x="271"/>
        <item x="243"/>
        <item x="362"/>
        <item x="162"/>
        <item x="53"/>
        <item x="250"/>
        <item x="236"/>
        <item x="358"/>
        <item x="490"/>
        <item x="446"/>
        <item x="377"/>
        <item x="451"/>
        <item x="383"/>
        <item x="23"/>
        <item x="417"/>
        <item x="136"/>
        <item x="322"/>
        <item x="21"/>
        <item x="414"/>
        <item x="93"/>
        <item x="409"/>
        <item x="403"/>
        <item x="58"/>
        <item x="233"/>
        <item x="151"/>
        <item x="3"/>
        <item x="373"/>
        <item x="170"/>
        <item x="326"/>
        <item x="481"/>
        <item x="161"/>
        <item x="367"/>
        <item x="47"/>
        <item x="258"/>
        <item x="360"/>
        <item x="81"/>
        <item x="76"/>
        <item x="228"/>
        <item x="205"/>
        <item x="8"/>
        <item x="183"/>
        <item x="330"/>
        <item x="242"/>
        <item x="337"/>
        <item x="72"/>
        <item x="195"/>
        <item x="318"/>
        <item x="63"/>
        <item x="370"/>
        <item x="299"/>
        <item x="197"/>
        <item x="48"/>
        <item x="97"/>
        <item x="364"/>
        <item x="389"/>
        <item x="6"/>
        <item x="257"/>
        <item x="185"/>
        <item x="171"/>
        <item x="260"/>
        <item x="11"/>
        <item x="255"/>
        <item x="51"/>
        <item x="169"/>
        <item x="30"/>
        <item x="54"/>
        <item x="263"/>
        <item x="19"/>
        <item x="478"/>
        <item x="120"/>
        <item x="332"/>
        <item x="114"/>
        <item x="62"/>
        <item x="65"/>
        <item x="372"/>
        <item x="395"/>
        <item x="100"/>
        <item x="261"/>
        <item x="412"/>
        <item x="462"/>
        <item x="139"/>
        <item x="482"/>
        <item x="150"/>
        <item x="476"/>
        <item x="254"/>
        <item x="103"/>
        <item x="69"/>
        <item x="216"/>
        <item x="20"/>
        <item x="207"/>
        <item x="178"/>
        <item x="452"/>
        <item x="46"/>
        <item x="274"/>
        <item x="82"/>
        <item x="289"/>
        <item x="141"/>
        <item x="410"/>
        <item x="493"/>
        <item x="498"/>
        <item x="317"/>
        <item x="402"/>
        <item x="200"/>
        <item x="305"/>
        <item x="218"/>
        <item x="339"/>
        <item x="17"/>
        <item x="290"/>
        <item x="449"/>
        <item x="374"/>
        <item x="219"/>
        <item x="270"/>
        <item x="312"/>
        <item x="223"/>
        <item x="432"/>
        <item x="486"/>
        <item x="198"/>
        <item x="321"/>
        <item x="283"/>
        <item x="354"/>
        <item x="142"/>
        <item x="494"/>
        <item x="177"/>
        <item x="128"/>
        <item x="266"/>
        <item x="350"/>
        <item x="265"/>
        <item x="319"/>
        <item x="18"/>
        <item x="411"/>
        <item x="398"/>
        <item x="453"/>
        <item x="238"/>
        <item x="454"/>
        <item x="400"/>
        <item x="57"/>
        <item x="71"/>
        <item x="42"/>
        <item x="489"/>
        <item x="418"/>
        <item x="256"/>
        <item x="433"/>
        <item x="106"/>
        <item x="306"/>
        <item x="425"/>
        <item x="88"/>
        <item x="460"/>
        <item x="140"/>
        <item x="176"/>
        <item x="324"/>
        <item x="376"/>
        <item x="347"/>
        <item x="187"/>
        <item x="217"/>
        <item x="232"/>
        <item x="380"/>
        <item x="304"/>
        <item x="386"/>
        <item x="182"/>
        <item x="307"/>
        <item x="38"/>
        <item x="427"/>
        <item x="203"/>
        <item x="192"/>
        <item x="36"/>
        <item x="26"/>
        <item x="285"/>
        <item x="309"/>
        <item x="125"/>
        <item x="227"/>
        <item x="22"/>
        <item x="28"/>
        <item x="96"/>
        <item x="133"/>
        <item x="39"/>
        <item x="108"/>
        <item x="50"/>
        <item x="363"/>
        <item x="325"/>
        <item x="276"/>
        <item x="167"/>
        <item x="244"/>
        <item x="143"/>
        <item x="129"/>
        <item x="202"/>
        <item x="0"/>
        <item x="314"/>
        <item x="355"/>
        <item x="196"/>
        <item x="145"/>
        <item x="466"/>
        <item x="468"/>
        <item x="131"/>
        <item x="483"/>
        <item x="40"/>
        <item x="341"/>
        <item x="112"/>
        <item x="387"/>
        <item x="407"/>
        <item x="406"/>
        <item x="119"/>
        <item x="282"/>
        <item x="52"/>
        <item x="206"/>
        <item x="467"/>
        <item x="349"/>
        <item x="357"/>
        <item x="469"/>
        <item x="268"/>
        <item x="310"/>
        <item x="253"/>
        <item x="163"/>
        <item x="288"/>
        <item x="240"/>
        <item x="333"/>
        <item x="179"/>
        <item x="70"/>
        <item x="153"/>
        <item x="278"/>
        <item x="421"/>
        <item x="83"/>
        <item x="500"/>
        <item x="5"/>
        <item x="474"/>
        <item x="99"/>
        <item x="215"/>
        <item x="74"/>
        <item x="293"/>
        <item x="239"/>
        <item x="259"/>
        <item x="488"/>
        <item x="303"/>
        <item x="164"/>
        <item x="448"/>
        <item x="86"/>
        <item x="422"/>
        <item x="440"/>
        <item x="345"/>
        <item x="485"/>
        <item x="328"/>
        <item x="436"/>
        <item x="59"/>
        <item x="60"/>
        <item x="473"/>
        <item x="342"/>
        <item x="241"/>
        <item x="155"/>
        <item x="7"/>
        <item x="68"/>
        <item x="230"/>
        <item x="465"/>
        <item x="291"/>
        <item x="188"/>
        <item x="124"/>
        <item x="199"/>
        <item x="56"/>
        <item x="33"/>
        <item x="67"/>
        <item x="413"/>
        <item x="184"/>
        <item x="90"/>
        <item x="2"/>
        <item x="234"/>
        <item x="292"/>
        <item x="190"/>
        <item x="127"/>
        <item x="12"/>
        <item x="280"/>
        <item x="16"/>
        <item x="29"/>
        <item x="245"/>
        <item x="384"/>
        <item x="441"/>
        <item x="408"/>
        <item x="331"/>
        <item x="248"/>
        <item x="351"/>
        <item x="159"/>
        <item x="455"/>
        <item x="320"/>
        <item x="111"/>
        <item x="447"/>
        <item x="444"/>
        <item x="213"/>
        <item x="225"/>
        <item x="118"/>
        <item x="14"/>
        <item x="302"/>
        <item x="501"/>
        <item t="default"/>
      </items>
    </pivotField>
    <pivotField compact="0" showAll="0">
      <items count="16">
        <item x="8"/>
        <item x="0"/>
        <item x="3"/>
        <item x="6"/>
        <item x="1"/>
        <item x="4"/>
        <item x="2"/>
        <item x="7"/>
        <item x="5"/>
        <item x="11"/>
        <item x="10"/>
        <item x="12"/>
        <item x="13"/>
        <item x="9"/>
        <item x="14"/>
        <item t="default"/>
      </items>
    </pivotField>
    <pivotField compact="0" showAll="0">
      <items count="13">
        <item x="0"/>
        <item x="9"/>
        <item x="2"/>
        <item x="4"/>
        <item x="10"/>
        <item x="8"/>
        <item x="1"/>
        <item x="5"/>
        <item x="6"/>
        <item x="7"/>
        <item x="3"/>
        <item x="11"/>
        <item t="default"/>
      </items>
    </pivotField>
    <pivotField compact="0" showAll="0">
      <items count="517">
        <item x="310"/>
        <item x="14"/>
        <item x="395"/>
        <item x="119"/>
        <item x="61"/>
        <item x="2"/>
        <item x="171"/>
        <item x="210"/>
        <item x="166"/>
        <item x="83"/>
        <item x="497"/>
        <item x="434"/>
        <item x="98"/>
        <item x="132"/>
        <item x="342"/>
        <item x="97"/>
        <item x="170"/>
        <item x="249"/>
        <item x="195"/>
        <item x="136"/>
        <item x="82"/>
        <item x="6"/>
        <item x="58"/>
        <item x="33"/>
        <item x="109"/>
        <item x="207"/>
        <item x="225"/>
        <item x="488"/>
        <item x="378"/>
        <item x="204"/>
        <item x="244"/>
        <item x="149"/>
        <item x="480"/>
        <item x="496"/>
        <item x="492"/>
        <item x="284"/>
        <item x="299"/>
        <item x="39"/>
        <item x="211"/>
        <item x="394"/>
        <item x="272"/>
        <item x="337"/>
        <item x="107"/>
        <item x="348"/>
        <item x="51"/>
        <item x="206"/>
        <item x="500"/>
        <item x="355"/>
        <item x="150"/>
        <item x="175"/>
        <item x="167"/>
        <item x="268"/>
        <item x="423"/>
        <item x="28"/>
        <item x="228"/>
        <item x="279"/>
        <item x="35"/>
        <item x="305"/>
        <item x="318"/>
        <item x="287"/>
        <item x="435"/>
        <item x="108"/>
        <item x="236"/>
        <item x="501"/>
        <item x="64"/>
        <item x="84"/>
        <item x="495"/>
        <item x="336"/>
        <item x="63"/>
        <item x="60"/>
        <item x="116"/>
        <item x="212"/>
        <item x="124"/>
        <item x="308"/>
        <item x="239"/>
        <item x="416"/>
        <item x="164"/>
        <item x="159"/>
        <item x="506"/>
        <item x="118"/>
        <item x="400"/>
        <item x="493"/>
        <item x="45"/>
        <item x="197"/>
        <item x="129"/>
        <item x="513"/>
        <item x="274"/>
        <item x="95"/>
        <item x="155"/>
        <item x="34"/>
        <item x="453"/>
        <item x="62"/>
        <item x="11"/>
        <item x="447"/>
        <item x="253"/>
        <item x="390"/>
        <item x="123"/>
        <item x="172"/>
        <item x="194"/>
        <item x="222"/>
        <item x="232"/>
        <item x="230"/>
        <item x="451"/>
        <item x="338"/>
        <item x="106"/>
        <item x="148"/>
        <item x="271"/>
        <item x="154"/>
        <item x="269"/>
        <item x="93"/>
        <item x="259"/>
        <item x="386"/>
        <item x="392"/>
        <item x="77"/>
        <item x="202"/>
        <item x="85"/>
        <item x="243"/>
        <item x="265"/>
        <item x="380"/>
        <item x="151"/>
        <item x="219"/>
        <item x="443"/>
        <item x="407"/>
        <item x="485"/>
        <item x="306"/>
        <item x="31"/>
        <item x="74"/>
        <item x="105"/>
        <item x="86"/>
        <item x="371"/>
        <item x="218"/>
        <item x="140"/>
        <item x="411"/>
        <item x="303"/>
        <item x="472"/>
        <item x="433"/>
        <item x="158"/>
        <item x="200"/>
        <item x="153"/>
        <item x="509"/>
        <item x="67"/>
        <item x="241"/>
        <item x="285"/>
        <item x="464"/>
        <item x="9"/>
        <item x="428"/>
        <item x="255"/>
        <item x="439"/>
        <item x="452"/>
        <item x="276"/>
        <item x="377"/>
        <item x="76"/>
        <item x="478"/>
        <item x="188"/>
        <item x="437"/>
        <item x="80"/>
        <item x="152"/>
        <item x="187"/>
        <item x="138"/>
        <item x="505"/>
        <item x="441"/>
        <item x="324"/>
        <item x="157"/>
        <item x="510"/>
        <item x="292"/>
        <item x="446"/>
        <item x="369"/>
        <item x="379"/>
        <item x="245"/>
        <item x="417"/>
        <item x="257"/>
        <item x="214"/>
        <item x="88"/>
        <item x="180"/>
        <item x="494"/>
        <item x="491"/>
        <item x="114"/>
        <item x="146"/>
        <item x="141"/>
        <item x="179"/>
        <item x="319"/>
        <item x="201"/>
        <item x="353"/>
        <item x="90"/>
        <item x="19"/>
        <item x="127"/>
        <item x="374"/>
        <item x="128"/>
        <item x="429"/>
        <item x="316"/>
        <item x="37"/>
        <item x="13"/>
        <item x="344"/>
        <item x="335"/>
        <item x="473"/>
        <item x="368"/>
        <item x="406"/>
        <item x="361"/>
        <item x="309"/>
        <item x="122"/>
        <item x="110"/>
        <item x="156"/>
        <item x="312"/>
        <item x="444"/>
        <item x="459"/>
        <item x="457"/>
        <item x="23"/>
        <item x="267"/>
        <item x="10"/>
        <item x="413"/>
        <item x="475"/>
        <item x="330"/>
        <item x="283"/>
        <item x="393"/>
        <item x="397"/>
        <item x="302"/>
        <item x="234"/>
        <item x="484"/>
        <item x="349"/>
        <item x="229"/>
        <item x="4"/>
        <item x="456"/>
        <item x="347"/>
        <item x="101"/>
        <item x="357"/>
        <item x="403"/>
        <item x="405"/>
        <item x="466"/>
        <item x="289"/>
        <item x="254"/>
        <item x="295"/>
        <item x="27"/>
        <item x="367"/>
        <item x="44"/>
        <item x="25"/>
        <item x="331"/>
        <item x="102"/>
        <item x="217"/>
        <item x="43"/>
        <item x="133"/>
        <item x="470"/>
        <item x="92"/>
        <item x="96"/>
        <item x="41"/>
        <item x="1"/>
        <item x="343"/>
        <item x="117"/>
        <item x="323"/>
        <item x="209"/>
        <item x="215"/>
        <item x="250"/>
        <item x="365"/>
        <item x="436"/>
        <item x="173"/>
        <item x="432"/>
        <item x="402"/>
        <item x="22"/>
        <item x="334"/>
        <item x="298"/>
        <item x="384"/>
        <item x="476"/>
        <item x="144"/>
        <item x="264"/>
        <item x="304"/>
        <item x="32"/>
        <item x="169"/>
        <item x="321"/>
        <item x="471"/>
        <item x="103"/>
        <item x="223"/>
        <item x="421"/>
        <item x="352"/>
        <item x="111"/>
        <item x="177"/>
        <item x="20"/>
        <item x="65"/>
        <item x="99"/>
        <item x="79"/>
        <item x="182"/>
        <item x="333"/>
        <item x="181"/>
        <item x="81"/>
        <item x="294"/>
        <item x="362"/>
        <item x="498"/>
        <item x="162"/>
        <item x="15"/>
        <item x="8"/>
        <item x="404"/>
        <item x="345"/>
        <item x="66"/>
        <item x="237"/>
        <item x="163"/>
        <item x="489"/>
        <item x="54"/>
        <item x="442"/>
        <item x="192"/>
        <item x="160"/>
        <item x="460"/>
        <item x="199"/>
        <item x="382"/>
        <item x="50"/>
        <item x="240"/>
        <item x="94"/>
        <item x="281"/>
        <item x="419"/>
        <item x="504"/>
        <item x="137"/>
        <item x="70"/>
        <item x="427"/>
        <item x="224"/>
        <item x="7"/>
        <item x="78"/>
        <item x="477"/>
        <item x="42"/>
        <item x="251"/>
        <item x="3"/>
        <item x="372"/>
        <item x="56"/>
        <item x="313"/>
        <item x="388"/>
        <item x="190"/>
        <item x="220"/>
        <item x="410"/>
        <item x="430"/>
        <item x="203"/>
        <item x="135"/>
        <item x="252"/>
        <item x="278"/>
        <item x="277"/>
        <item x="381"/>
        <item x="18"/>
        <item x="307"/>
        <item x="258"/>
        <item x="449"/>
        <item x="375"/>
        <item x="409"/>
        <item x="396"/>
        <item x="315"/>
        <item x="486"/>
        <item x="52"/>
        <item x="364"/>
        <item x="72"/>
        <item x="273"/>
        <item x="47"/>
        <item x="24"/>
        <item x="59"/>
        <item x="301"/>
        <item x="408"/>
        <item x="389"/>
        <item x="511"/>
        <item x="422"/>
        <item x="216"/>
        <item x="326"/>
        <item x="21"/>
        <item x="69"/>
        <item x="418"/>
        <item x="465"/>
        <item x="139"/>
        <item x="178"/>
        <item x="235"/>
        <item x="329"/>
        <item x="270"/>
        <item x="143"/>
        <item x="415"/>
        <item x="115"/>
        <item x="48"/>
        <item x="49"/>
        <item x="55"/>
        <item x="89"/>
        <item x="401"/>
        <item x="350"/>
        <item x="383"/>
        <item x="145"/>
        <item x="325"/>
        <item x="370"/>
        <item x="205"/>
        <item x="314"/>
        <item x="168"/>
        <item x="176"/>
        <item x="185"/>
        <item x="104"/>
        <item x="73"/>
        <item x="490"/>
        <item x="213"/>
        <item x="339"/>
        <item x="467"/>
        <item x="512"/>
        <item x="483"/>
        <item x="174"/>
        <item x="346"/>
        <item x="113"/>
        <item x="282"/>
        <item x="445"/>
        <item x="120"/>
        <item x="341"/>
        <item x="193"/>
        <item x="165"/>
        <item x="514"/>
        <item x="40"/>
        <item x="262"/>
        <item x="358"/>
        <item x="425"/>
        <item x="121"/>
        <item x="17"/>
        <item x="30"/>
        <item x="317"/>
        <item x="208"/>
        <item x="142"/>
        <item x="183"/>
        <item x="248"/>
        <item x="186"/>
        <item x="487"/>
        <item x="463"/>
        <item x="227"/>
        <item x="231"/>
        <item x="46"/>
        <item x="391"/>
        <item x="354"/>
        <item x="246"/>
        <item x="275"/>
        <item x="499"/>
        <item x="0"/>
        <item x="412"/>
        <item x="238"/>
        <item x="507"/>
        <item x="198"/>
        <item x="286"/>
        <item x="438"/>
        <item x="100"/>
        <item x="261"/>
        <item x="297"/>
        <item x="468"/>
        <item x="260"/>
        <item x="131"/>
        <item x="503"/>
        <item x="385"/>
        <item x="387"/>
        <item x="424"/>
        <item x="75"/>
        <item x="226"/>
        <item x="414"/>
        <item x="130"/>
        <item x="26"/>
        <item x="320"/>
        <item x="266"/>
        <item x="440"/>
        <item x="291"/>
        <item x="431"/>
        <item x="36"/>
        <item x="293"/>
        <item x="189"/>
        <item x="38"/>
        <item x="363"/>
        <item x="399"/>
        <item x="184"/>
        <item x="508"/>
        <item x="398"/>
        <item x="53"/>
        <item x="359"/>
        <item x="373"/>
        <item x="454"/>
        <item x="327"/>
        <item x="263"/>
        <item x="134"/>
        <item x="147"/>
        <item x="474"/>
        <item x="482"/>
        <item x="332"/>
        <item x="360"/>
        <item x="290"/>
        <item x="280"/>
        <item x="356"/>
        <item x="376"/>
        <item x="462"/>
        <item x="126"/>
        <item x="450"/>
        <item x="502"/>
        <item x="366"/>
        <item x="71"/>
        <item x="481"/>
        <item x="322"/>
        <item x="29"/>
        <item x="91"/>
        <item x="16"/>
        <item x="300"/>
        <item x="87"/>
        <item x="455"/>
        <item x="5"/>
        <item x="479"/>
        <item x="311"/>
        <item x="57"/>
        <item x="161"/>
        <item x="296"/>
        <item x="351"/>
        <item x="247"/>
        <item x="196"/>
        <item x="125"/>
        <item x="68"/>
        <item x="191"/>
        <item x="328"/>
        <item x="12"/>
        <item x="288"/>
        <item x="242"/>
        <item x="426"/>
        <item x="256"/>
        <item x="420"/>
        <item x="221"/>
        <item x="469"/>
        <item x="340"/>
        <item x="112"/>
        <item x="448"/>
        <item x="461"/>
        <item x="458"/>
        <item x="233"/>
        <item x="515"/>
        <item t="default"/>
      </items>
    </pivotField>
    <pivotField compact="0" showAll="0">
      <items count="517">
        <item x="253"/>
        <item x="390"/>
        <item x="123"/>
        <item x="172"/>
        <item x="194"/>
        <item x="222"/>
        <item x="232"/>
        <item x="230"/>
        <item x="447"/>
        <item x="451"/>
        <item x="338"/>
        <item x="106"/>
        <item x="148"/>
        <item x="271"/>
        <item x="11"/>
        <item x="154"/>
        <item x="269"/>
        <item x="93"/>
        <item x="259"/>
        <item x="386"/>
        <item x="392"/>
        <item x="77"/>
        <item x="202"/>
        <item x="85"/>
        <item x="243"/>
        <item x="265"/>
        <item x="380"/>
        <item x="151"/>
        <item x="219"/>
        <item x="443"/>
        <item x="407"/>
        <item x="485"/>
        <item x="306"/>
        <item x="31"/>
        <item x="74"/>
        <item x="105"/>
        <item x="62"/>
        <item x="86"/>
        <item x="371"/>
        <item x="453"/>
        <item x="218"/>
        <item x="34"/>
        <item x="140"/>
        <item x="411"/>
        <item x="303"/>
        <item x="472"/>
        <item x="433"/>
        <item x="155"/>
        <item x="95"/>
        <item x="158"/>
        <item x="200"/>
        <item x="153"/>
        <item x="509"/>
        <item x="67"/>
        <item x="241"/>
        <item x="285"/>
        <item x="464"/>
        <item x="9"/>
        <item x="428"/>
        <item x="255"/>
        <item x="439"/>
        <item x="452"/>
        <item x="274"/>
        <item x="276"/>
        <item x="377"/>
        <item x="76"/>
        <item x="478"/>
        <item x="188"/>
        <item x="437"/>
        <item x="80"/>
        <item x="152"/>
        <item x="187"/>
        <item x="138"/>
        <item x="505"/>
        <item x="513"/>
        <item x="441"/>
        <item x="324"/>
        <item x="157"/>
        <item x="510"/>
        <item x="292"/>
        <item x="446"/>
        <item x="369"/>
        <item x="379"/>
        <item x="245"/>
        <item x="417"/>
        <item x="257"/>
        <item x="214"/>
        <item x="129"/>
        <item x="88"/>
        <item x="180"/>
        <item x="494"/>
        <item x="491"/>
        <item x="114"/>
        <item x="146"/>
        <item x="141"/>
        <item x="179"/>
        <item x="319"/>
        <item x="201"/>
        <item x="353"/>
        <item x="197"/>
        <item x="90"/>
        <item x="45"/>
        <item x="493"/>
        <item x="19"/>
        <item x="127"/>
        <item x="374"/>
        <item x="128"/>
        <item x="429"/>
        <item x="400"/>
        <item x="316"/>
        <item x="37"/>
        <item x="13"/>
        <item x="344"/>
        <item x="335"/>
        <item x="473"/>
        <item x="368"/>
        <item x="118"/>
        <item x="506"/>
        <item x="406"/>
        <item x="361"/>
        <item x="309"/>
        <item x="122"/>
        <item x="110"/>
        <item x="156"/>
        <item x="312"/>
        <item x="444"/>
        <item x="159"/>
        <item x="459"/>
        <item x="457"/>
        <item x="23"/>
        <item x="267"/>
        <item x="10"/>
        <item x="413"/>
        <item x="475"/>
        <item x="330"/>
        <item x="283"/>
        <item x="393"/>
        <item x="397"/>
        <item x="302"/>
        <item x="234"/>
        <item x="484"/>
        <item x="349"/>
        <item x="229"/>
        <item x="4"/>
        <item x="456"/>
        <item x="347"/>
        <item x="164"/>
        <item x="101"/>
        <item x="357"/>
        <item x="403"/>
        <item x="405"/>
        <item x="466"/>
        <item x="289"/>
        <item x="254"/>
        <item x="295"/>
        <item x="27"/>
        <item x="367"/>
        <item x="44"/>
        <item x="25"/>
        <item x="331"/>
        <item x="102"/>
        <item x="416"/>
        <item x="217"/>
        <item x="43"/>
        <item x="133"/>
        <item x="470"/>
        <item x="92"/>
        <item x="96"/>
        <item x="41"/>
        <item x="1"/>
        <item x="343"/>
        <item x="117"/>
        <item x="323"/>
        <item x="209"/>
        <item x="215"/>
        <item x="250"/>
        <item x="239"/>
        <item x="365"/>
        <item x="308"/>
        <item x="124"/>
        <item x="436"/>
        <item x="173"/>
        <item x="212"/>
        <item x="432"/>
        <item x="402"/>
        <item x="22"/>
        <item x="116"/>
        <item x="334"/>
        <item x="298"/>
        <item x="384"/>
        <item x="60"/>
        <item x="476"/>
        <item x="144"/>
        <item x="264"/>
        <item x="304"/>
        <item x="32"/>
        <item x="169"/>
        <item x="321"/>
        <item x="471"/>
        <item x="103"/>
        <item x="223"/>
        <item x="421"/>
        <item x="352"/>
        <item x="63"/>
        <item x="111"/>
        <item x="177"/>
        <item x="20"/>
        <item x="65"/>
        <item x="99"/>
        <item x="79"/>
        <item x="182"/>
        <item x="333"/>
        <item x="181"/>
        <item x="81"/>
        <item x="294"/>
        <item x="362"/>
        <item x="498"/>
        <item x="162"/>
        <item x="15"/>
        <item x="8"/>
        <item x="404"/>
        <item x="345"/>
        <item x="66"/>
        <item x="237"/>
        <item x="163"/>
        <item x="489"/>
        <item x="54"/>
        <item x="442"/>
        <item x="336"/>
        <item x="192"/>
        <item x="495"/>
        <item x="160"/>
        <item x="84"/>
        <item x="460"/>
        <item x="199"/>
        <item x="382"/>
        <item x="50"/>
        <item x="240"/>
        <item x="64"/>
        <item x="94"/>
        <item x="281"/>
        <item x="419"/>
        <item x="504"/>
        <item x="501"/>
        <item x="236"/>
        <item x="108"/>
        <item x="137"/>
        <item x="70"/>
        <item x="435"/>
        <item x="427"/>
        <item x="224"/>
        <item x="7"/>
        <item x="78"/>
        <item x="477"/>
        <item x="287"/>
        <item x="42"/>
        <item x="318"/>
        <item x="251"/>
        <item x="3"/>
        <item x="305"/>
        <item x="35"/>
        <item x="372"/>
        <item x="56"/>
        <item x="313"/>
        <item x="388"/>
        <item x="190"/>
        <item x="279"/>
        <item x="220"/>
        <item x="410"/>
        <item x="228"/>
        <item x="430"/>
        <item x="28"/>
        <item x="203"/>
        <item x="135"/>
        <item x="252"/>
        <item x="278"/>
        <item x="277"/>
        <item x="381"/>
        <item x="18"/>
        <item x="307"/>
        <item x="258"/>
        <item x="449"/>
        <item x="375"/>
        <item x="409"/>
        <item x="396"/>
        <item x="315"/>
        <item x="486"/>
        <item x="52"/>
        <item x="364"/>
        <item x="72"/>
        <item x="273"/>
        <item x="47"/>
        <item x="24"/>
        <item x="59"/>
        <item x="301"/>
        <item x="408"/>
        <item x="423"/>
        <item x="389"/>
        <item x="511"/>
        <item x="422"/>
        <item x="216"/>
        <item x="326"/>
        <item x="21"/>
        <item x="268"/>
        <item x="69"/>
        <item x="418"/>
        <item x="167"/>
        <item x="175"/>
        <item x="465"/>
        <item x="150"/>
        <item x="139"/>
        <item x="178"/>
        <item x="235"/>
        <item x="329"/>
        <item x="270"/>
        <item x="143"/>
        <item x="355"/>
        <item x="415"/>
        <item x="115"/>
        <item x="48"/>
        <item x="49"/>
        <item x="500"/>
        <item x="55"/>
        <item x="89"/>
        <item x="401"/>
        <item x="350"/>
        <item x="383"/>
        <item x="145"/>
        <item x="206"/>
        <item x="325"/>
        <item x="370"/>
        <item x="205"/>
        <item x="314"/>
        <item x="168"/>
        <item x="176"/>
        <item x="185"/>
        <item x="104"/>
        <item x="73"/>
        <item x="490"/>
        <item x="213"/>
        <item x="339"/>
        <item x="51"/>
        <item x="348"/>
        <item x="467"/>
        <item x="512"/>
        <item x="483"/>
        <item x="174"/>
        <item x="346"/>
        <item x="113"/>
        <item x="282"/>
        <item x="107"/>
        <item x="337"/>
        <item x="445"/>
        <item x="120"/>
        <item x="341"/>
        <item x="272"/>
        <item x="193"/>
        <item x="165"/>
        <item x="514"/>
        <item x="40"/>
        <item x="262"/>
        <item x="358"/>
        <item x="425"/>
        <item x="121"/>
        <item x="17"/>
        <item x="30"/>
        <item x="317"/>
        <item x="394"/>
        <item x="211"/>
        <item x="208"/>
        <item x="142"/>
        <item x="183"/>
        <item x="248"/>
        <item x="186"/>
        <item x="487"/>
        <item x="463"/>
        <item x="227"/>
        <item x="231"/>
        <item x="46"/>
        <item x="391"/>
        <item x="354"/>
        <item x="246"/>
        <item x="275"/>
        <item x="499"/>
        <item x="0"/>
        <item x="412"/>
        <item x="238"/>
        <item x="507"/>
        <item x="198"/>
        <item x="286"/>
        <item x="438"/>
        <item x="100"/>
        <item x="261"/>
        <item x="297"/>
        <item x="468"/>
        <item x="260"/>
        <item x="131"/>
        <item x="503"/>
        <item x="39"/>
        <item x="385"/>
        <item x="299"/>
        <item x="387"/>
        <item x="424"/>
        <item x="75"/>
        <item x="226"/>
        <item x="284"/>
        <item x="414"/>
        <item x="130"/>
        <item x="26"/>
        <item x="320"/>
        <item x="266"/>
        <item x="440"/>
        <item x="291"/>
        <item x="431"/>
        <item x="36"/>
        <item x="293"/>
        <item x="189"/>
        <item x="492"/>
        <item x="496"/>
        <item x="480"/>
        <item x="38"/>
        <item x="363"/>
        <item x="399"/>
        <item x="184"/>
        <item x="508"/>
        <item x="398"/>
        <item x="149"/>
        <item x="53"/>
        <item x="244"/>
        <item x="359"/>
        <item x="373"/>
        <item x="454"/>
        <item x="327"/>
        <item x="204"/>
        <item x="263"/>
        <item x="134"/>
        <item x="378"/>
        <item x="147"/>
        <item x="474"/>
        <item x="482"/>
        <item x="332"/>
        <item x="360"/>
        <item x="290"/>
        <item x="280"/>
        <item x="356"/>
        <item x="376"/>
        <item x="462"/>
        <item x="126"/>
        <item x="488"/>
        <item x="450"/>
        <item x="225"/>
        <item x="502"/>
        <item x="207"/>
        <item x="366"/>
        <item x="109"/>
        <item x="71"/>
        <item x="481"/>
        <item x="322"/>
        <item x="29"/>
        <item x="91"/>
        <item x="33"/>
        <item x="58"/>
        <item x="16"/>
        <item x="6"/>
        <item x="300"/>
        <item x="87"/>
        <item x="82"/>
        <item x="455"/>
        <item x="136"/>
        <item x="5"/>
        <item x="195"/>
        <item x="249"/>
        <item x="479"/>
        <item x="170"/>
        <item x="97"/>
        <item x="311"/>
        <item x="57"/>
        <item x="342"/>
        <item x="161"/>
        <item x="132"/>
        <item x="296"/>
        <item x="98"/>
        <item x="351"/>
        <item x="434"/>
        <item x="247"/>
        <item x="196"/>
        <item x="125"/>
        <item x="68"/>
        <item x="191"/>
        <item x="328"/>
        <item x="12"/>
        <item x="497"/>
        <item x="83"/>
        <item x="288"/>
        <item x="242"/>
        <item x="426"/>
        <item x="166"/>
        <item x="256"/>
        <item x="210"/>
        <item x="420"/>
        <item x="171"/>
        <item x="221"/>
        <item x="469"/>
        <item x="340"/>
        <item x="2"/>
        <item x="61"/>
        <item x="119"/>
        <item x="112"/>
        <item x="448"/>
        <item x="395"/>
        <item x="461"/>
        <item x="458"/>
        <item x="233"/>
        <item x="14"/>
        <item x="310"/>
        <item x="515"/>
        <item t="default"/>
      </items>
    </pivotField>
    <pivotField compact="0" showAll="0">
      <items count="506">
        <item x="442"/>
        <item x="34"/>
        <item x="436"/>
        <item x="117"/>
        <item x="126"/>
        <item x="301"/>
        <item x="495"/>
        <item x="61"/>
        <item x="94"/>
        <item x="205"/>
        <item x="268"/>
        <item x="502"/>
        <item x="190"/>
        <item x="45"/>
        <item x="161"/>
        <item x="273"/>
        <item x="390"/>
        <item x="166"/>
        <item x="105"/>
        <item x="159"/>
        <item x="169"/>
        <item x="406"/>
        <item x="440"/>
        <item x="223"/>
        <item x="383"/>
        <item x="195"/>
        <item x="84"/>
        <item x="432"/>
        <item x="31"/>
        <item x="147"/>
        <item x="482"/>
        <item x="253"/>
        <item x="363"/>
        <item x="104"/>
        <item x="401"/>
        <item x="115"/>
        <item x="422"/>
        <item x="137"/>
        <item x="149"/>
        <item x="461"/>
        <item x="377"/>
        <item x="187"/>
        <item x="490"/>
        <item x="107"/>
        <item x="453"/>
        <item x="280"/>
        <item x="225"/>
        <item x="181"/>
        <item x="92"/>
        <item x="212"/>
        <item x="75"/>
        <item x="148"/>
        <item x="430"/>
        <item x="441"/>
        <item x="215"/>
        <item x="285"/>
        <item x="73"/>
        <item x="494"/>
        <item x="270"/>
        <item x="221"/>
        <item x="153"/>
        <item x="87"/>
        <item x="381"/>
        <item x="263"/>
        <item x="122"/>
        <item x="113"/>
        <item x="174"/>
        <item x="35"/>
        <item x="370"/>
        <item x="480"/>
        <item x="79"/>
        <item x="483"/>
        <item x="312"/>
        <item x="407"/>
        <item x="237"/>
        <item x="9"/>
        <item x="238"/>
        <item x="248"/>
        <item x="66"/>
        <item x="211"/>
        <item x="265"/>
        <item x="13"/>
        <item x="182"/>
        <item x="328"/>
        <item x="462"/>
        <item x="298"/>
        <item x="331"/>
        <item x="348"/>
        <item x="418"/>
        <item x="433"/>
        <item x="135"/>
        <item x="317"/>
        <item x="354"/>
        <item x="446"/>
        <item x="369"/>
        <item x="252"/>
        <item x="81"/>
        <item x="337"/>
        <item x="109"/>
        <item x="448"/>
        <item x="295"/>
        <item x="396"/>
        <item x="121"/>
        <item x="342"/>
        <item x="302"/>
        <item x="361"/>
        <item x="498"/>
        <item x="417"/>
        <item x="445"/>
        <item x="309"/>
        <item x="138"/>
        <item x="276"/>
        <item x="194"/>
        <item x="340"/>
        <item x="4"/>
        <item x="403"/>
        <item x="464"/>
        <item x="222"/>
        <item x="384"/>
        <item x="144"/>
        <item x="44"/>
        <item x="97"/>
        <item x="236"/>
        <item x="385"/>
        <item x="393"/>
        <item x="6"/>
        <item x="459"/>
        <item x="350"/>
        <item x="27"/>
        <item x="324"/>
        <item x="91"/>
        <item x="150"/>
        <item x="278"/>
        <item x="1"/>
        <item x="210"/>
        <item x="227"/>
        <item x="288"/>
        <item x="37"/>
        <item x="25"/>
        <item x="130"/>
        <item x="499"/>
        <item x="250"/>
        <item x="299"/>
        <item x="316"/>
        <item x="101"/>
        <item x="371"/>
        <item x="421"/>
        <item x="95"/>
        <item x="395"/>
        <item x="474"/>
        <item x="345"/>
        <item x="167"/>
        <item x="282"/>
        <item x="202"/>
        <item x="473"/>
        <item x="102"/>
        <item x="296"/>
        <item x="32"/>
        <item x="467"/>
        <item x="82"/>
        <item x="10"/>
        <item x="314"/>
        <item x="85"/>
        <item x="41"/>
        <item x="64"/>
        <item x="43"/>
        <item x="355"/>
        <item x="116"/>
        <item x="425"/>
        <item x="157"/>
        <item x="110"/>
        <item x="80"/>
        <item x="426"/>
        <item x="431"/>
        <item x="478"/>
        <item x="78"/>
        <item x="230"/>
        <item x="358"/>
        <item x="338"/>
        <item x="460"/>
        <item x="158"/>
        <item x="15"/>
        <item x="481"/>
        <item x="428"/>
        <item x="49"/>
        <item x="297"/>
        <item x="336"/>
        <item x="287"/>
        <item x="192"/>
        <item x="346"/>
        <item x="485"/>
        <item x="134"/>
        <item x="487"/>
        <item x="247"/>
        <item x="98"/>
        <item x="368"/>
        <item x="77"/>
        <item x="173"/>
        <item x="155"/>
        <item x="232"/>
        <item x="466"/>
        <item x="213"/>
        <item x="123"/>
        <item x="89"/>
        <item x="373"/>
        <item x="392"/>
        <item x="175"/>
        <item x="394"/>
        <item x="55"/>
        <item x="132"/>
        <item x="244"/>
        <item x="364"/>
        <item x="438"/>
        <item x="387"/>
        <item x="360"/>
        <item x="399"/>
        <item x="367"/>
        <item x="274"/>
        <item x="176"/>
        <item x="63"/>
        <item x="419"/>
        <item x="475"/>
        <item x="323"/>
        <item x="398"/>
        <item x="24"/>
        <item x="152"/>
        <item x="375"/>
        <item x="380"/>
        <item x="500"/>
        <item x="484"/>
        <item x="209"/>
        <item x="272"/>
        <item x="47"/>
        <item x="329"/>
        <item x="163"/>
        <item x="53"/>
        <item x="251"/>
        <item x="76"/>
        <item x="493"/>
        <item x="449"/>
        <item x="229"/>
        <item x="379"/>
        <item x="454"/>
        <item x="23"/>
        <item x="136"/>
        <item x="21"/>
        <item x="416"/>
        <item x="93"/>
        <item x="243"/>
        <item x="411"/>
        <item x="405"/>
        <item x="58"/>
        <item x="57"/>
        <item x="319"/>
        <item x="234"/>
        <item x="3"/>
        <item x="146"/>
        <item x="171"/>
        <item x="11"/>
        <item x="327"/>
        <item x="162"/>
        <item x="259"/>
        <item x="48"/>
        <item x="362"/>
        <item x="391"/>
        <item x="206"/>
        <item x="8"/>
        <item x="258"/>
        <item x="184"/>
        <item x="188"/>
        <item x="332"/>
        <item x="339"/>
        <item x="72"/>
        <item x="51"/>
        <item x="196"/>
        <item x="372"/>
        <item x="170"/>
        <item x="300"/>
        <item x="198"/>
        <item x="341"/>
        <item x="62"/>
        <item x="65"/>
        <item x="366"/>
        <item x="262"/>
        <item x="412"/>
        <item x="186"/>
        <item x="172"/>
        <item x="261"/>
        <item x="151"/>
        <item x="271"/>
        <item x="256"/>
        <item x="69"/>
        <item x="30"/>
        <item x="54"/>
        <item x="264"/>
        <item x="129"/>
        <item x="20"/>
        <item x="208"/>
        <item x="455"/>
        <item x="19"/>
        <item x="141"/>
        <item x="120"/>
        <item x="334"/>
        <item x="114"/>
        <item x="318"/>
        <item x="374"/>
        <item x="397"/>
        <item x="100"/>
        <item x="414"/>
        <item x="266"/>
        <item x="465"/>
        <item x="139"/>
        <item x="17"/>
        <item x="291"/>
        <item x="479"/>
        <item x="255"/>
        <item x="452"/>
        <item x="103"/>
        <item x="217"/>
        <item x="220"/>
        <item x="179"/>
        <item x="46"/>
        <item x="275"/>
        <item x="290"/>
        <item x="496"/>
        <item x="434"/>
        <item x="203"/>
        <item x="501"/>
        <item x="404"/>
        <item x="489"/>
        <item x="199"/>
        <item x="201"/>
        <item x="322"/>
        <item x="306"/>
        <item x="219"/>
        <item x="96"/>
        <item x="133"/>
        <item x="128"/>
        <item x="218"/>
        <item x="267"/>
        <item x="376"/>
        <item x="18"/>
        <item x="413"/>
        <item x="313"/>
        <item x="142"/>
        <item x="224"/>
        <item x="71"/>
        <item x="42"/>
        <item x="108"/>
        <item x="106"/>
        <item x="284"/>
        <item x="356"/>
        <item x="497"/>
        <item x="204"/>
        <item x="178"/>
        <item x="140"/>
        <item x="352"/>
        <item x="165"/>
        <item x="320"/>
        <item x="28"/>
        <item x="400"/>
        <item x="486"/>
        <item x="456"/>
        <item x="233"/>
        <item x="239"/>
        <item x="382"/>
        <item x="305"/>
        <item x="388"/>
        <item x="457"/>
        <item x="402"/>
        <item x="183"/>
        <item x="308"/>
        <item x="492"/>
        <item x="420"/>
        <item x="257"/>
        <item x="38"/>
        <item x="435"/>
        <item x="307"/>
        <item x="197"/>
        <item x="427"/>
        <item x="145"/>
        <item x="88"/>
        <item x="463"/>
        <item x="177"/>
        <item x="325"/>
        <item x="39"/>
        <item x="378"/>
        <item x="349"/>
        <item x="193"/>
        <item x="50"/>
        <item x="277"/>
        <item x="423"/>
        <item x="168"/>
        <item x="245"/>
        <item x="143"/>
        <item x="429"/>
        <item x="164"/>
        <item x="36"/>
        <item x="26"/>
        <item x="286"/>
        <item x="310"/>
        <item x="125"/>
        <item x="335"/>
        <item x="228"/>
        <item x="22"/>
        <item x="357"/>
        <item x="469"/>
        <item x="365"/>
        <item x="131"/>
        <item x="326"/>
        <item x="343"/>
        <item x="112"/>
        <item x="477"/>
        <item x="409"/>
        <item x="408"/>
        <item x="0"/>
        <item x="119"/>
        <item x="52"/>
        <item x="83"/>
        <item x="351"/>
        <item x="315"/>
        <item x="472"/>
        <item x="269"/>
        <item x="311"/>
        <item x="254"/>
        <item x="471"/>
        <item x="40"/>
        <item x="241"/>
        <item x="180"/>
        <item x="60"/>
        <item x="154"/>
        <item x="389"/>
        <item x="5"/>
        <item x="283"/>
        <item x="207"/>
        <item x="386"/>
        <item x="470"/>
        <item x="359"/>
        <item x="99"/>
        <item x="74"/>
        <item x="260"/>
        <item x="289"/>
        <item x="491"/>
        <item x="70"/>
        <item x="279"/>
        <item x="503"/>
        <item x="424"/>
        <item x="59"/>
        <item x="347"/>
        <item x="488"/>
        <item x="216"/>
        <item x="330"/>
        <item x="294"/>
        <item x="240"/>
        <item x="304"/>
        <item x="451"/>
        <item x="292"/>
        <item x="476"/>
        <item x="86"/>
        <item x="242"/>
        <item x="443"/>
        <item x="200"/>
        <item x="2"/>
        <item x="439"/>
        <item x="231"/>
        <item x="344"/>
        <item x="156"/>
        <item x="33"/>
        <item x="7"/>
        <item x="68"/>
        <item x="415"/>
        <item x="468"/>
        <item x="191"/>
        <item x="189"/>
        <item x="90"/>
        <item x="124"/>
        <item x="56"/>
        <item x="293"/>
        <item x="127"/>
        <item x="67"/>
        <item x="185"/>
        <item x="16"/>
        <item x="29"/>
        <item x="246"/>
        <item x="444"/>
        <item x="333"/>
        <item x="235"/>
        <item x="160"/>
        <item x="12"/>
        <item x="281"/>
        <item x="353"/>
        <item x="410"/>
        <item x="249"/>
        <item x="14"/>
        <item x="458"/>
        <item x="321"/>
        <item x="118"/>
        <item x="111"/>
        <item x="214"/>
        <item x="450"/>
        <item x="447"/>
        <item x="437"/>
        <item x="226"/>
        <item x="303"/>
        <item x="504"/>
        <item t="default"/>
      </items>
    </pivotField>
    <pivotField compact="0" showAll="0">
      <items count="3">
        <item x="1"/>
        <item x="0"/>
        <item t="default"/>
      </items>
    </pivotField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Segment" fld="7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:D5" firstHeaderRow="0" firstDataRow="1" firstDataCol="1" rowPageCount="1" colPageCount="1"/>
  <pivotFields count="24">
    <pivotField compact="0" numFmtId="176" showAll="0">
      <items count="54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t="default"/>
      </items>
    </pivotField>
    <pivotField compact="0" showAll="0">
      <items count="540">
        <item x="196"/>
        <item x="534"/>
        <item x="254"/>
        <item x="75"/>
        <item x="334"/>
        <item x="421"/>
        <item x="7"/>
        <item x="29"/>
        <item x="351"/>
        <item x="358"/>
        <item x="525"/>
        <item x="396"/>
        <item x="70"/>
        <item x="140"/>
        <item x="135"/>
        <item x="327"/>
        <item x="343"/>
        <item x="183"/>
        <item x="226"/>
        <item x="328"/>
        <item x="56"/>
        <item x="463"/>
        <item x="3"/>
        <item x="175"/>
        <item x="337"/>
        <item x="477"/>
        <item x="82"/>
        <item x="143"/>
        <item x="155"/>
        <item x="90"/>
        <item x="164"/>
        <item x="524"/>
        <item x="345"/>
        <item x="400"/>
        <item x="461"/>
        <item x="222"/>
        <item x="153"/>
        <item x="332"/>
        <item x="139"/>
        <item x="277"/>
        <item x="113"/>
        <item x="509"/>
        <item x="342"/>
        <item x="441"/>
        <item x="98"/>
        <item x="225"/>
        <item x="402"/>
        <item x="417"/>
        <item x="535"/>
        <item x="377"/>
        <item x="221"/>
        <item x="276"/>
        <item x="406"/>
        <item x="438"/>
        <item x="326"/>
        <item x="37"/>
        <item x="81"/>
        <item x="94"/>
        <item x="251"/>
        <item x="383"/>
        <item x="192"/>
        <item x="9"/>
        <item x="426"/>
        <item x="217"/>
        <item x="264"/>
        <item x="22"/>
        <item x="409"/>
        <item x="404"/>
        <item x="280"/>
        <item x="379"/>
        <item x="331"/>
        <item x="224"/>
        <item x="184"/>
        <item x="261"/>
        <item x="311"/>
        <item x="369"/>
        <item x="147"/>
        <item x="318"/>
        <item x="88"/>
        <item x="486"/>
        <item x="357"/>
        <item x="470"/>
        <item x="495"/>
        <item x="145"/>
        <item x="146"/>
        <item x="361"/>
        <item x="87"/>
        <item x="8"/>
        <item x="144"/>
        <item x="392"/>
        <item x="103"/>
        <item x="372"/>
        <item x="92"/>
        <item x="244"/>
        <item x="483"/>
        <item x="12"/>
        <item x="381"/>
        <item x="490"/>
        <item x="211"/>
        <item x="57"/>
        <item x="69"/>
        <item x="439"/>
        <item x="482"/>
        <item x="354"/>
        <item x="457"/>
        <item x="256"/>
        <item x="394"/>
        <item x="356"/>
        <item x="442"/>
        <item x="24"/>
        <item x="367"/>
        <item x="17"/>
        <item x="74"/>
        <item x="322"/>
        <item x="78"/>
        <item x="450"/>
        <item x="181"/>
        <item x="174"/>
        <item x="491"/>
        <item x="371"/>
        <item x="480"/>
        <item x="73"/>
        <item x="172"/>
        <item x="481"/>
        <item x="529"/>
        <item x="498"/>
        <item x="274"/>
        <item x="154"/>
        <item x="414"/>
        <item x="53"/>
        <item x="265"/>
        <item x="170"/>
        <item x="132"/>
        <item x="131"/>
        <item x="408"/>
        <item x="93"/>
        <item x="321"/>
        <item x="272"/>
        <item x="508"/>
        <item x="489"/>
        <item x="434"/>
        <item x="229"/>
        <item x="250"/>
        <item x="349"/>
        <item x="27"/>
        <item x="86"/>
        <item x="152"/>
        <item x="287"/>
        <item x="378"/>
        <item x="325"/>
        <item x="418"/>
        <item x="138"/>
        <item x="362"/>
        <item x="233"/>
        <item x="104"/>
        <item x="307"/>
        <item x="472"/>
        <item x="249"/>
        <item x="447"/>
        <item x="44"/>
        <item x="270"/>
        <item x="38"/>
        <item x="474"/>
        <item x="216"/>
        <item x="366"/>
        <item x="364"/>
        <item x="122"/>
        <item x="127"/>
        <item x="517"/>
        <item x="468"/>
        <item x="522"/>
        <item x="238"/>
        <item x="241"/>
        <item x="459"/>
        <item x="478"/>
        <item x="503"/>
        <item x="107"/>
        <item x="507"/>
        <item x="538"/>
        <item x="492"/>
        <item x="293"/>
        <item x="106"/>
        <item x="208"/>
        <item x="220"/>
        <item x="19"/>
        <item x="501"/>
        <item x="59"/>
        <item x="218"/>
        <item x="301"/>
        <item x="89"/>
        <item x="368"/>
        <item x="424"/>
        <item x="476"/>
        <item x="448"/>
        <item x="25"/>
        <item x="31"/>
        <item x="235"/>
        <item x="182"/>
        <item x="43"/>
        <item x="496"/>
        <item x="212"/>
        <item x="475"/>
        <item x="66"/>
        <item x="348"/>
        <item x="134"/>
        <item x="124"/>
        <item x="26"/>
        <item x="133"/>
        <item x="335"/>
        <item x="497"/>
        <item x="262"/>
        <item x="398"/>
        <item x="80"/>
        <item x="76"/>
        <item x="71"/>
        <item x="338"/>
        <item x="375"/>
        <item x="204"/>
        <item x="295"/>
        <item x="411"/>
        <item x="16"/>
        <item x="21"/>
        <item x="536"/>
        <item x="30"/>
        <item x="278"/>
        <item x="460"/>
        <item x="283"/>
        <item x="13"/>
        <item x="399"/>
        <item x="308"/>
        <item x="523"/>
        <item x="121"/>
        <item x="230"/>
        <item x="494"/>
        <item x="247"/>
        <item x="36"/>
        <item x="269"/>
        <item x="199"/>
        <item x="500"/>
        <item x="55"/>
        <item x="516"/>
        <item x="159"/>
        <item x="50"/>
        <item x="161"/>
        <item x="105"/>
        <item x="431"/>
        <item x="520"/>
        <item x="303"/>
        <item x="533"/>
        <item x="405"/>
        <item x="403"/>
        <item x="171"/>
        <item x="510"/>
        <item x="374"/>
        <item x="257"/>
        <item x="252"/>
        <item x="305"/>
        <item x="10"/>
        <item x="160"/>
        <item x="1"/>
        <item x="527"/>
        <item x="445"/>
        <item x="425"/>
        <item x="350"/>
        <item x="336"/>
        <item x="136"/>
        <item x="142"/>
        <item x="449"/>
        <item x="309"/>
        <item x="469"/>
        <item x="467"/>
        <item x="65"/>
        <item x="115"/>
        <item x="116"/>
        <item x="296"/>
        <item x="201"/>
        <item x="189"/>
        <item x="48"/>
        <item x="382"/>
        <item x="440"/>
        <item x="346"/>
        <item x="0"/>
        <item x="397"/>
        <item x="219"/>
        <item x="79"/>
        <item x="114"/>
        <item x="479"/>
        <item x="165"/>
        <item x="91"/>
        <item x="359"/>
        <item x="112"/>
        <item x="407"/>
        <item x="49"/>
        <item x="72"/>
        <item x="42"/>
        <item x="537"/>
        <item x="302"/>
        <item x="5"/>
        <item x="393"/>
        <item x="282"/>
        <item x="148"/>
        <item x="77"/>
        <item x="324"/>
        <item x="316"/>
        <item x="416"/>
        <item x="437"/>
        <item x="388"/>
        <item x="206"/>
        <item x="246"/>
        <item x="227"/>
        <item x="23"/>
        <item x="521"/>
        <item x="471"/>
        <item x="260"/>
        <item x="384"/>
        <item x="176"/>
        <item x="259"/>
        <item x="456"/>
        <item x="435"/>
        <item x="179"/>
        <item x="360"/>
        <item x="166"/>
        <item x="97"/>
        <item x="373"/>
        <item x="298"/>
        <item x="67"/>
        <item x="493"/>
        <item x="395"/>
        <item x="95"/>
        <item x="15"/>
        <item x="101"/>
        <item x="333"/>
        <item x="191"/>
        <item x="313"/>
        <item x="413"/>
        <item x="518"/>
        <item x="258"/>
        <item x="242"/>
        <item x="444"/>
        <item x="4"/>
        <item x="32"/>
        <item x="323"/>
        <item x="410"/>
        <item x="419"/>
        <item x="352"/>
        <item x="186"/>
        <item x="185"/>
        <item x="285"/>
        <item x="128"/>
        <item x="487"/>
        <item x="271"/>
        <item x="263"/>
        <item x="52"/>
        <item x="455"/>
        <item x="18"/>
        <item x="499"/>
        <item x="513"/>
        <item x="188"/>
        <item x="526"/>
        <item x="193"/>
        <item x="355"/>
        <item x="347"/>
        <item x="300"/>
        <item x="100"/>
        <item x="141"/>
        <item x="386"/>
        <item x="237"/>
        <item x="387"/>
        <item x="365"/>
        <item x="202"/>
        <item x="314"/>
        <item x="453"/>
        <item x="341"/>
        <item x="430"/>
        <item x="310"/>
        <item x="422"/>
        <item x="129"/>
        <item x="423"/>
        <item x="353"/>
        <item x="290"/>
        <item x="158"/>
        <item x="232"/>
        <item x="485"/>
        <item x="462"/>
        <item x="234"/>
        <item x="376"/>
        <item x="102"/>
        <item x="454"/>
        <item x="123"/>
        <item x="266"/>
        <item x="433"/>
        <item x="284"/>
        <item x="20"/>
        <item x="40"/>
        <item x="304"/>
        <item x="223"/>
        <item x="187"/>
        <item x="432"/>
        <item x="380"/>
        <item x="339"/>
        <item x="292"/>
        <item x="163"/>
        <item x="443"/>
        <item x="239"/>
        <item x="273"/>
        <item x="329"/>
        <item x="54"/>
        <item x="207"/>
        <item x="195"/>
        <item x="420"/>
        <item x="429"/>
        <item x="370"/>
        <item x="458"/>
        <item x="197"/>
        <item x="506"/>
        <item x="511"/>
        <item x="149"/>
        <item x="289"/>
        <item x="205"/>
        <item x="190"/>
        <item x="214"/>
        <item x="68"/>
        <item x="41"/>
        <item x="162"/>
        <item x="194"/>
        <item x="267"/>
        <item x="203"/>
        <item x="47"/>
        <item x="466"/>
        <item x="111"/>
        <item x="427"/>
        <item x="46"/>
        <item x="319"/>
        <item x="401"/>
        <item x="514"/>
        <item x="255"/>
        <item x="288"/>
        <item x="118"/>
        <item x="236"/>
        <item x="126"/>
        <item x="268"/>
        <item x="180"/>
        <item x="473"/>
        <item x="297"/>
        <item x="157"/>
        <item x="83"/>
        <item x="385"/>
        <item x="281"/>
        <item x="120"/>
        <item x="209"/>
        <item x="286"/>
        <item x="389"/>
        <item x="320"/>
        <item x="167"/>
        <item x="61"/>
        <item x="178"/>
        <item x="177"/>
        <item x="436"/>
        <item x="35"/>
        <item x="200"/>
        <item x="60"/>
        <item x="109"/>
        <item x="531"/>
        <item x="505"/>
        <item x="412"/>
        <item x="213"/>
        <item x="85"/>
        <item x="532"/>
        <item x="2"/>
        <item x="6"/>
        <item x="253"/>
        <item x="156"/>
        <item x="488"/>
        <item x="504"/>
        <item x="33"/>
        <item x="58"/>
        <item x="243"/>
        <item x="451"/>
        <item x="108"/>
        <item x="14"/>
        <item x="51"/>
        <item x="363"/>
        <item x="117"/>
        <item x="130"/>
        <item x="28"/>
        <item x="173"/>
        <item x="215"/>
        <item x="279"/>
        <item x="231"/>
        <item x="428"/>
        <item x="228"/>
        <item x="294"/>
        <item x="198"/>
        <item x="63"/>
        <item x="168"/>
        <item x="291"/>
        <item x="391"/>
        <item x="240"/>
        <item x="150"/>
        <item x="344"/>
        <item x="151"/>
        <item x="340"/>
        <item x="512"/>
        <item x="306"/>
        <item x="275"/>
        <item x="210"/>
        <item x="515"/>
        <item x="530"/>
        <item x="330"/>
        <item x="465"/>
        <item x="110"/>
        <item x="464"/>
        <item x="312"/>
        <item x="484"/>
        <item x="62"/>
        <item x="45"/>
        <item x="452"/>
        <item x="446"/>
        <item x="99"/>
        <item x="34"/>
        <item x="315"/>
        <item x="39"/>
        <item x="248"/>
        <item x="415"/>
        <item x="96"/>
        <item x="299"/>
        <item x="245"/>
        <item x="169"/>
        <item x="125"/>
        <item x="519"/>
        <item x="502"/>
        <item x="84"/>
        <item x="137"/>
        <item x="119"/>
        <item x="390"/>
        <item x="11"/>
        <item x="64"/>
        <item x="528"/>
        <item x="317"/>
        <item t="default"/>
      </items>
    </pivotField>
    <pivotField compact="0" showAll="0">
      <items count="411">
        <item x="277"/>
        <item x="232"/>
        <item x="320"/>
        <item x="269"/>
        <item x="286"/>
        <item x="360"/>
        <item x="406"/>
        <item x="215"/>
        <item x="398"/>
        <item x="315"/>
        <item x="181"/>
        <item x="72"/>
        <item x="223"/>
        <item x="234"/>
        <item x="90"/>
        <item x="267"/>
        <item x="322"/>
        <item x="388"/>
        <item x="138"/>
        <item x="164"/>
        <item x="333"/>
        <item x="309"/>
        <item x="218"/>
        <item x="8"/>
        <item x="287"/>
        <item x="371"/>
        <item x="235"/>
        <item x="279"/>
        <item x="106"/>
        <item x="270"/>
        <item x="159"/>
        <item x="3"/>
        <item x="345"/>
        <item x="261"/>
        <item x="169"/>
        <item x="307"/>
        <item x="290"/>
        <item x="268"/>
        <item x="260"/>
        <item x="384"/>
        <item x="136"/>
        <item x="192"/>
        <item x="149"/>
        <item x="93"/>
        <item x="407"/>
        <item x="79"/>
        <item x="233"/>
        <item x="128"/>
        <item x="55"/>
        <item x="86"/>
        <item x="9"/>
        <item x="399"/>
        <item x="78"/>
        <item x="340"/>
        <item x="171"/>
        <item x="103"/>
        <item x="80"/>
        <item x="328"/>
        <item x="111"/>
        <item x="59"/>
        <item x="158"/>
        <item x="358"/>
        <item x="146"/>
        <item x="127"/>
        <item x="191"/>
        <item x="273"/>
        <item x="36"/>
        <item x="303"/>
        <item x="22"/>
        <item x="68"/>
        <item x="194"/>
        <item x="301"/>
        <item x="130"/>
        <item x="187"/>
        <item x="7"/>
        <item x="84"/>
        <item x="156"/>
        <item x="35"/>
        <item x="266"/>
        <item x="29"/>
        <item x="337"/>
        <item x="325"/>
        <item x="174"/>
        <item x="163"/>
        <item x="58"/>
        <item x="129"/>
        <item x="282"/>
        <item x="125"/>
        <item x="98"/>
        <item x="184"/>
        <item x="43"/>
        <item x="302"/>
        <item x="285"/>
        <item x="97"/>
        <item x="102"/>
        <item x="56"/>
        <item x="366"/>
        <item x="199"/>
        <item x="305"/>
        <item x="204"/>
        <item x="262"/>
        <item x="368"/>
        <item x="57"/>
        <item x="265"/>
        <item x="347"/>
        <item x="24"/>
        <item x="334"/>
        <item x="33"/>
        <item x="381"/>
        <item x="152"/>
        <item x="28"/>
        <item x="124"/>
        <item x="263"/>
        <item x="293"/>
        <item x="390"/>
        <item x="71"/>
        <item x="352"/>
        <item x="70"/>
        <item x="387"/>
        <item x="409"/>
        <item x="385"/>
        <item x="382"/>
        <item x="137"/>
        <item x="153"/>
        <item x="386"/>
        <item x="230"/>
        <item x="380"/>
        <item x="353"/>
        <item x="117"/>
        <item x="374"/>
        <item x="101"/>
        <item x="291"/>
        <item x="252"/>
        <item x="375"/>
        <item x="284"/>
        <item x="135"/>
        <item x="37"/>
        <item x="67"/>
        <item x="229"/>
        <item x="14"/>
        <item x="227"/>
        <item x="402"/>
        <item x="357"/>
        <item x="404"/>
        <item x="12"/>
        <item x="120"/>
        <item x="292"/>
        <item x="242"/>
        <item x="348"/>
        <item x="330"/>
        <item x="2"/>
        <item x="88"/>
        <item x="313"/>
        <item x="52"/>
        <item x="324"/>
        <item x="372"/>
        <item x="89"/>
        <item x="121"/>
        <item x="376"/>
        <item x="209"/>
        <item x="113"/>
        <item x="50"/>
        <item x="219"/>
        <item x="312"/>
        <item x="82"/>
        <item x="6"/>
        <item x="27"/>
        <item x="154"/>
        <item x="109"/>
        <item x="239"/>
        <item x="155"/>
        <item x="214"/>
        <item x="364"/>
        <item x="295"/>
        <item x="350"/>
        <item x="83"/>
        <item x="217"/>
        <item x="139"/>
        <item x="379"/>
        <item x="100"/>
        <item x="207"/>
        <item x="17"/>
        <item x="75"/>
        <item x="319"/>
        <item x="383"/>
        <item x="13"/>
        <item x="327"/>
        <item x="115"/>
        <item x="403"/>
        <item x="391"/>
        <item x="271"/>
        <item x="317"/>
        <item x="346"/>
        <item x="311"/>
        <item x="21"/>
        <item x="299"/>
        <item x="69"/>
        <item x="196"/>
        <item x="231"/>
        <item x="396"/>
        <item x="253"/>
        <item x="178"/>
        <item x="41"/>
        <item x="281"/>
        <item x="143"/>
        <item x="342"/>
        <item x="397"/>
        <item x="167"/>
        <item x="173"/>
        <item x="183"/>
        <item x="131"/>
        <item x="134"/>
        <item x="236"/>
        <item x="195"/>
        <item x="74"/>
        <item x="288"/>
        <item x="244"/>
        <item x="206"/>
        <item x="316"/>
        <item x="211"/>
        <item x="198"/>
        <item x="30"/>
        <item x="112"/>
        <item x="224"/>
        <item x="1"/>
        <item x="26"/>
        <item x="351"/>
        <item x="23"/>
        <item x="190"/>
        <item x="274"/>
        <item x="212"/>
        <item x="188"/>
        <item x="216"/>
        <item x="87"/>
        <item x="19"/>
        <item x="310"/>
        <item x="197"/>
        <item x="405"/>
        <item x="408"/>
        <item x="243"/>
        <item x="298"/>
        <item x="250"/>
        <item x="370"/>
        <item x="278"/>
        <item x="48"/>
        <item x="133"/>
        <item x="142"/>
        <item x="323"/>
        <item x="64"/>
        <item x="47"/>
        <item x="162"/>
        <item x="369"/>
        <item x="108"/>
        <item x="126"/>
        <item x="306"/>
        <item x="42"/>
        <item x="31"/>
        <item x="251"/>
        <item x="182"/>
        <item x="150"/>
        <item x="321"/>
        <item x="339"/>
        <item x="63"/>
        <item x="201"/>
        <item x="147"/>
        <item x="332"/>
        <item x="248"/>
        <item x="189"/>
        <item x="99"/>
        <item x="54"/>
        <item x="254"/>
        <item x="61"/>
        <item x="77"/>
        <item x="0"/>
        <item x="338"/>
        <item x="373"/>
        <item x="76"/>
        <item x="258"/>
        <item x="73"/>
        <item x="393"/>
        <item x="85"/>
        <item x="49"/>
        <item x="275"/>
        <item x="5"/>
        <item x="16"/>
        <item x="10"/>
        <item x="107"/>
        <item x="25"/>
        <item x="180"/>
        <item x="272"/>
        <item x="186"/>
        <item x="122"/>
        <item x="314"/>
        <item x="363"/>
        <item x="392"/>
        <item x="176"/>
        <item x="276"/>
        <item x="203"/>
        <item x="205"/>
        <item x="289"/>
        <item x="62"/>
        <item x="297"/>
        <item x="168"/>
        <item x="144"/>
        <item x="294"/>
        <item x="257"/>
        <item x="177"/>
        <item x="185"/>
        <item x="355"/>
        <item x="104"/>
        <item x="359"/>
        <item x="318"/>
        <item x="349"/>
        <item x="4"/>
        <item x="81"/>
        <item x="300"/>
        <item x="304"/>
        <item x="356"/>
        <item x="240"/>
        <item x="401"/>
        <item x="367"/>
        <item x="394"/>
        <item x="39"/>
        <item x="148"/>
        <item x="95"/>
        <item x="110"/>
        <item x="255"/>
        <item x="193"/>
        <item x="140"/>
        <item x="114"/>
        <item x="46"/>
        <item x="249"/>
        <item x="308"/>
        <item x="92"/>
        <item x="335"/>
        <item x="222"/>
        <item x="160"/>
        <item x="91"/>
        <item x="141"/>
        <item x="362"/>
        <item x="11"/>
        <item x="228"/>
        <item x="246"/>
        <item x="283"/>
        <item x="245"/>
        <item x="378"/>
        <item x="238"/>
        <item x="170"/>
        <item x="326"/>
        <item x="151"/>
        <item x="264"/>
        <item x="213"/>
        <item x="395"/>
        <item x="210"/>
        <item x="18"/>
        <item x="220"/>
        <item x="32"/>
        <item x="175"/>
        <item x="118"/>
        <item x="65"/>
        <item x="20"/>
        <item x="296"/>
        <item x="241"/>
        <item x="145"/>
        <item x="365"/>
        <item x="400"/>
        <item x="172"/>
        <item x="280"/>
        <item x="361"/>
        <item x="389"/>
        <item x="119"/>
        <item x="336"/>
        <item x="161"/>
        <item x="15"/>
        <item x="179"/>
        <item x="208"/>
        <item x="40"/>
        <item x="341"/>
        <item x="132"/>
        <item x="259"/>
        <item x="60"/>
        <item x="44"/>
        <item x="45"/>
        <item x="343"/>
        <item x="105"/>
        <item x="38"/>
        <item x="237"/>
        <item x="123"/>
        <item x="225"/>
        <item x="51"/>
        <item x="221"/>
        <item x="200"/>
        <item x="344"/>
        <item x="354"/>
        <item x="329"/>
        <item x="96"/>
        <item x="256"/>
        <item x="226"/>
        <item x="166"/>
        <item x="34"/>
        <item x="157"/>
        <item x="94"/>
        <item x="202"/>
        <item x="66"/>
        <item x="331"/>
        <item x="165"/>
        <item x="53"/>
        <item x="377"/>
        <item x="116"/>
        <item x="247"/>
        <item t="default"/>
      </items>
    </pivotField>
    <pivotField compact="0" showAll="0">
      <items count="439">
        <item x="297"/>
        <item x="244"/>
        <item x="288"/>
        <item x="306"/>
        <item x="385"/>
        <item x="434"/>
        <item x="224"/>
        <item x="427"/>
        <item x="336"/>
        <item x="189"/>
        <item x="70"/>
        <item x="232"/>
        <item x="247"/>
        <item x="86"/>
        <item x="284"/>
        <item x="343"/>
        <item x="139"/>
        <item x="167"/>
        <item x="352"/>
        <item x="8"/>
        <item x="227"/>
        <item x="307"/>
        <item x="396"/>
        <item x="248"/>
        <item x="104"/>
        <item x="290"/>
        <item x="161"/>
        <item x="200"/>
        <item x="3"/>
        <item x="340"/>
        <item x="365"/>
        <item x="278"/>
        <item x="175"/>
        <item x="326"/>
        <item x="287"/>
        <item x="277"/>
        <item x="406"/>
        <item x="137"/>
        <item x="151"/>
        <item x="90"/>
        <item x="338"/>
        <item x="75"/>
        <item x="245"/>
        <item x="128"/>
        <item x="55"/>
        <item x="83"/>
        <item x="9"/>
        <item x="428"/>
        <item x="74"/>
        <item x="178"/>
        <item x="359"/>
        <item x="370"/>
        <item x="101"/>
        <item x="233"/>
        <item x="76"/>
        <item x="110"/>
        <item x="160"/>
        <item x="131"/>
        <item x="59"/>
        <item x="316"/>
        <item x="148"/>
        <item x="127"/>
        <item x="197"/>
        <item x="293"/>
        <item x="323"/>
        <item x="36"/>
        <item x="21"/>
        <item x="65"/>
        <item x="199"/>
        <item x="322"/>
        <item x="130"/>
        <item x="193"/>
        <item x="390"/>
        <item x="7"/>
        <item x="81"/>
        <item x="158"/>
        <item x="34"/>
        <item x="283"/>
        <item x="80"/>
        <item x="28"/>
        <item x="367"/>
        <item x="345"/>
        <item x="355"/>
        <item x="182"/>
        <item x="166"/>
        <item x="58"/>
        <item x="129"/>
        <item x="252"/>
        <item x="302"/>
        <item x="124"/>
        <item x="96"/>
        <item x="191"/>
        <item x="43"/>
        <item x="95"/>
        <item x="100"/>
        <item x="56"/>
        <item x="392"/>
        <item x="206"/>
        <item x="325"/>
        <item x="211"/>
        <item x="394"/>
        <item x="279"/>
        <item x="57"/>
        <item x="282"/>
        <item x="368"/>
        <item x="23"/>
        <item x="353"/>
        <item x="32"/>
        <item x="402"/>
        <item x="27"/>
        <item x="123"/>
        <item x="280"/>
        <item x="311"/>
        <item x="68"/>
        <item x="69"/>
        <item x="414"/>
        <item x="363"/>
        <item x="437"/>
        <item x="409"/>
        <item x="403"/>
        <item x="138"/>
        <item x="155"/>
        <item x="314"/>
        <item x="413"/>
        <item x="242"/>
        <item x="401"/>
        <item x="376"/>
        <item x="116"/>
        <item x="99"/>
        <item x="309"/>
        <item x="269"/>
        <item x="399"/>
        <item x="136"/>
        <item x="305"/>
        <item x="216"/>
        <item x="37"/>
        <item x="64"/>
        <item x="240"/>
        <item x="400"/>
        <item x="14"/>
        <item x="238"/>
        <item x="430"/>
        <item x="118"/>
        <item x="432"/>
        <item x="12"/>
        <item x="119"/>
        <item x="310"/>
        <item x="256"/>
        <item x="349"/>
        <item x="84"/>
        <item x="334"/>
        <item x="2"/>
        <item x="52"/>
        <item x="397"/>
        <item x="164"/>
        <item x="85"/>
        <item x="217"/>
        <item x="416"/>
        <item x="112"/>
        <item x="50"/>
        <item x="78"/>
        <item x="332"/>
        <item x="6"/>
        <item x="26"/>
        <item x="382"/>
        <item x="156"/>
        <item x="253"/>
        <item x="107"/>
        <item x="157"/>
        <item x="222"/>
        <item x="234"/>
        <item x="223"/>
        <item x="301"/>
        <item x="313"/>
        <item x="374"/>
        <item x="79"/>
        <item x="190"/>
        <item x="226"/>
        <item x="140"/>
        <item x="317"/>
        <item x="98"/>
        <item x="16"/>
        <item x="214"/>
        <item x="341"/>
        <item x="405"/>
        <item x="13"/>
        <item x="347"/>
        <item x="431"/>
        <item x="113"/>
        <item x="417"/>
        <item x="291"/>
        <item x="337"/>
        <item x="366"/>
        <item x="331"/>
        <item x="20"/>
        <item x="67"/>
        <item x="320"/>
        <item x="202"/>
        <item x="298"/>
        <item x="243"/>
        <item x="426"/>
        <item x="270"/>
        <item x="187"/>
        <item x="264"/>
        <item x="300"/>
        <item x="41"/>
        <item x="361"/>
        <item x="144"/>
        <item x="229"/>
        <item x="172"/>
        <item x="180"/>
        <item x="408"/>
        <item x="132"/>
        <item x="145"/>
        <item x="135"/>
        <item x="249"/>
        <item x="72"/>
        <item x="201"/>
        <item x="315"/>
        <item x="213"/>
        <item x="308"/>
        <item x="258"/>
        <item x="388"/>
        <item x="219"/>
        <item x="204"/>
        <item x="29"/>
        <item x="181"/>
        <item x="103"/>
        <item x="419"/>
        <item x="111"/>
        <item x="183"/>
        <item x="35"/>
        <item x="1"/>
        <item x="25"/>
        <item x="375"/>
        <item x="372"/>
        <item x="22"/>
        <item x="196"/>
        <item x="294"/>
        <item x="220"/>
        <item x="225"/>
        <item x="194"/>
        <item x="246"/>
        <item x="18"/>
        <item x="330"/>
        <item x="203"/>
        <item x="433"/>
        <item x="435"/>
        <item x="423"/>
        <item x="257"/>
        <item x="319"/>
        <item x="395"/>
        <item x="267"/>
        <item x="134"/>
        <item x="48"/>
        <item x="143"/>
        <item x="383"/>
        <item x="344"/>
        <item x="62"/>
        <item x="411"/>
        <item x="165"/>
        <item x="47"/>
        <item x="250"/>
        <item x="126"/>
        <item x="106"/>
        <item x="268"/>
        <item x="369"/>
        <item x="42"/>
        <item x="30"/>
        <item x="152"/>
        <item x="342"/>
        <item x="358"/>
        <item x="389"/>
        <item x="61"/>
        <item x="149"/>
        <item x="208"/>
        <item x="351"/>
        <item x="154"/>
        <item x="97"/>
        <item x="195"/>
        <item x="121"/>
        <item x="271"/>
        <item x="237"/>
        <item x="281"/>
        <item x="333"/>
        <item x="54"/>
        <item x="0"/>
        <item x="357"/>
        <item x="398"/>
        <item x="73"/>
        <item x="407"/>
        <item x="71"/>
        <item x="422"/>
        <item x="82"/>
        <item x="49"/>
        <item x="296"/>
        <item x="66"/>
        <item x="5"/>
        <item x="436"/>
        <item x="10"/>
        <item x="105"/>
        <item x="265"/>
        <item x="24"/>
        <item x="292"/>
        <item x="120"/>
        <item x="259"/>
        <item x="335"/>
        <item x="387"/>
        <item x="185"/>
        <item x="418"/>
        <item x="212"/>
        <item x="210"/>
        <item x="60"/>
        <item x="318"/>
        <item x="174"/>
        <item x="146"/>
        <item x="420"/>
        <item x="312"/>
        <item x="275"/>
        <item x="186"/>
        <item x="192"/>
        <item x="377"/>
        <item x="384"/>
        <item x="102"/>
        <item x="339"/>
        <item x="125"/>
        <item x="4"/>
        <item x="321"/>
        <item x="77"/>
        <item x="324"/>
        <item x="380"/>
        <item x="254"/>
        <item x="286"/>
        <item x="393"/>
        <item x="39"/>
        <item x="424"/>
        <item x="150"/>
        <item x="92"/>
        <item x="272"/>
        <item x="109"/>
        <item x="198"/>
        <item x="261"/>
        <item x="141"/>
        <item x="46"/>
        <item x="329"/>
        <item x="273"/>
        <item x="266"/>
        <item x="356"/>
        <item x="327"/>
        <item x="171"/>
        <item x="89"/>
        <item x="354"/>
        <item x="231"/>
        <item x="162"/>
        <item x="142"/>
        <item x="88"/>
        <item x="386"/>
        <item x="11"/>
        <item x="262"/>
        <item x="239"/>
        <item x="303"/>
        <item x="260"/>
        <item x="176"/>
        <item x="328"/>
        <item x="346"/>
        <item x="153"/>
        <item x="425"/>
        <item x="371"/>
        <item x="285"/>
        <item x="221"/>
        <item x="218"/>
        <item x="230"/>
        <item x="17"/>
        <item x="31"/>
        <item x="184"/>
        <item x="295"/>
        <item x="304"/>
        <item x="19"/>
        <item x="255"/>
        <item x="289"/>
        <item x="147"/>
        <item x="429"/>
        <item x="391"/>
        <item x="299"/>
        <item x="179"/>
        <item x="412"/>
        <item x="415"/>
        <item x="117"/>
        <item x="163"/>
        <item x="15"/>
        <item x="188"/>
        <item x="215"/>
        <item x="360"/>
        <item x="40"/>
        <item x="276"/>
        <item x="133"/>
        <item x="373"/>
        <item x="170"/>
        <item x="173"/>
        <item x="45"/>
        <item x="44"/>
        <item x="87"/>
        <item x="205"/>
        <item x="38"/>
        <item x="251"/>
        <item x="381"/>
        <item x="410"/>
        <item x="228"/>
        <item x="122"/>
        <item x="421"/>
        <item x="177"/>
        <item x="207"/>
        <item x="51"/>
        <item x="364"/>
        <item x="348"/>
        <item x="108"/>
        <item x="379"/>
        <item x="241"/>
        <item x="94"/>
        <item x="274"/>
        <item x="235"/>
        <item x="33"/>
        <item x="169"/>
        <item x="114"/>
        <item x="93"/>
        <item x="159"/>
        <item x="404"/>
        <item x="91"/>
        <item x="350"/>
        <item x="209"/>
        <item x="63"/>
        <item x="168"/>
        <item x="53"/>
        <item x="378"/>
        <item x="115"/>
        <item x="362"/>
        <item x="236"/>
        <item x="263"/>
        <item t="default"/>
      </items>
    </pivotField>
    <pivotField axis="axisRow" compact="0" showAll="0">
      <items count="5">
        <item x="2"/>
        <item h="1" x="3"/>
        <item h="1" x="0"/>
        <item h="1" x="1"/>
        <item t="default"/>
      </items>
    </pivotField>
    <pivotField compact="0" showAll="0">
      <items count="398">
        <item x="211"/>
        <item x="4"/>
        <item x="144"/>
        <item x="376"/>
        <item x="269"/>
        <item x="141"/>
        <item x="57"/>
        <item x="314"/>
        <item x="8"/>
        <item x="369"/>
        <item x="122"/>
        <item x="132"/>
        <item x="165"/>
        <item x="326"/>
        <item x="151"/>
        <item x="340"/>
        <item x="124"/>
        <item x="117"/>
        <item x="321"/>
        <item x="295"/>
        <item x="219"/>
        <item x="195"/>
        <item x="87"/>
        <item x="275"/>
        <item x="153"/>
        <item x="239"/>
        <item x="255"/>
        <item x="382"/>
        <item x="216"/>
        <item x="127"/>
        <item x="238"/>
        <item x="155"/>
        <item x="357"/>
        <item x="247"/>
        <item x="121"/>
        <item x="179"/>
        <item x="217"/>
        <item x="214"/>
        <item x="205"/>
        <item x="232"/>
        <item x="336"/>
        <item x="292"/>
        <item x="3"/>
        <item x="318"/>
        <item x="78"/>
        <item x="312"/>
        <item x="298"/>
        <item x="272"/>
        <item x="202"/>
        <item x="162"/>
        <item x="130"/>
        <item x="29"/>
        <item x="94"/>
        <item x="354"/>
        <item x="388"/>
        <item x="296"/>
        <item x="308"/>
        <item x="244"/>
        <item x="119"/>
        <item x="222"/>
        <item x="90"/>
        <item x="118"/>
        <item x="230"/>
        <item x="254"/>
        <item x="142"/>
        <item x="113"/>
        <item x="303"/>
        <item x="263"/>
        <item x="344"/>
        <item x="0"/>
        <item x="170"/>
        <item x="237"/>
        <item x="278"/>
        <item x="242"/>
        <item x="316"/>
        <item x="52"/>
        <item x="200"/>
        <item x="320"/>
        <item x="291"/>
        <item x="128"/>
        <item x="257"/>
        <item x="229"/>
        <item x="79"/>
        <item x="294"/>
        <item x="37"/>
        <item x="51"/>
        <item x="194"/>
        <item x="72"/>
        <item x="106"/>
        <item x="203"/>
        <item x="140"/>
        <item x="383"/>
        <item x="290"/>
        <item x="368"/>
        <item x="249"/>
        <item x="137"/>
        <item x="264"/>
        <item x="213"/>
        <item x="54"/>
        <item x="83"/>
        <item x="158"/>
        <item x="297"/>
        <item x="351"/>
        <item x="111"/>
        <item x="114"/>
        <item x="35"/>
        <item x="157"/>
        <item x="24"/>
        <item x="317"/>
        <item x="273"/>
        <item x="112"/>
        <item x="284"/>
        <item x="103"/>
        <item x="1"/>
        <item x="231"/>
        <item x="108"/>
        <item x="61"/>
        <item x="105"/>
        <item x="182"/>
        <item x="225"/>
        <item x="12"/>
        <item x="387"/>
        <item x="378"/>
        <item x="283"/>
        <item x="13"/>
        <item x="258"/>
        <item x="330"/>
        <item x="75"/>
        <item x="191"/>
        <item x="313"/>
        <item x="212"/>
        <item x="45"/>
        <item x="301"/>
        <item x="20"/>
        <item x="135"/>
        <item x="92"/>
        <item x="86"/>
        <item x="248"/>
        <item x="224"/>
        <item x="389"/>
        <item x="315"/>
        <item x="334"/>
        <item x="241"/>
        <item x="55"/>
        <item x="395"/>
        <item x="16"/>
        <item x="348"/>
        <item x="136"/>
        <item x="306"/>
        <item x="39"/>
        <item x="323"/>
        <item x="265"/>
        <item x="218"/>
        <item x="150"/>
        <item x="47"/>
        <item x="66"/>
        <item x="96"/>
        <item x="332"/>
        <item x="31"/>
        <item x="6"/>
        <item x="367"/>
        <item x="304"/>
        <item x="393"/>
        <item x="5"/>
        <item x="350"/>
        <item x="80"/>
        <item x="102"/>
        <item x="209"/>
        <item x="36"/>
        <item x="63"/>
        <item x="148"/>
        <item x="251"/>
        <item x="188"/>
        <item x="32"/>
        <item x="68"/>
        <item x="282"/>
        <item x="226"/>
        <item x="223"/>
        <item x="161"/>
        <item x="189"/>
        <item x="371"/>
        <item x="101"/>
        <item x="98"/>
        <item x="370"/>
        <item x="342"/>
        <item x="380"/>
        <item x="271"/>
        <item x="82"/>
        <item x="300"/>
        <item x="311"/>
        <item x="145"/>
        <item x="252"/>
        <item x="139"/>
        <item x="49"/>
        <item x="25"/>
        <item x="341"/>
        <item x="123"/>
        <item x="270"/>
        <item x="187"/>
        <item x="335"/>
        <item x="329"/>
        <item x="40"/>
        <item x="365"/>
        <item x="185"/>
        <item x="208"/>
        <item x="41"/>
        <item x="10"/>
        <item x="33"/>
        <item x="346"/>
        <item x="110"/>
        <item x="169"/>
        <item x="30"/>
        <item x="44"/>
        <item x="347"/>
        <item x="168"/>
        <item x="175"/>
        <item x="120"/>
        <item x="126"/>
        <item x="107"/>
        <item x="366"/>
        <item x="392"/>
        <item x="27"/>
        <item x="147"/>
        <item x="156"/>
        <item x="48"/>
        <item x="62"/>
        <item x="18"/>
        <item x="95"/>
        <item x="97"/>
        <item x="166"/>
        <item x="23"/>
        <item x="293"/>
        <item x="109"/>
        <item x="328"/>
        <item x="215"/>
        <item x="221"/>
        <item x="235"/>
        <item x="322"/>
        <item x="60"/>
        <item x="201"/>
        <item x="299"/>
        <item x="352"/>
        <item x="15"/>
        <item x="377"/>
        <item x="93"/>
        <item x="204"/>
        <item x="266"/>
        <item x="305"/>
        <item x="198"/>
        <item x="384"/>
        <item x="250"/>
        <item x="375"/>
        <item x="67"/>
        <item x="396"/>
        <item x="207"/>
        <item x="186"/>
        <item x="77"/>
        <item x="149"/>
        <item x="177"/>
        <item x="394"/>
        <item x="152"/>
        <item x="373"/>
        <item x="246"/>
        <item x="88"/>
        <item x="172"/>
        <item x="280"/>
        <item x="333"/>
        <item x="234"/>
        <item x="99"/>
        <item x="363"/>
        <item x="192"/>
        <item x="160"/>
        <item x="360"/>
        <item x="199"/>
        <item x="89"/>
        <item x="240"/>
        <item x="173"/>
        <item x="243"/>
        <item x="159"/>
        <item x="71"/>
        <item x="134"/>
        <item x="268"/>
        <item x="73"/>
        <item x="379"/>
        <item x="125"/>
        <item x="21"/>
        <item x="220"/>
        <item x="50"/>
        <item x="287"/>
        <item x="171"/>
        <item x="331"/>
        <item x="58"/>
        <item x="310"/>
        <item x="38"/>
        <item x="206"/>
        <item x="307"/>
        <item x="324"/>
        <item x="7"/>
        <item x="327"/>
        <item x="43"/>
        <item x="138"/>
        <item x="22"/>
        <item x="178"/>
        <item x="285"/>
        <item x="381"/>
        <item x="28"/>
        <item x="391"/>
        <item x="267"/>
        <item x="19"/>
        <item x="154"/>
        <item x="362"/>
        <item x="181"/>
        <item x="46"/>
        <item x="262"/>
        <item x="42"/>
        <item x="176"/>
        <item x="116"/>
        <item x="53"/>
        <item x="390"/>
        <item x="361"/>
        <item x="372"/>
        <item x="279"/>
        <item x="76"/>
        <item x="288"/>
        <item x="167"/>
        <item x="302"/>
        <item x="385"/>
        <item x="343"/>
        <item x="210"/>
        <item x="84"/>
        <item x="197"/>
        <item x="345"/>
        <item x="261"/>
        <item x="276"/>
        <item x="338"/>
        <item x="355"/>
        <item x="193"/>
        <item x="115"/>
        <item x="337"/>
        <item x="183"/>
        <item x="253"/>
        <item x="281"/>
        <item x="56"/>
        <item x="34"/>
        <item x="174"/>
        <item x="339"/>
        <item x="11"/>
        <item x="227"/>
        <item x="245"/>
        <item x="65"/>
        <item x="64"/>
        <item x="129"/>
        <item x="319"/>
        <item x="81"/>
        <item x="85"/>
        <item x="359"/>
        <item x="325"/>
        <item x="17"/>
        <item x="2"/>
        <item x="259"/>
        <item x="70"/>
        <item x="133"/>
        <item x="256"/>
        <item x="164"/>
        <item x="196"/>
        <item x="286"/>
        <item x="277"/>
        <item x="374"/>
        <item x="349"/>
        <item x="26"/>
        <item x="386"/>
        <item x="353"/>
        <item x="14"/>
        <item x="180"/>
        <item x="143"/>
        <item x="228"/>
        <item x="260"/>
        <item x="274"/>
        <item x="184"/>
        <item x="236"/>
        <item x="309"/>
        <item x="131"/>
        <item x="358"/>
        <item x="59"/>
        <item x="74"/>
        <item x="69"/>
        <item x="356"/>
        <item x="146"/>
        <item x="104"/>
        <item x="364"/>
        <item x="91"/>
        <item x="163"/>
        <item x="100"/>
        <item x="190"/>
        <item x="289"/>
        <item x="233"/>
        <item x="9"/>
        <item t="default"/>
      </items>
    </pivotField>
    <pivotField compact="0" showAll="0">
      <items count="398">
        <item x="382"/>
        <item x="144"/>
        <item x="340"/>
        <item x="376"/>
        <item x="216"/>
        <item x="269"/>
        <item x="57"/>
        <item x="124"/>
        <item x="117"/>
        <item x="127"/>
        <item x="238"/>
        <item x="8"/>
        <item x="155"/>
        <item x="87"/>
        <item x="211"/>
        <item x="369"/>
        <item x="153"/>
        <item x="141"/>
        <item x="4"/>
        <item x="122"/>
        <item x="239"/>
        <item x="132"/>
        <item x="357"/>
        <item x="165"/>
        <item x="247"/>
        <item x="326"/>
        <item x="321"/>
        <item x="295"/>
        <item x="255"/>
        <item x="314"/>
        <item x="151"/>
        <item x="275"/>
        <item x="219"/>
        <item x="195"/>
        <item x="121"/>
        <item x="292"/>
        <item x="162"/>
        <item x="308"/>
        <item x="78"/>
        <item x="130"/>
        <item x="296"/>
        <item x="318"/>
        <item x="217"/>
        <item x="336"/>
        <item x="272"/>
        <item x="214"/>
        <item x="202"/>
        <item x="388"/>
        <item x="179"/>
        <item x="29"/>
        <item x="205"/>
        <item x="312"/>
        <item x="3"/>
        <item x="232"/>
        <item x="94"/>
        <item x="298"/>
        <item x="354"/>
        <item x="194"/>
        <item x="303"/>
        <item x="229"/>
        <item x="263"/>
        <item x="170"/>
        <item x="90"/>
        <item x="344"/>
        <item x="79"/>
        <item x="230"/>
        <item x="237"/>
        <item x="294"/>
        <item x="244"/>
        <item x="119"/>
        <item x="278"/>
        <item x="291"/>
        <item x="200"/>
        <item x="37"/>
        <item x="254"/>
        <item x="320"/>
        <item x="0"/>
        <item x="118"/>
        <item x="142"/>
        <item x="52"/>
        <item x="242"/>
        <item x="128"/>
        <item x="113"/>
        <item x="257"/>
        <item x="316"/>
        <item x="222"/>
        <item x="51"/>
        <item x="383"/>
        <item x="297"/>
        <item x="112"/>
        <item x="351"/>
        <item x="213"/>
        <item x="24"/>
        <item x="284"/>
        <item x="1"/>
        <item x="72"/>
        <item x="54"/>
        <item x="317"/>
        <item x="106"/>
        <item x="83"/>
        <item x="273"/>
        <item x="103"/>
        <item x="203"/>
        <item x="158"/>
        <item x="368"/>
        <item x="290"/>
        <item x="111"/>
        <item x="249"/>
        <item x="157"/>
        <item x="231"/>
        <item x="108"/>
        <item x="137"/>
        <item x="61"/>
        <item x="114"/>
        <item x="140"/>
        <item x="264"/>
        <item x="35"/>
        <item x="182"/>
        <item x="330"/>
        <item x="225"/>
        <item x="45"/>
        <item x="12"/>
        <item x="283"/>
        <item x="212"/>
        <item x="387"/>
        <item x="13"/>
        <item x="75"/>
        <item x="378"/>
        <item x="301"/>
        <item x="105"/>
        <item x="191"/>
        <item x="20"/>
        <item x="313"/>
        <item x="258"/>
        <item x="135"/>
        <item x="86"/>
        <item x="224"/>
        <item x="92"/>
        <item x="248"/>
        <item x="389"/>
        <item x="395"/>
        <item x="306"/>
        <item x="39"/>
        <item x="47"/>
        <item x="16"/>
        <item x="334"/>
        <item x="241"/>
        <item x="136"/>
        <item x="265"/>
        <item x="55"/>
        <item x="348"/>
        <item x="218"/>
        <item x="315"/>
        <item x="323"/>
        <item x="150"/>
        <item x="367"/>
        <item x="6"/>
        <item x="96"/>
        <item x="66"/>
        <item x="304"/>
        <item x="31"/>
        <item x="332"/>
        <item x="393"/>
        <item x="5"/>
        <item x="161"/>
        <item x="311"/>
        <item x="49"/>
        <item x="25"/>
        <item x="123"/>
        <item x="380"/>
        <item x="209"/>
        <item x="282"/>
        <item x="271"/>
        <item x="80"/>
        <item x="226"/>
        <item x="371"/>
        <item x="370"/>
        <item x="188"/>
        <item x="223"/>
        <item x="145"/>
        <item x="187"/>
        <item x="341"/>
        <item x="270"/>
        <item x="329"/>
        <item x="82"/>
        <item x="40"/>
        <item x="300"/>
        <item x="32"/>
        <item x="342"/>
        <item x="189"/>
        <item x="252"/>
        <item x="139"/>
        <item x="365"/>
        <item x="63"/>
        <item x="101"/>
        <item x="102"/>
        <item x="185"/>
        <item x="350"/>
        <item x="98"/>
        <item x="148"/>
        <item x="36"/>
        <item x="251"/>
        <item x="68"/>
        <item x="335"/>
        <item x="366"/>
        <item x="208"/>
        <item x="346"/>
        <item x="30"/>
        <item x="41"/>
        <item x="44"/>
        <item x="347"/>
        <item x="147"/>
        <item x="168"/>
        <item x="110"/>
        <item x="126"/>
        <item x="10"/>
        <item x="33"/>
        <item x="175"/>
        <item x="107"/>
        <item x="392"/>
        <item x="169"/>
        <item x="120"/>
        <item x="27"/>
        <item x="156"/>
        <item x="97"/>
        <item x="328"/>
        <item x="48"/>
        <item x="62"/>
        <item x="23"/>
        <item x="235"/>
        <item x="18"/>
        <item x="322"/>
        <item x="60"/>
        <item x="352"/>
        <item x="293"/>
        <item x="215"/>
        <item x="221"/>
        <item x="299"/>
        <item x="95"/>
        <item x="109"/>
        <item x="166"/>
        <item x="201"/>
        <item x="93"/>
        <item x="198"/>
        <item x="333"/>
        <item x="199"/>
        <item x="394"/>
        <item x="88"/>
        <item x="373"/>
        <item x="89"/>
        <item x="280"/>
        <item x="15"/>
        <item x="204"/>
        <item x="375"/>
        <item x="67"/>
        <item x="396"/>
        <item x="250"/>
        <item x="77"/>
        <item x="186"/>
        <item x="246"/>
        <item x="363"/>
        <item x="234"/>
        <item x="266"/>
        <item x="384"/>
        <item x="149"/>
        <item x="172"/>
        <item x="99"/>
        <item x="377"/>
        <item x="192"/>
        <item x="305"/>
        <item x="207"/>
        <item x="177"/>
        <item x="160"/>
        <item x="360"/>
        <item x="152"/>
        <item x="268"/>
        <item x="243"/>
        <item x="173"/>
        <item x="159"/>
        <item x="134"/>
        <item x="71"/>
        <item x="379"/>
        <item x="125"/>
        <item x="240"/>
        <item x="73"/>
        <item x="21"/>
        <item x="220"/>
        <item x="331"/>
        <item x="43"/>
        <item x="206"/>
        <item x="310"/>
        <item x="138"/>
        <item x="22"/>
        <item x="381"/>
        <item x="38"/>
        <item x="324"/>
        <item x="28"/>
        <item x="307"/>
        <item x="50"/>
        <item x="7"/>
        <item x="287"/>
        <item x="327"/>
        <item x="171"/>
        <item x="58"/>
        <item x="178"/>
        <item x="285"/>
        <item x="391"/>
        <item x="345"/>
        <item x="267"/>
        <item x="343"/>
        <item x="181"/>
        <item x="261"/>
        <item x="46"/>
        <item x="390"/>
        <item x="302"/>
        <item x="385"/>
        <item x="262"/>
        <item x="361"/>
        <item x="210"/>
        <item x="338"/>
        <item x="372"/>
        <item x="84"/>
        <item x="355"/>
        <item x="42"/>
        <item x="288"/>
        <item x="276"/>
        <item x="197"/>
        <item x="176"/>
        <item x="279"/>
        <item x="116"/>
        <item x="167"/>
        <item x="19"/>
        <item x="76"/>
        <item x="154"/>
        <item x="362"/>
        <item x="53"/>
        <item x="64"/>
        <item x="85"/>
        <item x="325"/>
        <item x="337"/>
        <item x="11"/>
        <item x="65"/>
        <item x="183"/>
        <item x="339"/>
        <item x="319"/>
        <item x="164"/>
        <item x="359"/>
        <item x="227"/>
        <item x="349"/>
        <item x="115"/>
        <item x="253"/>
        <item x="2"/>
        <item x="277"/>
        <item x="129"/>
        <item x="174"/>
        <item x="81"/>
        <item x="259"/>
        <item x="196"/>
        <item x="70"/>
        <item x="281"/>
        <item x="17"/>
        <item x="56"/>
        <item x="256"/>
        <item x="34"/>
        <item x="374"/>
        <item x="193"/>
        <item x="133"/>
        <item x="286"/>
        <item x="245"/>
        <item x="143"/>
        <item x="69"/>
        <item x="184"/>
        <item x="26"/>
        <item x="74"/>
        <item x="236"/>
        <item x="386"/>
        <item x="353"/>
        <item x="131"/>
        <item x="260"/>
        <item x="309"/>
        <item x="358"/>
        <item x="14"/>
        <item x="274"/>
        <item x="356"/>
        <item x="180"/>
        <item x="59"/>
        <item x="228"/>
        <item x="104"/>
        <item x="91"/>
        <item x="163"/>
        <item x="146"/>
        <item x="100"/>
        <item x="364"/>
        <item x="190"/>
        <item x="289"/>
        <item x="233"/>
        <item x="9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2">
        <item x="0"/>
        <item t="default"/>
      </items>
    </pivotField>
    <pivotField compact="0" showAll="0">
      <items count="190">
        <item x="59"/>
        <item x="166"/>
        <item x="112"/>
        <item x="125"/>
        <item x="81"/>
        <item x="82"/>
        <item x="153"/>
        <item x="118"/>
        <item x="109"/>
        <item x="34"/>
        <item x="89"/>
        <item x="185"/>
        <item x="186"/>
        <item x="78"/>
        <item x="41"/>
        <item x="172"/>
        <item x="151"/>
        <item x="71"/>
        <item x="39"/>
        <item x="184"/>
        <item x="140"/>
        <item x="105"/>
        <item x="51"/>
        <item x="143"/>
        <item x="72"/>
        <item x="35"/>
        <item x="142"/>
        <item x="22"/>
        <item x="74"/>
        <item x="138"/>
        <item x="77"/>
        <item x="29"/>
        <item x="38"/>
        <item x="3"/>
        <item x="116"/>
        <item x="150"/>
        <item x="61"/>
        <item x="130"/>
        <item x="27"/>
        <item x="60"/>
        <item x="96"/>
        <item x="66"/>
        <item x="18"/>
        <item x="65"/>
        <item x="28"/>
        <item x="16"/>
        <item x="188"/>
        <item x="50"/>
        <item x="156"/>
        <item x="148"/>
        <item x="54"/>
        <item x="168"/>
        <item x="115"/>
        <item x="159"/>
        <item x="2"/>
        <item x="5"/>
        <item x="47"/>
        <item x="9"/>
        <item x="164"/>
        <item x="107"/>
        <item x="23"/>
        <item x="119"/>
        <item x="55"/>
        <item x="120"/>
        <item x="124"/>
        <item x="129"/>
        <item x="83"/>
        <item x="179"/>
        <item x="57"/>
        <item x="92"/>
        <item x="0"/>
        <item x="187"/>
        <item x="86"/>
        <item x="146"/>
        <item x="12"/>
        <item x="101"/>
        <item x="114"/>
        <item x="44"/>
        <item x="75"/>
        <item x="25"/>
        <item x="108"/>
        <item x="177"/>
        <item x="154"/>
        <item x="121"/>
        <item x="69"/>
        <item x="80"/>
        <item x="152"/>
        <item x="128"/>
        <item x="180"/>
        <item x="98"/>
        <item x="182"/>
        <item x="104"/>
        <item x="88"/>
        <item x="161"/>
        <item x="113"/>
        <item x="85"/>
        <item x="160"/>
        <item x="1"/>
        <item x="103"/>
        <item x="90"/>
        <item x="6"/>
        <item x="91"/>
        <item x="126"/>
        <item x="64"/>
        <item x="15"/>
        <item x="26"/>
        <item x="123"/>
        <item x="100"/>
        <item x="158"/>
        <item x="31"/>
        <item x="133"/>
        <item x="53"/>
        <item x="122"/>
        <item x="73"/>
        <item x="145"/>
        <item x="87"/>
        <item x="174"/>
        <item x="14"/>
        <item x="19"/>
        <item x="163"/>
        <item x="106"/>
        <item x="20"/>
        <item x="46"/>
        <item x="110"/>
        <item x="165"/>
        <item x="147"/>
        <item x="175"/>
        <item x="155"/>
        <item x="11"/>
        <item x="36"/>
        <item x="144"/>
        <item x="111"/>
        <item x="117"/>
        <item x="45"/>
        <item x="95"/>
        <item x="97"/>
        <item x="10"/>
        <item x="42"/>
        <item x="135"/>
        <item x="32"/>
        <item x="94"/>
        <item x="56"/>
        <item x="181"/>
        <item x="13"/>
        <item x="102"/>
        <item x="169"/>
        <item x="30"/>
        <item x="134"/>
        <item x="43"/>
        <item x="171"/>
        <item x="63"/>
        <item x="33"/>
        <item x="178"/>
        <item x="84"/>
        <item x="127"/>
        <item x="162"/>
        <item x="52"/>
        <item x="70"/>
        <item x="8"/>
        <item x="49"/>
        <item x="157"/>
        <item x="68"/>
        <item x="48"/>
        <item x="4"/>
        <item x="136"/>
        <item x="24"/>
        <item x="76"/>
        <item x="67"/>
        <item x="79"/>
        <item x="167"/>
        <item x="170"/>
        <item x="149"/>
        <item x="21"/>
        <item x="93"/>
        <item x="139"/>
        <item x="37"/>
        <item x="132"/>
        <item x="137"/>
        <item x="173"/>
        <item x="131"/>
        <item x="99"/>
        <item x="176"/>
        <item x="141"/>
        <item x="7"/>
        <item x="58"/>
        <item x="17"/>
        <item x="62"/>
        <item x="40"/>
        <item x="183"/>
        <item t="default"/>
      </items>
    </pivotField>
    <pivotField compact="0" showAll="0">
      <items count="44">
        <item x="19"/>
        <item x="16"/>
        <item x="36"/>
        <item x="1"/>
        <item x="22"/>
        <item x="29"/>
        <item x="13"/>
        <item x="40"/>
        <item x="2"/>
        <item x="32"/>
        <item x="10"/>
        <item x="14"/>
        <item x="23"/>
        <item x="0"/>
        <item x="28"/>
        <item x="42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24"/>
        <item x="26"/>
        <item x="21"/>
        <item x="9"/>
        <item x="34"/>
        <item x="20"/>
        <item x="18"/>
        <item x="5"/>
        <item x="7"/>
        <item x="41"/>
        <item x="17"/>
        <item x="4"/>
        <item x="6"/>
        <item t="default"/>
      </items>
    </pivotField>
    <pivotField compact="0" showAll="0">
      <items count="242">
        <item x="128"/>
        <item x="111"/>
        <item x="117"/>
        <item x="122"/>
        <item x="208"/>
        <item x="238"/>
        <item x="113"/>
        <item x="211"/>
        <item x="69"/>
        <item x="204"/>
        <item x="170"/>
        <item x="73"/>
        <item x="98"/>
        <item x="103"/>
        <item x="92"/>
        <item x="100"/>
        <item x="206"/>
        <item x="29"/>
        <item x="164"/>
        <item x="23"/>
        <item x="45"/>
        <item x="184"/>
        <item x="131"/>
        <item x="187"/>
        <item x="140"/>
        <item x="24"/>
        <item x="135"/>
        <item x="144"/>
        <item x="207"/>
        <item x="181"/>
        <item x="74"/>
        <item x="63"/>
        <item x="11"/>
        <item x="105"/>
        <item x="49"/>
        <item x="21"/>
        <item x="225"/>
        <item x="233"/>
        <item x="209"/>
        <item x="28"/>
        <item x="101"/>
        <item x="212"/>
        <item x="180"/>
        <item x="195"/>
        <item x="220"/>
        <item x="179"/>
        <item x="182"/>
        <item x="91"/>
        <item x="35"/>
        <item x="234"/>
        <item x="4"/>
        <item x="132"/>
        <item x="43"/>
        <item x="124"/>
        <item x="222"/>
        <item x="196"/>
        <item x="37"/>
        <item x="148"/>
        <item x="166"/>
        <item x="112"/>
        <item x="183"/>
        <item x="133"/>
        <item x="18"/>
        <item x="186"/>
        <item x="118"/>
        <item x="123"/>
        <item x="2"/>
        <item x="96"/>
        <item x="219"/>
        <item x="85"/>
        <item x="104"/>
        <item x="152"/>
        <item x="33"/>
        <item x="153"/>
        <item x="78"/>
        <item x="239"/>
        <item x="108"/>
        <item x="48"/>
        <item x="31"/>
        <item x="84"/>
        <item x="129"/>
        <item x="175"/>
        <item x="126"/>
        <item x="202"/>
        <item x="0"/>
        <item x="82"/>
        <item x="55"/>
        <item x="163"/>
        <item x="47"/>
        <item x="213"/>
        <item x="203"/>
        <item x="177"/>
        <item x="81"/>
        <item x="75"/>
        <item x="72"/>
        <item x="93"/>
        <item x="228"/>
        <item x="157"/>
        <item x="22"/>
        <item x="134"/>
        <item x="229"/>
        <item x="165"/>
        <item x="99"/>
        <item x="190"/>
        <item x="20"/>
        <item x="130"/>
        <item x="185"/>
        <item x="83"/>
        <item x="151"/>
        <item x="169"/>
        <item x="80"/>
        <item x="30"/>
        <item x="193"/>
        <item x="46"/>
        <item x="223"/>
        <item x="56"/>
        <item x="201"/>
        <item x="7"/>
        <item x="156"/>
        <item x="240"/>
        <item x="191"/>
        <item x="87"/>
        <item x="41"/>
        <item x="19"/>
        <item x="39"/>
        <item x="38"/>
        <item x="150"/>
        <item x="138"/>
        <item x="235"/>
        <item x="189"/>
        <item x="44"/>
        <item x="173"/>
        <item x="17"/>
        <item x="26"/>
        <item x="36"/>
        <item x="155"/>
        <item x="120"/>
        <item x="50"/>
        <item x="116"/>
        <item x="67"/>
        <item x="227"/>
        <item x="53"/>
        <item x="149"/>
        <item x="226"/>
        <item x="10"/>
        <item x="198"/>
        <item x="192"/>
        <item x="68"/>
        <item x="145"/>
        <item x="61"/>
        <item x="136"/>
        <item x="210"/>
        <item x="70"/>
        <item x="15"/>
        <item x="176"/>
        <item x="162"/>
        <item x="77"/>
        <item x="178"/>
        <item x="174"/>
        <item x="6"/>
        <item x="230"/>
        <item x="66"/>
        <item x="16"/>
        <item x="32"/>
        <item x="14"/>
        <item x="143"/>
        <item x="89"/>
        <item x="161"/>
        <item x="65"/>
        <item x="114"/>
        <item x="217"/>
        <item x="110"/>
        <item x="139"/>
        <item x="102"/>
        <item x="42"/>
        <item x="127"/>
        <item x="147"/>
        <item x="76"/>
        <item x="97"/>
        <item x="109"/>
        <item x="12"/>
        <item x="8"/>
        <item x="51"/>
        <item x="154"/>
        <item x="27"/>
        <item x="57"/>
        <item x="237"/>
        <item x="171"/>
        <item x="115"/>
        <item x="214"/>
        <item x="231"/>
        <item x="64"/>
        <item x="121"/>
        <item x="25"/>
        <item x="141"/>
        <item x="3"/>
        <item x="1"/>
        <item x="62"/>
        <item x="13"/>
        <item x="95"/>
        <item x="216"/>
        <item x="79"/>
        <item x="106"/>
        <item x="54"/>
        <item x="142"/>
        <item x="88"/>
        <item x="218"/>
        <item x="188"/>
        <item x="107"/>
        <item x="71"/>
        <item x="215"/>
        <item x="197"/>
        <item x="221"/>
        <item x="146"/>
        <item x="125"/>
        <item x="168"/>
        <item x="200"/>
        <item x="158"/>
        <item x="194"/>
        <item x="205"/>
        <item x="9"/>
        <item x="94"/>
        <item x="34"/>
        <item x="90"/>
        <item x="137"/>
        <item x="167"/>
        <item x="86"/>
        <item x="58"/>
        <item x="52"/>
        <item x="40"/>
        <item x="160"/>
        <item x="232"/>
        <item x="199"/>
        <item x="5"/>
        <item x="59"/>
        <item x="60"/>
        <item x="119"/>
        <item x="159"/>
        <item x="224"/>
        <item x="172"/>
        <item x="236"/>
        <item t="default"/>
      </items>
    </pivotField>
    <pivotField compact="0" showAll="0">
      <items count="5">
        <item x="2"/>
        <item x="3"/>
        <item x="0"/>
        <item x="1"/>
        <item t="default"/>
      </items>
    </pivotField>
    <pivotField compact="0" showAll="0">
      <items count="464">
        <item x="0"/>
        <item x="151"/>
        <item x="88"/>
        <item x="203"/>
        <item x="389"/>
        <item x="461"/>
        <item x="292"/>
        <item x="449"/>
        <item x="13"/>
        <item x="183"/>
        <item x="198"/>
        <item x="32"/>
        <item x="227"/>
        <item x="350"/>
        <item x="39"/>
        <item x="27"/>
        <item x="281"/>
        <item x="269"/>
        <item x="238"/>
        <item x="199"/>
        <item x="327"/>
        <item x="140"/>
        <item x="337"/>
        <item x="11"/>
        <item x="108"/>
        <item x="414"/>
        <item x="225"/>
        <item x="192"/>
        <item x="324"/>
        <item x="251"/>
        <item x="59"/>
        <item x="417"/>
        <item x="331"/>
        <item x="81"/>
        <item x="263"/>
        <item x="103"/>
        <item x="178"/>
        <item x="301"/>
        <item x="201"/>
        <item x="194"/>
        <item x="264"/>
        <item x="306"/>
        <item x="193"/>
        <item x="228"/>
        <item x="67"/>
        <item x="271"/>
        <item x="45"/>
        <item x="272"/>
        <item x="341"/>
        <item x="411"/>
        <item x="220"/>
        <item x="376"/>
        <item x="450"/>
        <item x="3"/>
        <item x="137"/>
        <item x="424"/>
        <item x="136"/>
        <item x="53"/>
        <item x="278"/>
        <item x="403"/>
        <item x="143"/>
        <item x="58"/>
        <item x="427"/>
        <item x="302"/>
        <item x="111"/>
        <item x="132"/>
        <item x="285"/>
        <item x="202"/>
        <item x="96"/>
        <item x="239"/>
        <item x="284"/>
        <item x="34"/>
        <item x="184"/>
        <item x="295"/>
        <item x="402"/>
        <item x="261"/>
        <item x="358"/>
        <item x="433"/>
        <item x="371"/>
        <item x="293"/>
        <item x="338"/>
        <item x="129"/>
        <item x="406"/>
        <item x="323"/>
        <item x="182"/>
        <item x="64"/>
        <item x="460"/>
        <item x="305"/>
        <item x="2"/>
        <item x="162"/>
        <item x="317"/>
        <item x="391"/>
        <item x="196"/>
        <item x="105"/>
        <item x="56"/>
        <item x="215"/>
        <item x="401"/>
        <item x="131"/>
        <item x="313"/>
        <item x="296"/>
        <item x="125"/>
        <item x="425"/>
        <item x="94"/>
        <item x="60"/>
        <item x="158"/>
        <item x="69"/>
        <item x="47"/>
        <item x="339"/>
        <item x="159"/>
        <item x="288"/>
        <item x="79"/>
        <item x="66"/>
        <item x="152"/>
        <item x="299"/>
        <item x="233"/>
        <item x="265"/>
        <item x="35"/>
        <item x="113"/>
        <item x="6"/>
        <item x="280"/>
        <item x="276"/>
        <item x="200"/>
        <item x="80"/>
        <item x="95"/>
        <item x="244"/>
        <item x="174"/>
        <item x="287"/>
        <item x="254"/>
        <item x="415"/>
        <item x="149"/>
        <item x="435"/>
        <item x="10"/>
        <item x="186"/>
        <item x="54"/>
        <item x="195"/>
        <item x="394"/>
        <item x="65"/>
        <item x="102"/>
        <item x="375"/>
        <item x="428"/>
        <item x="71"/>
        <item x="180"/>
        <item x="219"/>
        <item x="439"/>
        <item x="342"/>
        <item x="82"/>
        <item x="286"/>
        <item x="404"/>
        <item x="36"/>
        <item x="360"/>
        <item x="28"/>
        <item x="135"/>
        <item x="351"/>
        <item x="208"/>
        <item x="9"/>
        <item x="459"/>
        <item x="343"/>
        <item x="139"/>
        <item x="248"/>
        <item x="326"/>
        <item x="173"/>
        <item x="242"/>
        <item x="117"/>
        <item x="133"/>
        <item x="221"/>
        <item x="150"/>
        <item x="253"/>
        <item x="177"/>
        <item x="77"/>
        <item x="355"/>
        <item x="90"/>
        <item x="164"/>
        <item x="42"/>
        <item x="330"/>
        <item x="165"/>
        <item x="456"/>
        <item x="407"/>
        <item x="430"/>
        <item x="92"/>
        <item x="237"/>
        <item x="367"/>
        <item x="335"/>
        <item x="266"/>
        <item x="453"/>
        <item x="189"/>
        <item x="127"/>
        <item x="258"/>
        <item x="325"/>
        <item x="352"/>
        <item x="134"/>
        <item x="379"/>
        <item x="328"/>
        <item x="356"/>
        <item x="332"/>
        <item x="12"/>
        <item x="303"/>
        <item x="218"/>
        <item x="104"/>
        <item x="46"/>
        <item x="399"/>
        <item x="458"/>
        <item x="85"/>
        <item x="146"/>
        <item x="156"/>
        <item x="270"/>
        <item x="412"/>
        <item x="377"/>
        <item x="262"/>
        <item x="204"/>
        <item x="154"/>
        <item x="231"/>
        <item x="217"/>
        <item x="448"/>
        <item x="61"/>
        <item x="289"/>
        <item x="147"/>
        <item x="300"/>
        <item x="446"/>
        <item x="315"/>
        <item x="57"/>
        <item x="5"/>
        <item x="434"/>
        <item x="372"/>
        <item x="366"/>
        <item x="418"/>
        <item x="167"/>
        <item x="373"/>
        <item x="76"/>
        <item x="416"/>
        <item x="455"/>
        <item x="33"/>
        <item x="23"/>
        <item x="168"/>
        <item x="232"/>
        <item x="187"/>
        <item x="142"/>
        <item x="30"/>
        <item x="385"/>
        <item x="44"/>
        <item x="124"/>
        <item x="329"/>
        <item x="37"/>
        <item x="383"/>
        <item x="308"/>
        <item x="298"/>
        <item x="408"/>
        <item x="216"/>
        <item x="89"/>
        <item x="75"/>
        <item x="422"/>
        <item x="16"/>
        <item x="429"/>
        <item x="441"/>
        <item x="419"/>
        <item x="24"/>
        <item x="148"/>
        <item x="101"/>
        <item x="55"/>
        <item x="141"/>
        <item x="349"/>
        <item x="224"/>
        <item x="128"/>
        <item x="277"/>
        <item x="245"/>
        <item x="118"/>
        <item x="240"/>
        <item x="1"/>
        <item x="444"/>
        <item x="386"/>
        <item x="153"/>
        <item x="243"/>
        <item x="334"/>
        <item x="409"/>
        <item x="72"/>
        <item x="312"/>
        <item x="210"/>
        <item x="410"/>
        <item x="364"/>
        <item x="321"/>
        <item x="100"/>
        <item x="365"/>
        <item x="344"/>
        <item x="176"/>
        <item x="336"/>
        <item x="14"/>
        <item x="397"/>
        <item x="346"/>
        <item x="398"/>
        <item x="126"/>
        <item x="29"/>
        <item x="78"/>
        <item x="123"/>
        <item x="432"/>
        <item x="361"/>
        <item x="431"/>
        <item x="259"/>
        <item x="423"/>
        <item x="353"/>
        <item x="381"/>
        <item x="396"/>
        <item x="370"/>
        <item x="297"/>
        <item x="63"/>
        <item x="275"/>
        <item x="172"/>
        <item x="70"/>
        <item x="309"/>
        <item x="155"/>
        <item x="130"/>
        <item x="445"/>
        <item x="395"/>
        <item x="191"/>
        <item x="384"/>
        <item x="4"/>
        <item x="319"/>
        <item x="106"/>
        <item x="122"/>
        <item x="93"/>
        <item x="73"/>
        <item x="388"/>
        <item x="157"/>
        <item x="43"/>
        <item x="48"/>
        <item x="107"/>
        <item x="320"/>
        <item x="393"/>
        <item x="368"/>
        <item x="345"/>
        <item x="179"/>
        <item x="279"/>
        <item x="340"/>
        <item x="49"/>
        <item x="205"/>
        <item x="304"/>
        <item x="426"/>
        <item x="400"/>
        <item x="413"/>
        <item x="369"/>
        <item x="247"/>
        <item x="109"/>
        <item x="31"/>
        <item x="160"/>
        <item x="421"/>
        <item x="8"/>
        <item x="273"/>
        <item x="25"/>
        <item x="98"/>
        <item x="310"/>
        <item x="169"/>
        <item x="110"/>
        <item x="374"/>
        <item x="230"/>
        <item x="87"/>
        <item x="91"/>
        <item x="452"/>
        <item x="257"/>
        <item x="282"/>
        <item x="171"/>
        <item x="21"/>
        <item x="241"/>
        <item x="213"/>
        <item x="267"/>
        <item x="447"/>
        <item x="382"/>
        <item x="318"/>
        <item x="378"/>
        <item x="206"/>
        <item x="249"/>
        <item x="120"/>
        <item x="19"/>
        <item x="188"/>
        <item x="41"/>
        <item x="83"/>
        <item x="18"/>
        <item x="38"/>
        <item x="119"/>
        <item x="7"/>
        <item x="226"/>
        <item x="362"/>
        <item x="440"/>
        <item x="170"/>
        <item x="255"/>
        <item x="283"/>
        <item x="250"/>
        <item x="307"/>
        <item x="175"/>
        <item x="20"/>
        <item x="112"/>
        <item x="359"/>
        <item x="52"/>
        <item x="380"/>
        <item x="214"/>
        <item x="99"/>
        <item x="311"/>
        <item x="234"/>
        <item x="209"/>
        <item x="236"/>
        <item x="50"/>
        <item x="363"/>
        <item x="197"/>
        <item x="40"/>
        <item x="22"/>
        <item x="294"/>
        <item x="86"/>
        <item x="347"/>
        <item x="392"/>
        <item x="268"/>
        <item x="457"/>
        <item x="420"/>
        <item x="462"/>
        <item x="348"/>
        <item x="51"/>
        <item x="121"/>
        <item x="74"/>
        <item x="274"/>
        <item x="291"/>
        <item x="181"/>
        <item x="116"/>
        <item x="26"/>
        <item x="161"/>
        <item x="436"/>
        <item x="316"/>
        <item x="222"/>
        <item x="185"/>
        <item x="114"/>
        <item x="163"/>
        <item x="190"/>
        <item x="290"/>
        <item x="314"/>
        <item x="260"/>
        <item x="207"/>
        <item x="68"/>
        <item x="212"/>
        <item x="229"/>
        <item x="437"/>
        <item x="211"/>
        <item x="256"/>
        <item x="115"/>
        <item x="390"/>
        <item x="333"/>
        <item x="357"/>
        <item x="443"/>
        <item x="97"/>
        <item x="438"/>
        <item x="235"/>
        <item x="62"/>
        <item x="354"/>
        <item x="138"/>
        <item x="246"/>
        <item x="405"/>
        <item x="166"/>
        <item x="84"/>
        <item x="223"/>
        <item x="144"/>
        <item x="252"/>
        <item x="322"/>
        <item x="454"/>
        <item x="17"/>
        <item x="442"/>
        <item x="451"/>
        <item x="387"/>
        <item x="145"/>
        <item x="15"/>
        <item t="default"/>
      </items>
    </pivotField>
    <pivotField axis="axisPage" compact="0" showAll="0">
      <items count="4">
        <item x="0"/>
        <item x="1"/>
        <item x="2"/>
        <item t="default"/>
      </items>
    </pivotField>
    <pivotField compact="0" showAll="0">
      <items count="18">
        <item x="12"/>
        <item x="6"/>
        <item x="8"/>
        <item x="5"/>
        <item x="0"/>
        <item x="9"/>
        <item x="16"/>
        <item x="11"/>
        <item x="13"/>
        <item x="3"/>
        <item x="1"/>
        <item x="14"/>
        <item x="4"/>
        <item x="10"/>
        <item x="7"/>
        <item x="15"/>
        <item x="2"/>
        <item t="default"/>
      </items>
    </pivotField>
    <pivotField compact="0" showAll="0">
      <items count="462">
        <item x="297"/>
        <item x="16"/>
        <item x="35"/>
        <item x="284"/>
        <item x="169"/>
        <item x="277"/>
        <item x="200"/>
        <item x="45"/>
        <item x="144"/>
        <item x="81"/>
        <item x="327"/>
        <item x="397"/>
        <item x="371"/>
        <item x="266"/>
        <item x="378"/>
        <item x="414"/>
        <item x="454"/>
        <item x="170"/>
        <item x="306"/>
        <item x="255"/>
        <item x="282"/>
        <item x="79"/>
        <item x="318"/>
        <item x="352"/>
        <item x="368"/>
        <item x="121"/>
        <item x="19"/>
        <item x="348"/>
        <item x="24"/>
        <item x="128"/>
        <item x="240"/>
        <item x="245"/>
        <item x="210"/>
        <item x="193"/>
        <item x="432"/>
        <item x="180"/>
        <item x="123"/>
        <item x="380"/>
        <item x="165"/>
        <item x="258"/>
        <item x="63"/>
        <item x="379"/>
        <item x="211"/>
        <item x="58"/>
        <item x="138"/>
        <item x="145"/>
        <item x="85"/>
        <item x="89"/>
        <item x="385"/>
        <item x="243"/>
        <item x="320"/>
        <item x="363"/>
        <item x="364"/>
        <item x="442"/>
        <item x="333"/>
        <item x="101"/>
        <item x="311"/>
        <item x="73"/>
        <item x="153"/>
        <item x="30"/>
        <item x="334"/>
        <item x="61"/>
        <item x="407"/>
        <item x="288"/>
        <item x="173"/>
        <item x="48"/>
        <item x="86"/>
        <item x="237"/>
        <item x="446"/>
        <item x="119"/>
        <item x="215"/>
        <item x="338"/>
        <item x="70"/>
        <item x="152"/>
        <item x="353"/>
        <item x="313"/>
        <item x="265"/>
        <item x="423"/>
        <item x="60"/>
        <item x="399"/>
        <item x="126"/>
        <item x="178"/>
        <item x="413"/>
        <item x="78"/>
        <item x="444"/>
        <item x="91"/>
        <item x="374"/>
        <item x="150"/>
        <item x="298"/>
        <item x="350"/>
        <item x="354"/>
        <item x="139"/>
        <item x="95"/>
        <item x="131"/>
        <item x="2"/>
        <item x="177"/>
        <item x="106"/>
        <item x="291"/>
        <item x="203"/>
        <item x="0"/>
        <item x="459"/>
        <item x="387"/>
        <item x="328"/>
        <item x="190"/>
        <item x="222"/>
        <item x="324"/>
        <item x="299"/>
        <item x="204"/>
        <item x="232"/>
        <item x="262"/>
        <item x="309"/>
        <item x="304"/>
        <item x="196"/>
        <item x="316"/>
        <item x="116"/>
        <item x="246"/>
        <item x="207"/>
        <item x="332"/>
        <item x="436"/>
        <item x="217"/>
        <item x="136"/>
        <item x="23"/>
        <item x="408"/>
        <item x="184"/>
        <item x="164"/>
        <item x="289"/>
        <item x="409"/>
        <item x="375"/>
        <item x="261"/>
        <item x="300"/>
        <item x="448"/>
        <item x="92"/>
        <item x="373"/>
        <item x="400"/>
        <item x="137"/>
        <item x="186"/>
        <item x="325"/>
        <item x="359"/>
        <item x="457"/>
        <item x="140"/>
        <item x="14"/>
        <item x="205"/>
        <item x="33"/>
        <item x="273"/>
        <item x="112"/>
        <item x="272"/>
        <item x="97"/>
        <item x="458"/>
        <item x="431"/>
        <item x="18"/>
        <item x="202"/>
        <item x="422"/>
        <item x="34"/>
        <item x="3"/>
        <item x="226"/>
        <item x="41"/>
        <item x="377"/>
        <item x="340"/>
        <item x="201"/>
        <item x="132"/>
        <item x="322"/>
        <item x="234"/>
        <item x="185"/>
        <item x="114"/>
        <item x="96"/>
        <item x="233"/>
        <item x="276"/>
        <item x="337"/>
        <item x="220"/>
        <item x="135"/>
        <item x="450"/>
        <item x="47"/>
        <item x="355"/>
        <item x="376"/>
        <item x="213"/>
        <item x="5"/>
        <item x="416"/>
        <item x="111"/>
        <item x="8"/>
        <item x="419"/>
        <item x="254"/>
        <item x="381"/>
        <item x="438"/>
        <item x="44"/>
        <item x="425"/>
        <item x="134"/>
        <item x="57"/>
        <item x="314"/>
        <item x="366"/>
        <item x="105"/>
        <item x="428"/>
        <item x="187"/>
        <item x="351"/>
        <item x="302"/>
        <item x="127"/>
        <item x="331"/>
        <item x="15"/>
        <item x="194"/>
        <item x="349"/>
        <item x="225"/>
        <item x="59"/>
        <item x="11"/>
        <item x="192"/>
        <item x="198"/>
        <item x="109"/>
        <item x="104"/>
        <item x="263"/>
        <item x="62"/>
        <item x="280"/>
        <item x="27"/>
        <item x="281"/>
        <item x="21"/>
        <item x="329"/>
        <item x="315"/>
        <item x="32"/>
        <item x="159"/>
        <item x="6"/>
        <item x="25"/>
        <item x="415"/>
        <item x="323"/>
        <item x="199"/>
        <item x="238"/>
        <item x="326"/>
        <item x="183"/>
        <item x="162"/>
        <item x="56"/>
        <item x="287"/>
        <item x="257"/>
        <item x="239"/>
        <item x="129"/>
        <item x="301"/>
        <item x="65"/>
        <item x="28"/>
        <item x="54"/>
        <item x="356"/>
        <item x="252"/>
        <item x="142"/>
        <item x="293"/>
        <item x="274"/>
        <item x="22"/>
        <item x="209"/>
        <item x="189"/>
        <item x="445"/>
        <item x="321"/>
        <item x="37"/>
        <item x="286"/>
        <item x="80"/>
        <item x="181"/>
        <item x="312"/>
        <item x="347"/>
        <item x="295"/>
        <item x="365"/>
        <item x="417"/>
        <item x="75"/>
        <item x="389"/>
        <item x="188"/>
        <item x="163"/>
        <item x="115"/>
        <item x="452"/>
        <item x="235"/>
        <item x="330"/>
        <item x="357"/>
        <item x="372"/>
        <item x="122"/>
        <item x="403"/>
        <item x="50"/>
        <item x="455"/>
        <item x="310"/>
        <item x="52"/>
        <item x="40"/>
        <item x="362"/>
        <item x="437"/>
        <item x="404"/>
        <item x="271"/>
        <item x="292"/>
        <item x="53"/>
        <item x="307"/>
        <item x="250"/>
        <item x="264"/>
        <item x="283"/>
        <item x="434"/>
        <item x="390"/>
        <item x="460"/>
        <item x="358"/>
        <item x="100"/>
        <item x="197"/>
        <item x="51"/>
        <item x="396"/>
        <item x="117"/>
        <item x="341"/>
        <item x="256"/>
        <item x="223"/>
        <item x="440"/>
        <item x="290"/>
        <item x="72"/>
        <item x="253"/>
        <item x="149"/>
        <item x="10"/>
        <item x="342"/>
        <item x="392"/>
        <item x="221"/>
        <item x="285"/>
        <item x="248"/>
        <item x="433"/>
        <item x="9"/>
        <item x="66"/>
        <item x="195"/>
        <item x="133"/>
        <item x="98"/>
        <item x="166"/>
        <item x="251"/>
        <item x="39"/>
        <item x="158"/>
        <item x="412"/>
        <item x="269"/>
        <item x="141"/>
        <item x="148"/>
        <item x="102"/>
        <item x="55"/>
        <item x="447"/>
        <item x="82"/>
        <item x="229"/>
        <item x="17"/>
        <item x="439"/>
        <item x="427"/>
        <item x="384"/>
        <item x="247"/>
        <item x="88"/>
        <item x="69"/>
        <item x="418"/>
        <item x="90"/>
        <item x="435"/>
        <item x="388"/>
        <item x="124"/>
        <item x="208"/>
        <item x="231"/>
        <item x="270"/>
        <item x="36"/>
        <item x="93"/>
        <item x="260"/>
        <item x="118"/>
        <item x="346"/>
        <item x="421"/>
        <item x="317"/>
        <item x="420"/>
        <item x="13"/>
        <item x="219"/>
        <item x="125"/>
        <item x="393"/>
        <item x="113"/>
        <item x="206"/>
        <item x="120"/>
        <item x="227"/>
        <item x="38"/>
        <item x="236"/>
        <item x="87"/>
        <item x="83"/>
        <item x="103"/>
        <item x="244"/>
        <item x="67"/>
        <item x="151"/>
        <item x="1"/>
        <item x="68"/>
        <item x="305"/>
        <item x="336"/>
        <item x="29"/>
        <item x="161"/>
        <item x="175"/>
        <item x="214"/>
        <item x="367"/>
        <item x="443"/>
        <item x="71"/>
        <item x="430"/>
        <item x="94"/>
        <item x="160"/>
        <item x="212"/>
        <item x="402"/>
        <item x="76"/>
        <item x="174"/>
        <item x="361"/>
        <item x="401"/>
        <item x="224"/>
        <item x="426"/>
        <item x="230"/>
        <item x="146"/>
        <item x="216"/>
        <item x="7"/>
        <item x="171"/>
        <item x="451"/>
        <item x="31"/>
        <item x="143"/>
        <item x="294"/>
        <item x="228"/>
        <item x="370"/>
        <item x="84"/>
        <item x="241"/>
        <item x="99"/>
        <item x="267"/>
        <item x="382"/>
        <item x="303"/>
        <item x="449"/>
        <item x="249"/>
        <item x="46"/>
        <item x="279"/>
        <item x="147"/>
        <item x="168"/>
        <item x="42"/>
        <item x="49"/>
        <item x="268"/>
        <item x="20"/>
        <item x="26"/>
        <item x="218"/>
        <item x="182"/>
        <item x="406"/>
        <item x="441"/>
        <item x="12"/>
        <item x="167"/>
        <item x="156"/>
        <item x="410"/>
        <item x="383"/>
        <item x="456"/>
        <item x="453"/>
        <item x="77"/>
        <item x="154"/>
        <item x="394"/>
        <item x="110"/>
        <item x="411"/>
        <item x="360"/>
        <item x="335"/>
        <item x="398"/>
        <item x="191"/>
        <item x="176"/>
        <item x="369"/>
        <item x="74"/>
        <item x="386"/>
        <item x="155"/>
        <item x="278"/>
        <item x="64"/>
        <item x="108"/>
        <item x="157"/>
        <item x="308"/>
        <item x="4"/>
        <item x="344"/>
        <item x="259"/>
        <item x="172"/>
        <item x="391"/>
        <item x="179"/>
        <item x="275"/>
        <item x="345"/>
        <item x="43"/>
        <item x="429"/>
        <item x="343"/>
        <item x="395"/>
        <item x="424"/>
        <item x="339"/>
        <item x="296"/>
        <item x="130"/>
        <item x="319"/>
        <item x="107"/>
        <item x="242"/>
        <item x="405"/>
        <item t="default"/>
      </items>
    </pivotField>
    <pivotField dataField="1" compact="0" showAll="0">
      <items count="503">
        <item x="434"/>
        <item x="439"/>
        <item x="34"/>
        <item x="117"/>
        <item x="126"/>
        <item x="105"/>
        <item x="61"/>
        <item x="165"/>
        <item x="300"/>
        <item x="222"/>
        <item x="492"/>
        <item x="381"/>
        <item x="194"/>
        <item x="94"/>
        <item x="84"/>
        <item x="267"/>
        <item x="437"/>
        <item x="252"/>
        <item x="499"/>
        <item x="399"/>
        <item x="430"/>
        <item x="31"/>
        <item x="146"/>
        <item x="204"/>
        <item x="189"/>
        <item x="137"/>
        <item x="148"/>
        <item x="375"/>
        <item x="361"/>
        <item x="104"/>
        <item x="45"/>
        <item x="180"/>
        <item x="388"/>
        <item x="211"/>
        <item x="75"/>
        <item x="420"/>
        <item x="458"/>
        <item x="428"/>
        <item x="284"/>
        <item x="73"/>
        <item x="186"/>
        <item x="152"/>
        <item x="450"/>
        <item x="224"/>
        <item x="87"/>
        <item x="379"/>
        <item x="92"/>
        <item x="122"/>
        <item x="113"/>
        <item x="147"/>
        <item x="477"/>
        <item x="438"/>
        <item x="214"/>
        <item x="158"/>
        <item x="480"/>
        <item x="491"/>
        <item x="269"/>
        <item x="9"/>
        <item x="160"/>
        <item x="272"/>
        <item x="66"/>
        <item x="404"/>
        <item x="210"/>
        <item x="181"/>
        <item x="262"/>
        <item x="479"/>
        <item x="173"/>
        <item x="368"/>
        <item x="431"/>
        <item x="135"/>
        <item x="79"/>
        <item x="316"/>
        <item x="352"/>
        <item x="443"/>
        <item x="311"/>
        <item x="405"/>
        <item x="109"/>
        <item x="445"/>
        <item x="294"/>
        <item x="237"/>
        <item x="247"/>
        <item x="340"/>
        <item x="359"/>
        <item x="264"/>
        <item x="13"/>
        <item x="327"/>
        <item x="459"/>
        <item x="329"/>
        <item x="115"/>
        <item x="416"/>
        <item x="193"/>
        <item x="338"/>
        <item x="168"/>
        <item x="44"/>
        <item x="251"/>
        <item x="335"/>
        <item x="391"/>
        <item x="394"/>
        <item x="456"/>
        <item x="27"/>
        <item x="121"/>
        <item x="91"/>
        <item x="301"/>
        <item x="495"/>
        <item x="415"/>
        <item x="1"/>
        <item x="442"/>
        <item x="209"/>
        <item x="287"/>
        <item x="37"/>
        <item x="308"/>
        <item x="138"/>
        <item x="275"/>
        <item x="25"/>
        <item x="4"/>
        <item x="401"/>
        <item x="461"/>
        <item x="221"/>
        <item x="382"/>
        <item x="144"/>
        <item x="235"/>
        <item x="419"/>
        <item x="348"/>
        <item x="393"/>
        <item x="323"/>
        <item x="149"/>
        <item x="277"/>
        <item x="343"/>
        <item x="487"/>
        <item x="226"/>
        <item x="107"/>
        <item x="281"/>
        <item x="279"/>
        <item x="32"/>
        <item x="130"/>
        <item x="35"/>
        <item x="496"/>
        <item x="249"/>
        <item x="10"/>
        <item x="298"/>
        <item x="315"/>
        <item x="41"/>
        <item x="64"/>
        <item x="43"/>
        <item x="353"/>
        <item x="116"/>
        <item x="156"/>
        <item x="101"/>
        <item x="80"/>
        <item x="369"/>
        <item x="95"/>
        <item x="429"/>
        <item x="475"/>
        <item x="229"/>
        <item x="356"/>
        <item x="471"/>
        <item x="220"/>
        <item x="336"/>
        <item x="457"/>
        <item x="157"/>
        <item x="166"/>
        <item x="201"/>
        <item x="470"/>
        <item x="102"/>
        <item x="295"/>
        <item x="49"/>
        <item x="464"/>
        <item x="297"/>
        <item x="313"/>
        <item x="334"/>
        <item x="85"/>
        <item x="423"/>
        <item x="110"/>
        <item x="134"/>
        <item x="424"/>
        <item x="484"/>
        <item x="78"/>
        <item x="77"/>
        <item x="15"/>
        <item x="426"/>
        <item x="212"/>
        <item x="296"/>
        <item x="390"/>
        <item x="392"/>
        <item x="286"/>
        <item x="191"/>
        <item x="346"/>
        <item x="132"/>
        <item x="344"/>
        <item x="435"/>
        <item x="385"/>
        <item x="246"/>
        <item x="397"/>
        <item x="365"/>
        <item x="98"/>
        <item x="366"/>
        <item x="273"/>
        <item x="175"/>
        <item x="172"/>
        <item x="154"/>
        <item x="231"/>
        <item x="472"/>
        <item x="463"/>
        <item x="123"/>
        <item x="89"/>
        <item x="371"/>
        <item x="396"/>
        <item x="24"/>
        <item x="174"/>
        <item x="378"/>
        <item x="497"/>
        <item x="55"/>
        <item x="208"/>
        <item x="271"/>
        <item x="243"/>
        <item x="362"/>
        <item x="162"/>
        <item x="53"/>
        <item x="250"/>
        <item x="236"/>
        <item x="358"/>
        <item x="490"/>
        <item x="446"/>
        <item x="377"/>
        <item x="451"/>
        <item x="383"/>
        <item x="23"/>
        <item x="417"/>
        <item x="136"/>
        <item x="322"/>
        <item x="21"/>
        <item x="414"/>
        <item x="93"/>
        <item x="409"/>
        <item x="403"/>
        <item x="58"/>
        <item x="233"/>
        <item x="151"/>
        <item x="3"/>
        <item x="373"/>
        <item x="170"/>
        <item x="326"/>
        <item x="481"/>
        <item x="161"/>
        <item x="367"/>
        <item x="47"/>
        <item x="258"/>
        <item x="360"/>
        <item x="81"/>
        <item x="76"/>
        <item x="228"/>
        <item x="205"/>
        <item x="8"/>
        <item x="183"/>
        <item x="330"/>
        <item x="242"/>
        <item x="337"/>
        <item x="72"/>
        <item x="195"/>
        <item x="318"/>
        <item x="63"/>
        <item x="370"/>
        <item x="299"/>
        <item x="197"/>
        <item x="48"/>
        <item x="97"/>
        <item x="364"/>
        <item x="389"/>
        <item x="6"/>
        <item x="257"/>
        <item x="185"/>
        <item x="171"/>
        <item x="260"/>
        <item x="11"/>
        <item x="255"/>
        <item x="51"/>
        <item x="169"/>
        <item x="30"/>
        <item x="54"/>
        <item x="263"/>
        <item x="19"/>
        <item x="478"/>
        <item x="120"/>
        <item x="332"/>
        <item x="114"/>
        <item x="62"/>
        <item x="65"/>
        <item x="372"/>
        <item x="395"/>
        <item x="100"/>
        <item x="261"/>
        <item x="412"/>
        <item x="462"/>
        <item x="139"/>
        <item x="482"/>
        <item x="150"/>
        <item x="476"/>
        <item x="254"/>
        <item x="103"/>
        <item x="69"/>
        <item x="216"/>
        <item x="20"/>
        <item x="207"/>
        <item x="178"/>
        <item x="452"/>
        <item x="46"/>
        <item x="274"/>
        <item x="82"/>
        <item x="289"/>
        <item x="141"/>
        <item x="410"/>
        <item x="493"/>
        <item x="498"/>
        <item x="317"/>
        <item x="402"/>
        <item x="200"/>
        <item x="305"/>
        <item x="218"/>
        <item x="339"/>
        <item x="17"/>
        <item x="290"/>
        <item x="449"/>
        <item x="374"/>
        <item x="219"/>
        <item x="270"/>
        <item x="312"/>
        <item x="223"/>
        <item x="432"/>
        <item x="486"/>
        <item x="198"/>
        <item x="321"/>
        <item x="283"/>
        <item x="354"/>
        <item x="142"/>
        <item x="494"/>
        <item x="177"/>
        <item x="128"/>
        <item x="266"/>
        <item x="350"/>
        <item x="265"/>
        <item x="319"/>
        <item x="18"/>
        <item x="411"/>
        <item x="398"/>
        <item x="453"/>
        <item x="238"/>
        <item x="454"/>
        <item x="400"/>
        <item x="57"/>
        <item x="71"/>
        <item x="42"/>
        <item x="489"/>
        <item x="418"/>
        <item x="256"/>
        <item x="433"/>
        <item x="106"/>
        <item x="306"/>
        <item x="425"/>
        <item x="88"/>
        <item x="460"/>
        <item x="140"/>
        <item x="176"/>
        <item x="324"/>
        <item x="376"/>
        <item x="347"/>
        <item x="187"/>
        <item x="217"/>
        <item x="232"/>
        <item x="380"/>
        <item x="304"/>
        <item x="386"/>
        <item x="182"/>
        <item x="307"/>
        <item x="38"/>
        <item x="427"/>
        <item x="203"/>
        <item x="192"/>
        <item x="36"/>
        <item x="26"/>
        <item x="285"/>
        <item x="309"/>
        <item x="125"/>
        <item x="227"/>
        <item x="22"/>
        <item x="28"/>
        <item x="96"/>
        <item x="133"/>
        <item x="39"/>
        <item x="108"/>
        <item x="50"/>
        <item x="363"/>
        <item x="325"/>
        <item x="276"/>
        <item x="167"/>
        <item x="244"/>
        <item x="143"/>
        <item x="129"/>
        <item x="202"/>
        <item x="0"/>
        <item x="314"/>
        <item x="355"/>
        <item x="196"/>
        <item x="145"/>
        <item x="466"/>
        <item x="468"/>
        <item x="131"/>
        <item x="483"/>
        <item x="40"/>
        <item x="341"/>
        <item x="112"/>
        <item x="387"/>
        <item x="407"/>
        <item x="406"/>
        <item x="119"/>
        <item x="282"/>
        <item x="52"/>
        <item x="206"/>
        <item x="467"/>
        <item x="349"/>
        <item x="357"/>
        <item x="469"/>
        <item x="268"/>
        <item x="310"/>
        <item x="253"/>
        <item x="163"/>
        <item x="288"/>
        <item x="240"/>
        <item x="333"/>
        <item x="179"/>
        <item x="70"/>
        <item x="153"/>
        <item x="278"/>
        <item x="421"/>
        <item x="83"/>
        <item x="500"/>
        <item x="5"/>
        <item x="474"/>
        <item x="99"/>
        <item x="215"/>
        <item x="74"/>
        <item x="293"/>
        <item x="239"/>
        <item x="259"/>
        <item x="488"/>
        <item x="303"/>
        <item x="164"/>
        <item x="448"/>
        <item x="86"/>
        <item x="422"/>
        <item x="440"/>
        <item x="345"/>
        <item x="485"/>
        <item x="328"/>
        <item x="436"/>
        <item x="59"/>
        <item x="60"/>
        <item x="473"/>
        <item x="342"/>
        <item x="241"/>
        <item x="155"/>
        <item x="7"/>
        <item x="68"/>
        <item x="230"/>
        <item x="465"/>
        <item x="291"/>
        <item x="188"/>
        <item x="124"/>
        <item x="199"/>
        <item x="56"/>
        <item x="33"/>
        <item x="67"/>
        <item x="413"/>
        <item x="184"/>
        <item x="90"/>
        <item x="2"/>
        <item x="234"/>
        <item x="292"/>
        <item x="190"/>
        <item x="127"/>
        <item x="12"/>
        <item x="280"/>
        <item x="16"/>
        <item x="29"/>
        <item x="245"/>
        <item x="384"/>
        <item x="441"/>
        <item x="408"/>
        <item x="331"/>
        <item x="248"/>
        <item x="351"/>
        <item x="159"/>
        <item x="455"/>
        <item x="320"/>
        <item x="111"/>
        <item x="447"/>
        <item x="444"/>
        <item x="213"/>
        <item x="225"/>
        <item x="118"/>
        <item x="14"/>
        <item x="302"/>
        <item x="501"/>
        <item t="default"/>
      </items>
    </pivotField>
    <pivotField compact="0" showAll="0">
      <items count="16">
        <item x="8"/>
        <item x="0"/>
        <item x="3"/>
        <item x="6"/>
        <item x="1"/>
        <item x="4"/>
        <item x="2"/>
        <item x="7"/>
        <item x="5"/>
        <item x="11"/>
        <item x="10"/>
        <item x="12"/>
        <item x="13"/>
        <item x="9"/>
        <item x="14"/>
        <item t="default"/>
      </items>
    </pivotField>
    <pivotField compact="0" showAll="0">
      <items count="13">
        <item x="0"/>
        <item x="9"/>
        <item x="2"/>
        <item x="4"/>
        <item x="10"/>
        <item x="8"/>
        <item x="1"/>
        <item x="5"/>
        <item x="6"/>
        <item x="7"/>
        <item x="3"/>
        <item x="11"/>
        <item t="default"/>
      </items>
    </pivotField>
    <pivotField compact="0" showAll="0">
      <items count="517">
        <item x="310"/>
        <item x="14"/>
        <item x="395"/>
        <item x="119"/>
        <item x="61"/>
        <item x="2"/>
        <item x="171"/>
        <item x="210"/>
        <item x="166"/>
        <item x="83"/>
        <item x="497"/>
        <item x="434"/>
        <item x="98"/>
        <item x="132"/>
        <item x="342"/>
        <item x="97"/>
        <item x="170"/>
        <item x="249"/>
        <item x="195"/>
        <item x="136"/>
        <item x="82"/>
        <item x="6"/>
        <item x="58"/>
        <item x="33"/>
        <item x="109"/>
        <item x="207"/>
        <item x="225"/>
        <item x="488"/>
        <item x="378"/>
        <item x="204"/>
        <item x="244"/>
        <item x="149"/>
        <item x="480"/>
        <item x="496"/>
        <item x="492"/>
        <item x="284"/>
        <item x="299"/>
        <item x="39"/>
        <item x="211"/>
        <item x="394"/>
        <item x="272"/>
        <item x="337"/>
        <item x="107"/>
        <item x="348"/>
        <item x="51"/>
        <item x="206"/>
        <item x="500"/>
        <item x="355"/>
        <item x="150"/>
        <item x="175"/>
        <item x="167"/>
        <item x="268"/>
        <item x="423"/>
        <item x="28"/>
        <item x="228"/>
        <item x="279"/>
        <item x="35"/>
        <item x="305"/>
        <item x="318"/>
        <item x="287"/>
        <item x="435"/>
        <item x="108"/>
        <item x="236"/>
        <item x="501"/>
        <item x="64"/>
        <item x="84"/>
        <item x="495"/>
        <item x="336"/>
        <item x="63"/>
        <item x="60"/>
        <item x="116"/>
        <item x="212"/>
        <item x="124"/>
        <item x="308"/>
        <item x="239"/>
        <item x="416"/>
        <item x="164"/>
        <item x="159"/>
        <item x="506"/>
        <item x="118"/>
        <item x="400"/>
        <item x="493"/>
        <item x="45"/>
        <item x="197"/>
        <item x="129"/>
        <item x="513"/>
        <item x="274"/>
        <item x="95"/>
        <item x="155"/>
        <item x="34"/>
        <item x="453"/>
        <item x="62"/>
        <item x="11"/>
        <item x="447"/>
        <item x="253"/>
        <item x="390"/>
        <item x="123"/>
        <item x="172"/>
        <item x="194"/>
        <item x="222"/>
        <item x="232"/>
        <item x="230"/>
        <item x="451"/>
        <item x="338"/>
        <item x="106"/>
        <item x="148"/>
        <item x="271"/>
        <item x="154"/>
        <item x="269"/>
        <item x="93"/>
        <item x="259"/>
        <item x="386"/>
        <item x="392"/>
        <item x="77"/>
        <item x="202"/>
        <item x="85"/>
        <item x="243"/>
        <item x="265"/>
        <item x="380"/>
        <item x="151"/>
        <item x="219"/>
        <item x="443"/>
        <item x="407"/>
        <item x="485"/>
        <item x="306"/>
        <item x="31"/>
        <item x="74"/>
        <item x="105"/>
        <item x="86"/>
        <item x="371"/>
        <item x="218"/>
        <item x="140"/>
        <item x="411"/>
        <item x="303"/>
        <item x="472"/>
        <item x="433"/>
        <item x="158"/>
        <item x="200"/>
        <item x="153"/>
        <item x="509"/>
        <item x="67"/>
        <item x="241"/>
        <item x="285"/>
        <item x="464"/>
        <item x="9"/>
        <item x="428"/>
        <item x="255"/>
        <item x="439"/>
        <item x="452"/>
        <item x="276"/>
        <item x="377"/>
        <item x="76"/>
        <item x="478"/>
        <item x="188"/>
        <item x="437"/>
        <item x="80"/>
        <item x="152"/>
        <item x="187"/>
        <item x="138"/>
        <item x="505"/>
        <item x="441"/>
        <item x="324"/>
        <item x="157"/>
        <item x="510"/>
        <item x="292"/>
        <item x="446"/>
        <item x="369"/>
        <item x="379"/>
        <item x="245"/>
        <item x="417"/>
        <item x="257"/>
        <item x="214"/>
        <item x="88"/>
        <item x="180"/>
        <item x="494"/>
        <item x="491"/>
        <item x="114"/>
        <item x="146"/>
        <item x="141"/>
        <item x="179"/>
        <item x="319"/>
        <item x="201"/>
        <item x="353"/>
        <item x="90"/>
        <item x="19"/>
        <item x="127"/>
        <item x="374"/>
        <item x="128"/>
        <item x="429"/>
        <item x="316"/>
        <item x="37"/>
        <item x="13"/>
        <item x="344"/>
        <item x="335"/>
        <item x="473"/>
        <item x="368"/>
        <item x="406"/>
        <item x="361"/>
        <item x="309"/>
        <item x="122"/>
        <item x="110"/>
        <item x="156"/>
        <item x="312"/>
        <item x="444"/>
        <item x="459"/>
        <item x="457"/>
        <item x="23"/>
        <item x="267"/>
        <item x="10"/>
        <item x="413"/>
        <item x="475"/>
        <item x="330"/>
        <item x="283"/>
        <item x="393"/>
        <item x="397"/>
        <item x="302"/>
        <item x="234"/>
        <item x="484"/>
        <item x="349"/>
        <item x="229"/>
        <item x="4"/>
        <item x="456"/>
        <item x="347"/>
        <item x="101"/>
        <item x="357"/>
        <item x="403"/>
        <item x="405"/>
        <item x="466"/>
        <item x="289"/>
        <item x="254"/>
        <item x="295"/>
        <item x="27"/>
        <item x="367"/>
        <item x="44"/>
        <item x="25"/>
        <item x="331"/>
        <item x="102"/>
        <item x="217"/>
        <item x="43"/>
        <item x="133"/>
        <item x="470"/>
        <item x="92"/>
        <item x="96"/>
        <item x="41"/>
        <item x="1"/>
        <item x="343"/>
        <item x="117"/>
        <item x="323"/>
        <item x="209"/>
        <item x="215"/>
        <item x="250"/>
        <item x="365"/>
        <item x="436"/>
        <item x="173"/>
        <item x="432"/>
        <item x="402"/>
        <item x="22"/>
        <item x="334"/>
        <item x="298"/>
        <item x="384"/>
        <item x="476"/>
        <item x="144"/>
        <item x="264"/>
        <item x="304"/>
        <item x="32"/>
        <item x="169"/>
        <item x="321"/>
        <item x="471"/>
        <item x="103"/>
        <item x="223"/>
        <item x="421"/>
        <item x="352"/>
        <item x="111"/>
        <item x="177"/>
        <item x="20"/>
        <item x="65"/>
        <item x="99"/>
        <item x="79"/>
        <item x="182"/>
        <item x="333"/>
        <item x="181"/>
        <item x="81"/>
        <item x="294"/>
        <item x="362"/>
        <item x="498"/>
        <item x="162"/>
        <item x="15"/>
        <item x="8"/>
        <item x="404"/>
        <item x="345"/>
        <item x="66"/>
        <item x="237"/>
        <item x="163"/>
        <item x="489"/>
        <item x="54"/>
        <item x="442"/>
        <item x="192"/>
        <item x="160"/>
        <item x="460"/>
        <item x="199"/>
        <item x="382"/>
        <item x="50"/>
        <item x="240"/>
        <item x="94"/>
        <item x="281"/>
        <item x="419"/>
        <item x="504"/>
        <item x="137"/>
        <item x="70"/>
        <item x="427"/>
        <item x="224"/>
        <item x="7"/>
        <item x="78"/>
        <item x="477"/>
        <item x="42"/>
        <item x="251"/>
        <item x="3"/>
        <item x="372"/>
        <item x="56"/>
        <item x="313"/>
        <item x="388"/>
        <item x="190"/>
        <item x="220"/>
        <item x="410"/>
        <item x="430"/>
        <item x="203"/>
        <item x="135"/>
        <item x="252"/>
        <item x="278"/>
        <item x="277"/>
        <item x="381"/>
        <item x="18"/>
        <item x="307"/>
        <item x="258"/>
        <item x="449"/>
        <item x="375"/>
        <item x="409"/>
        <item x="396"/>
        <item x="315"/>
        <item x="486"/>
        <item x="52"/>
        <item x="364"/>
        <item x="72"/>
        <item x="273"/>
        <item x="47"/>
        <item x="24"/>
        <item x="59"/>
        <item x="301"/>
        <item x="408"/>
        <item x="389"/>
        <item x="511"/>
        <item x="422"/>
        <item x="216"/>
        <item x="326"/>
        <item x="21"/>
        <item x="69"/>
        <item x="418"/>
        <item x="465"/>
        <item x="139"/>
        <item x="178"/>
        <item x="235"/>
        <item x="329"/>
        <item x="270"/>
        <item x="143"/>
        <item x="415"/>
        <item x="115"/>
        <item x="48"/>
        <item x="49"/>
        <item x="55"/>
        <item x="89"/>
        <item x="401"/>
        <item x="350"/>
        <item x="383"/>
        <item x="145"/>
        <item x="325"/>
        <item x="370"/>
        <item x="205"/>
        <item x="314"/>
        <item x="168"/>
        <item x="176"/>
        <item x="185"/>
        <item x="104"/>
        <item x="73"/>
        <item x="490"/>
        <item x="213"/>
        <item x="339"/>
        <item x="467"/>
        <item x="512"/>
        <item x="483"/>
        <item x="174"/>
        <item x="346"/>
        <item x="113"/>
        <item x="282"/>
        <item x="445"/>
        <item x="120"/>
        <item x="341"/>
        <item x="193"/>
        <item x="165"/>
        <item x="514"/>
        <item x="40"/>
        <item x="262"/>
        <item x="358"/>
        <item x="425"/>
        <item x="121"/>
        <item x="17"/>
        <item x="30"/>
        <item x="317"/>
        <item x="208"/>
        <item x="142"/>
        <item x="183"/>
        <item x="248"/>
        <item x="186"/>
        <item x="487"/>
        <item x="463"/>
        <item x="227"/>
        <item x="231"/>
        <item x="46"/>
        <item x="391"/>
        <item x="354"/>
        <item x="246"/>
        <item x="275"/>
        <item x="499"/>
        <item x="0"/>
        <item x="412"/>
        <item x="238"/>
        <item x="507"/>
        <item x="198"/>
        <item x="286"/>
        <item x="438"/>
        <item x="100"/>
        <item x="261"/>
        <item x="297"/>
        <item x="468"/>
        <item x="260"/>
        <item x="131"/>
        <item x="503"/>
        <item x="385"/>
        <item x="387"/>
        <item x="424"/>
        <item x="75"/>
        <item x="226"/>
        <item x="414"/>
        <item x="130"/>
        <item x="26"/>
        <item x="320"/>
        <item x="266"/>
        <item x="440"/>
        <item x="291"/>
        <item x="431"/>
        <item x="36"/>
        <item x="293"/>
        <item x="189"/>
        <item x="38"/>
        <item x="363"/>
        <item x="399"/>
        <item x="184"/>
        <item x="508"/>
        <item x="398"/>
        <item x="53"/>
        <item x="359"/>
        <item x="373"/>
        <item x="454"/>
        <item x="327"/>
        <item x="263"/>
        <item x="134"/>
        <item x="147"/>
        <item x="474"/>
        <item x="482"/>
        <item x="332"/>
        <item x="360"/>
        <item x="290"/>
        <item x="280"/>
        <item x="356"/>
        <item x="376"/>
        <item x="462"/>
        <item x="126"/>
        <item x="450"/>
        <item x="502"/>
        <item x="366"/>
        <item x="71"/>
        <item x="481"/>
        <item x="322"/>
        <item x="29"/>
        <item x="91"/>
        <item x="16"/>
        <item x="300"/>
        <item x="87"/>
        <item x="455"/>
        <item x="5"/>
        <item x="479"/>
        <item x="311"/>
        <item x="57"/>
        <item x="161"/>
        <item x="296"/>
        <item x="351"/>
        <item x="247"/>
        <item x="196"/>
        <item x="125"/>
        <item x="68"/>
        <item x="191"/>
        <item x="328"/>
        <item x="12"/>
        <item x="288"/>
        <item x="242"/>
        <item x="426"/>
        <item x="256"/>
        <item x="420"/>
        <item x="221"/>
        <item x="469"/>
        <item x="340"/>
        <item x="112"/>
        <item x="448"/>
        <item x="461"/>
        <item x="458"/>
        <item x="233"/>
        <item x="515"/>
        <item t="default"/>
      </items>
    </pivotField>
    <pivotField dataField="1" compact="0" showAll="0">
      <items count="517">
        <item x="253"/>
        <item x="390"/>
        <item x="123"/>
        <item x="172"/>
        <item x="194"/>
        <item x="222"/>
        <item x="232"/>
        <item x="230"/>
        <item x="447"/>
        <item x="451"/>
        <item x="338"/>
        <item x="106"/>
        <item x="148"/>
        <item x="271"/>
        <item x="11"/>
        <item x="154"/>
        <item x="269"/>
        <item x="93"/>
        <item x="259"/>
        <item x="386"/>
        <item x="392"/>
        <item x="77"/>
        <item x="202"/>
        <item x="85"/>
        <item x="243"/>
        <item x="265"/>
        <item x="380"/>
        <item x="151"/>
        <item x="219"/>
        <item x="443"/>
        <item x="407"/>
        <item x="485"/>
        <item x="306"/>
        <item x="31"/>
        <item x="74"/>
        <item x="105"/>
        <item x="62"/>
        <item x="86"/>
        <item x="371"/>
        <item x="453"/>
        <item x="218"/>
        <item x="34"/>
        <item x="140"/>
        <item x="411"/>
        <item x="303"/>
        <item x="472"/>
        <item x="433"/>
        <item x="155"/>
        <item x="95"/>
        <item x="158"/>
        <item x="200"/>
        <item x="153"/>
        <item x="509"/>
        <item x="67"/>
        <item x="241"/>
        <item x="285"/>
        <item x="464"/>
        <item x="9"/>
        <item x="428"/>
        <item x="255"/>
        <item x="439"/>
        <item x="452"/>
        <item x="274"/>
        <item x="276"/>
        <item x="377"/>
        <item x="76"/>
        <item x="478"/>
        <item x="188"/>
        <item x="437"/>
        <item x="80"/>
        <item x="152"/>
        <item x="187"/>
        <item x="138"/>
        <item x="505"/>
        <item x="513"/>
        <item x="441"/>
        <item x="324"/>
        <item x="157"/>
        <item x="510"/>
        <item x="292"/>
        <item x="446"/>
        <item x="369"/>
        <item x="379"/>
        <item x="245"/>
        <item x="417"/>
        <item x="257"/>
        <item x="214"/>
        <item x="129"/>
        <item x="88"/>
        <item x="180"/>
        <item x="494"/>
        <item x="491"/>
        <item x="114"/>
        <item x="146"/>
        <item x="141"/>
        <item x="179"/>
        <item x="319"/>
        <item x="201"/>
        <item x="353"/>
        <item x="197"/>
        <item x="90"/>
        <item x="45"/>
        <item x="493"/>
        <item x="19"/>
        <item x="127"/>
        <item x="374"/>
        <item x="128"/>
        <item x="429"/>
        <item x="400"/>
        <item x="316"/>
        <item x="37"/>
        <item x="13"/>
        <item x="344"/>
        <item x="335"/>
        <item x="473"/>
        <item x="368"/>
        <item x="118"/>
        <item x="506"/>
        <item x="406"/>
        <item x="361"/>
        <item x="309"/>
        <item x="122"/>
        <item x="110"/>
        <item x="156"/>
        <item x="312"/>
        <item x="444"/>
        <item x="159"/>
        <item x="459"/>
        <item x="457"/>
        <item x="23"/>
        <item x="267"/>
        <item x="10"/>
        <item x="413"/>
        <item x="475"/>
        <item x="330"/>
        <item x="283"/>
        <item x="393"/>
        <item x="397"/>
        <item x="302"/>
        <item x="234"/>
        <item x="484"/>
        <item x="349"/>
        <item x="229"/>
        <item x="4"/>
        <item x="456"/>
        <item x="347"/>
        <item x="164"/>
        <item x="101"/>
        <item x="357"/>
        <item x="403"/>
        <item x="405"/>
        <item x="466"/>
        <item x="289"/>
        <item x="254"/>
        <item x="295"/>
        <item x="27"/>
        <item x="367"/>
        <item x="44"/>
        <item x="25"/>
        <item x="331"/>
        <item x="102"/>
        <item x="416"/>
        <item x="217"/>
        <item x="43"/>
        <item x="133"/>
        <item x="470"/>
        <item x="92"/>
        <item x="96"/>
        <item x="41"/>
        <item x="1"/>
        <item x="343"/>
        <item x="117"/>
        <item x="323"/>
        <item x="209"/>
        <item x="215"/>
        <item x="250"/>
        <item x="239"/>
        <item x="365"/>
        <item x="308"/>
        <item x="124"/>
        <item x="436"/>
        <item x="173"/>
        <item x="212"/>
        <item x="432"/>
        <item x="402"/>
        <item x="22"/>
        <item x="116"/>
        <item x="334"/>
        <item x="298"/>
        <item x="384"/>
        <item x="60"/>
        <item x="476"/>
        <item x="144"/>
        <item x="264"/>
        <item x="304"/>
        <item x="32"/>
        <item x="169"/>
        <item x="321"/>
        <item x="471"/>
        <item x="103"/>
        <item x="223"/>
        <item x="421"/>
        <item x="352"/>
        <item x="63"/>
        <item x="111"/>
        <item x="177"/>
        <item x="20"/>
        <item x="65"/>
        <item x="99"/>
        <item x="79"/>
        <item x="182"/>
        <item x="333"/>
        <item x="181"/>
        <item x="81"/>
        <item x="294"/>
        <item x="362"/>
        <item x="498"/>
        <item x="162"/>
        <item x="15"/>
        <item x="8"/>
        <item x="404"/>
        <item x="345"/>
        <item x="66"/>
        <item x="237"/>
        <item x="163"/>
        <item x="489"/>
        <item x="54"/>
        <item x="442"/>
        <item x="336"/>
        <item x="192"/>
        <item x="495"/>
        <item x="160"/>
        <item x="84"/>
        <item x="460"/>
        <item x="199"/>
        <item x="382"/>
        <item x="50"/>
        <item x="240"/>
        <item x="64"/>
        <item x="94"/>
        <item x="281"/>
        <item x="419"/>
        <item x="504"/>
        <item x="501"/>
        <item x="236"/>
        <item x="108"/>
        <item x="137"/>
        <item x="70"/>
        <item x="435"/>
        <item x="427"/>
        <item x="224"/>
        <item x="7"/>
        <item x="78"/>
        <item x="477"/>
        <item x="287"/>
        <item x="42"/>
        <item x="318"/>
        <item x="251"/>
        <item x="3"/>
        <item x="305"/>
        <item x="35"/>
        <item x="372"/>
        <item x="56"/>
        <item x="313"/>
        <item x="388"/>
        <item x="190"/>
        <item x="279"/>
        <item x="220"/>
        <item x="410"/>
        <item x="228"/>
        <item x="430"/>
        <item x="28"/>
        <item x="203"/>
        <item x="135"/>
        <item x="252"/>
        <item x="278"/>
        <item x="277"/>
        <item x="381"/>
        <item x="18"/>
        <item x="307"/>
        <item x="258"/>
        <item x="449"/>
        <item x="375"/>
        <item x="409"/>
        <item x="396"/>
        <item x="315"/>
        <item x="486"/>
        <item x="52"/>
        <item x="364"/>
        <item x="72"/>
        <item x="273"/>
        <item x="47"/>
        <item x="24"/>
        <item x="59"/>
        <item x="301"/>
        <item x="408"/>
        <item x="423"/>
        <item x="389"/>
        <item x="511"/>
        <item x="422"/>
        <item x="216"/>
        <item x="326"/>
        <item x="21"/>
        <item x="268"/>
        <item x="69"/>
        <item x="418"/>
        <item x="167"/>
        <item x="175"/>
        <item x="465"/>
        <item x="150"/>
        <item x="139"/>
        <item x="178"/>
        <item x="235"/>
        <item x="329"/>
        <item x="270"/>
        <item x="143"/>
        <item x="355"/>
        <item x="415"/>
        <item x="115"/>
        <item x="48"/>
        <item x="49"/>
        <item x="500"/>
        <item x="55"/>
        <item x="89"/>
        <item x="401"/>
        <item x="350"/>
        <item x="383"/>
        <item x="145"/>
        <item x="206"/>
        <item x="325"/>
        <item x="370"/>
        <item x="205"/>
        <item x="314"/>
        <item x="168"/>
        <item x="176"/>
        <item x="185"/>
        <item x="104"/>
        <item x="73"/>
        <item x="490"/>
        <item x="213"/>
        <item x="339"/>
        <item x="51"/>
        <item x="348"/>
        <item x="467"/>
        <item x="512"/>
        <item x="483"/>
        <item x="174"/>
        <item x="346"/>
        <item x="113"/>
        <item x="282"/>
        <item x="107"/>
        <item x="337"/>
        <item x="445"/>
        <item x="120"/>
        <item x="341"/>
        <item x="272"/>
        <item x="193"/>
        <item x="165"/>
        <item x="514"/>
        <item x="40"/>
        <item x="262"/>
        <item x="358"/>
        <item x="425"/>
        <item x="121"/>
        <item x="17"/>
        <item x="30"/>
        <item x="317"/>
        <item x="394"/>
        <item x="211"/>
        <item x="208"/>
        <item x="142"/>
        <item x="183"/>
        <item x="248"/>
        <item x="186"/>
        <item x="487"/>
        <item x="463"/>
        <item x="227"/>
        <item x="231"/>
        <item x="46"/>
        <item x="391"/>
        <item x="354"/>
        <item x="246"/>
        <item x="275"/>
        <item x="499"/>
        <item x="0"/>
        <item x="412"/>
        <item x="238"/>
        <item x="507"/>
        <item x="198"/>
        <item x="286"/>
        <item x="438"/>
        <item x="100"/>
        <item x="261"/>
        <item x="297"/>
        <item x="468"/>
        <item x="260"/>
        <item x="131"/>
        <item x="503"/>
        <item x="39"/>
        <item x="385"/>
        <item x="299"/>
        <item x="387"/>
        <item x="424"/>
        <item x="75"/>
        <item x="226"/>
        <item x="284"/>
        <item x="414"/>
        <item x="130"/>
        <item x="26"/>
        <item x="320"/>
        <item x="266"/>
        <item x="440"/>
        <item x="291"/>
        <item x="431"/>
        <item x="36"/>
        <item x="293"/>
        <item x="189"/>
        <item x="492"/>
        <item x="496"/>
        <item x="480"/>
        <item x="38"/>
        <item x="363"/>
        <item x="399"/>
        <item x="184"/>
        <item x="508"/>
        <item x="398"/>
        <item x="149"/>
        <item x="53"/>
        <item x="244"/>
        <item x="359"/>
        <item x="373"/>
        <item x="454"/>
        <item x="327"/>
        <item x="204"/>
        <item x="263"/>
        <item x="134"/>
        <item x="378"/>
        <item x="147"/>
        <item x="474"/>
        <item x="482"/>
        <item x="332"/>
        <item x="360"/>
        <item x="290"/>
        <item x="280"/>
        <item x="356"/>
        <item x="376"/>
        <item x="462"/>
        <item x="126"/>
        <item x="488"/>
        <item x="450"/>
        <item x="225"/>
        <item x="502"/>
        <item x="207"/>
        <item x="366"/>
        <item x="109"/>
        <item x="71"/>
        <item x="481"/>
        <item x="322"/>
        <item x="29"/>
        <item x="91"/>
        <item x="33"/>
        <item x="58"/>
        <item x="16"/>
        <item x="6"/>
        <item x="300"/>
        <item x="87"/>
        <item x="82"/>
        <item x="455"/>
        <item x="136"/>
        <item x="5"/>
        <item x="195"/>
        <item x="249"/>
        <item x="479"/>
        <item x="170"/>
        <item x="97"/>
        <item x="311"/>
        <item x="57"/>
        <item x="342"/>
        <item x="161"/>
        <item x="132"/>
        <item x="296"/>
        <item x="98"/>
        <item x="351"/>
        <item x="434"/>
        <item x="247"/>
        <item x="196"/>
        <item x="125"/>
        <item x="68"/>
        <item x="191"/>
        <item x="328"/>
        <item x="12"/>
        <item x="497"/>
        <item x="83"/>
        <item x="288"/>
        <item x="242"/>
        <item x="426"/>
        <item x="166"/>
        <item x="256"/>
        <item x="210"/>
        <item x="420"/>
        <item x="171"/>
        <item x="221"/>
        <item x="469"/>
        <item x="340"/>
        <item x="2"/>
        <item x="61"/>
        <item x="119"/>
        <item x="112"/>
        <item x="448"/>
        <item x="395"/>
        <item x="461"/>
        <item x="458"/>
        <item x="233"/>
        <item x="14"/>
        <item x="310"/>
        <item x="515"/>
        <item t="default"/>
      </items>
    </pivotField>
    <pivotField dataField="1" compact="0" showAll="0">
      <items count="506">
        <item x="442"/>
        <item x="34"/>
        <item x="436"/>
        <item x="117"/>
        <item x="126"/>
        <item x="301"/>
        <item x="495"/>
        <item x="61"/>
        <item x="94"/>
        <item x="205"/>
        <item x="268"/>
        <item x="502"/>
        <item x="190"/>
        <item x="45"/>
        <item x="161"/>
        <item x="273"/>
        <item x="390"/>
        <item x="166"/>
        <item x="105"/>
        <item x="159"/>
        <item x="169"/>
        <item x="406"/>
        <item x="440"/>
        <item x="223"/>
        <item x="383"/>
        <item x="195"/>
        <item x="84"/>
        <item x="432"/>
        <item x="31"/>
        <item x="147"/>
        <item x="482"/>
        <item x="253"/>
        <item x="363"/>
        <item x="104"/>
        <item x="401"/>
        <item x="115"/>
        <item x="422"/>
        <item x="137"/>
        <item x="149"/>
        <item x="461"/>
        <item x="377"/>
        <item x="187"/>
        <item x="490"/>
        <item x="107"/>
        <item x="453"/>
        <item x="280"/>
        <item x="225"/>
        <item x="181"/>
        <item x="92"/>
        <item x="212"/>
        <item x="75"/>
        <item x="148"/>
        <item x="430"/>
        <item x="441"/>
        <item x="215"/>
        <item x="285"/>
        <item x="73"/>
        <item x="494"/>
        <item x="270"/>
        <item x="221"/>
        <item x="153"/>
        <item x="87"/>
        <item x="381"/>
        <item x="263"/>
        <item x="122"/>
        <item x="113"/>
        <item x="174"/>
        <item x="35"/>
        <item x="370"/>
        <item x="480"/>
        <item x="79"/>
        <item x="483"/>
        <item x="312"/>
        <item x="407"/>
        <item x="237"/>
        <item x="9"/>
        <item x="238"/>
        <item x="248"/>
        <item x="66"/>
        <item x="211"/>
        <item x="265"/>
        <item x="13"/>
        <item x="182"/>
        <item x="328"/>
        <item x="462"/>
        <item x="298"/>
        <item x="331"/>
        <item x="348"/>
        <item x="418"/>
        <item x="433"/>
        <item x="135"/>
        <item x="317"/>
        <item x="354"/>
        <item x="446"/>
        <item x="369"/>
        <item x="252"/>
        <item x="81"/>
        <item x="337"/>
        <item x="109"/>
        <item x="448"/>
        <item x="295"/>
        <item x="396"/>
        <item x="121"/>
        <item x="342"/>
        <item x="302"/>
        <item x="361"/>
        <item x="498"/>
        <item x="417"/>
        <item x="445"/>
        <item x="309"/>
        <item x="138"/>
        <item x="276"/>
        <item x="194"/>
        <item x="340"/>
        <item x="4"/>
        <item x="403"/>
        <item x="464"/>
        <item x="222"/>
        <item x="384"/>
        <item x="144"/>
        <item x="44"/>
        <item x="97"/>
        <item x="236"/>
        <item x="385"/>
        <item x="393"/>
        <item x="6"/>
        <item x="459"/>
        <item x="350"/>
        <item x="27"/>
        <item x="324"/>
        <item x="91"/>
        <item x="150"/>
        <item x="278"/>
        <item x="1"/>
        <item x="210"/>
        <item x="227"/>
        <item x="288"/>
        <item x="37"/>
        <item x="25"/>
        <item x="130"/>
        <item x="499"/>
        <item x="250"/>
        <item x="299"/>
        <item x="316"/>
        <item x="101"/>
        <item x="371"/>
        <item x="421"/>
        <item x="95"/>
        <item x="395"/>
        <item x="474"/>
        <item x="345"/>
        <item x="167"/>
        <item x="282"/>
        <item x="202"/>
        <item x="473"/>
        <item x="102"/>
        <item x="296"/>
        <item x="32"/>
        <item x="467"/>
        <item x="82"/>
        <item x="10"/>
        <item x="314"/>
        <item x="85"/>
        <item x="41"/>
        <item x="64"/>
        <item x="43"/>
        <item x="355"/>
        <item x="116"/>
        <item x="425"/>
        <item x="157"/>
        <item x="110"/>
        <item x="80"/>
        <item x="426"/>
        <item x="431"/>
        <item x="478"/>
        <item x="78"/>
        <item x="230"/>
        <item x="358"/>
        <item x="338"/>
        <item x="460"/>
        <item x="158"/>
        <item x="15"/>
        <item x="481"/>
        <item x="428"/>
        <item x="49"/>
        <item x="297"/>
        <item x="336"/>
        <item x="287"/>
        <item x="192"/>
        <item x="346"/>
        <item x="485"/>
        <item x="134"/>
        <item x="487"/>
        <item x="247"/>
        <item x="98"/>
        <item x="368"/>
        <item x="77"/>
        <item x="173"/>
        <item x="155"/>
        <item x="232"/>
        <item x="466"/>
        <item x="213"/>
        <item x="123"/>
        <item x="89"/>
        <item x="373"/>
        <item x="392"/>
        <item x="175"/>
        <item x="394"/>
        <item x="55"/>
        <item x="132"/>
        <item x="244"/>
        <item x="364"/>
        <item x="438"/>
        <item x="387"/>
        <item x="360"/>
        <item x="399"/>
        <item x="367"/>
        <item x="274"/>
        <item x="176"/>
        <item x="63"/>
        <item x="419"/>
        <item x="475"/>
        <item x="323"/>
        <item x="398"/>
        <item x="24"/>
        <item x="152"/>
        <item x="375"/>
        <item x="380"/>
        <item x="500"/>
        <item x="484"/>
        <item x="209"/>
        <item x="272"/>
        <item x="47"/>
        <item x="329"/>
        <item x="163"/>
        <item x="53"/>
        <item x="251"/>
        <item x="76"/>
        <item x="493"/>
        <item x="449"/>
        <item x="229"/>
        <item x="379"/>
        <item x="454"/>
        <item x="23"/>
        <item x="136"/>
        <item x="21"/>
        <item x="416"/>
        <item x="93"/>
        <item x="243"/>
        <item x="411"/>
        <item x="405"/>
        <item x="58"/>
        <item x="57"/>
        <item x="319"/>
        <item x="234"/>
        <item x="3"/>
        <item x="146"/>
        <item x="171"/>
        <item x="11"/>
        <item x="327"/>
        <item x="162"/>
        <item x="259"/>
        <item x="48"/>
        <item x="362"/>
        <item x="391"/>
        <item x="206"/>
        <item x="8"/>
        <item x="258"/>
        <item x="184"/>
        <item x="188"/>
        <item x="332"/>
        <item x="339"/>
        <item x="72"/>
        <item x="51"/>
        <item x="196"/>
        <item x="372"/>
        <item x="170"/>
        <item x="300"/>
        <item x="198"/>
        <item x="341"/>
        <item x="62"/>
        <item x="65"/>
        <item x="366"/>
        <item x="262"/>
        <item x="412"/>
        <item x="186"/>
        <item x="172"/>
        <item x="261"/>
        <item x="151"/>
        <item x="271"/>
        <item x="256"/>
        <item x="69"/>
        <item x="30"/>
        <item x="54"/>
        <item x="264"/>
        <item x="129"/>
        <item x="20"/>
        <item x="208"/>
        <item x="455"/>
        <item x="19"/>
        <item x="141"/>
        <item x="120"/>
        <item x="334"/>
        <item x="114"/>
        <item x="318"/>
        <item x="374"/>
        <item x="397"/>
        <item x="100"/>
        <item x="414"/>
        <item x="266"/>
        <item x="465"/>
        <item x="139"/>
        <item x="17"/>
        <item x="291"/>
        <item x="479"/>
        <item x="255"/>
        <item x="452"/>
        <item x="103"/>
        <item x="217"/>
        <item x="220"/>
        <item x="179"/>
        <item x="46"/>
        <item x="275"/>
        <item x="290"/>
        <item x="496"/>
        <item x="434"/>
        <item x="203"/>
        <item x="501"/>
        <item x="404"/>
        <item x="489"/>
        <item x="199"/>
        <item x="201"/>
        <item x="322"/>
        <item x="306"/>
        <item x="219"/>
        <item x="96"/>
        <item x="133"/>
        <item x="128"/>
        <item x="218"/>
        <item x="267"/>
        <item x="376"/>
        <item x="18"/>
        <item x="413"/>
        <item x="313"/>
        <item x="142"/>
        <item x="224"/>
        <item x="71"/>
        <item x="42"/>
        <item x="108"/>
        <item x="106"/>
        <item x="284"/>
        <item x="356"/>
        <item x="497"/>
        <item x="204"/>
        <item x="178"/>
        <item x="140"/>
        <item x="352"/>
        <item x="165"/>
        <item x="320"/>
        <item x="28"/>
        <item x="400"/>
        <item x="486"/>
        <item x="456"/>
        <item x="233"/>
        <item x="239"/>
        <item x="382"/>
        <item x="305"/>
        <item x="388"/>
        <item x="457"/>
        <item x="402"/>
        <item x="183"/>
        <item x="308"/>
        <item x="492"/>
        <item x="420"/>
        <item x="257"/>
        <item x="38"/>
        <item x="435"/>
        <item x="307"/>
        <item x="197"/>
        <item x="427"/>
        <item x="145"/>
        <item x="88"/>
        <item x="463"/>
        <item x="177"/>
        <item x="325"/>
        <item x="39"/>
        <item x="378"/>
        <item x="349"/>
        <item x="193"/>
        <item x="50"/>
        <item x="277"/>
        <item x="423"/>
        <item x="168"/>
        <item x="245"/>
        <item x="143"/>
        <item x="429"/>
        <item x="164"/>
        <item x="36"/>
        <item x="26"/>
        <item x="286"/>
        <item x="310"/>
        <item x="125"/>
        <item x="335"/>
        <item x="228"/>
        <item x="22"/>
        <item x="357"/>
        <item x="469"/>
        <item x="365"/>
        <item x="131"/>
        <item x="326"/>
        <item x="343"/>
        <item x="112"/>
        <item x="477"/>
        <item x="409"/>
        <item x="408"/>
        <item x="0"/>
        <item x="119"/>
        <item x="52"/>
        <item x="83"/>
        <item x="351"/>
        <item x="315"/>
        <item x="472"/>
        <item x="269"/>
        <item x="311"/>
        <item x="254"/>
        <item x="471"/>
        <item x="40"/>
        <item x="241"/>
        <item x="180"/>
        <item x="60"/>
        <item x="154"/>
        <item x="389"/>
        <item x="5"/>
        <item x="283"/>
        <item x="207"/>
        <item x="386"/>
        <item x="470"/>
        <item x="359"/>
        <item x="99"/>
        <item x="74"/>
        <item x="260"/>
        <item x="289"/>
        <item x="491"/>
        <item x="70"/>
        <item x="279"/>
        <item x="503"/>
        <item x="424"/>
        <item x="59"/>
        <item x="347"/>
        <item x="488"/>
        <item x="216"/>
        <item x="330"/>
        <item x="294"/>
        <item x="240"/>
        <item x="304"/>
        <item x="451"/>
        <item x="292"/>
        <item x="476"/>
        <item x="86"/>
        <item x="242"/>
        <item x="443"/>
        <item x="200"/>
        <item x="2"/>
        <item x="439"/>
        <item x="231"/>
        <item x="344"/>
        <item x="156"/>
        <item x="33"/>
        <item x="7"/>
        <item x="68"/>
        <item x="415"/>
        <item x="468"/>
        <item x="191"/>
        <item x="189"/>
        <item x="90"/>
        <item x="124"/>
        <item x="56"/>
        <item x="293"/>
        <item x="127"/>
        <item x="67"/>
        <item x="185"/>
        <item x="16"/>
        <item x="29"/>
        <item x="246"/>
        <item x="444"/>
        <item x="333"/>
        <item x="235"/>
        <item x="160"/>
        <item x="12"/>
        <item x="281"/>
        <item x="353"/>
        <item x="410"/>
        <item x="249"/>
        <item x="14"/>
        <item x="458"/>
        <item x="321"/>
        <item x="118"/>
        <item x="111"/>
        <item x="214"/>
        <item x="450"/>
        <item x="447"/>
        <item x="437"/>
        <item x="226"/>
        <item x="303"/>
        <item x="504"/>
        <item t="default"/>
      </items>
    </pivotField>
    <pivotField compact="0" showAll="0">
      <items count="3">
        <item x="1"/>
        <item x="0"/>
        <item t="default"/>
      </items>
    </pivotField>
  </pivotFields>
  <rowFields count="1">
    <field x="4"/>
  </rowFields>
  <rowItems count="2">
    <i>
      <x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14" item="0"/>
  </pageFields>
  <dataFields count="3">
    <dataField name="Sum of    Sales   " fld="17" baseField="0" baseItem="0" numFmtId="178"/>
    <dataField name="Sum of Profit" fld="21" baseField="0" baseItem="0" numFmtId="178"/>
    <dataField name="Sum of Adujested sales" fld="22" baseField="0" baseItem="0" numFmtId="178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4:G95" firstHeaderRow="0" firstDataRow="1" firstDataCol="2" rowPageCount="2" colPageCount="1"/>
  <pivotFields count="24">
    <pivotField compact="0" numFmtId="176" showAll="0">
      <items count="54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t="default"/>
      </items>
    </pivotField>
    <pivotField compact="0" showAll="0">
      <items count="540">
        <item x="196"/>
        <item x="534"/>
        <item x="254"/>
        <item x="75"/>
        <item x="334"/>
        <item x="421"/>
        <item x="7"/>
        <item x="29"/>
        <item x="351"/>
        <item x="358"/>
        <item x="525"/>
        <item x="396"/>
        <item x="70"/>
        <item x="140"/>
        <item x="135"/>
        <item x="327"/>
        <item x="343"/>
        <item x="183"/>
        <item x="226"/>
        <item x="328"/>
        <item x="56"/>
        <item x="463"/>
        <item x="3"/>
        <item x="175"/>
        <item x="337"/>
        <item x="477"/>
        <item x="82"/>
        <item x="143"/>
        <item x="155"/>
        <item x="90"/>
        <item x="164"/>
        <item x="524"/>
        <item x="345"/>
        <item x="400"/>
        <item x="461"/>
        <item x="222"/>
        <item x="153"/>
        <item x="332"/>
        <item x="139"/>
        <item x="277"/>
        <item x="113"/>
        <item x="509"/>
        <item x="342"/>
        <item x="441"/>
        <item x="98"/>
        <item x="225"/>
        <item x="402"/>
        <item x="417"/>
        <item x="535"/>
        <item x="377"/>
        <item x="221"/>
        <item x="276"/>
        <item x="406"/>
        <item x="438"/>
        <item x="326"/>
        <item x="37"/>
        <item x="81"/>
        <item x="94"/>
        <item x="251"/>
        <item x="383"/>
        <item x="192"/>
        <item x="9"/>
        <item x="426"/>
        <item x="217"/>
        <item x="264"/>
        <item x="22"/>
        <item x="409"/>
        <item x="404"/>
        <item x="280"/>
        <item x="379"/>
        <item x="331"/>
        <item x="224"/>
        <item x="184"/>
        <item x="261"/>
        <item x="311"/>
        <item x="369"/>
        <item x="147"/>
        <item x="318"/>
        <item x="88"/>
        <item x="486"/>
        <item x="357"/>
        <item x="470"/>
        <item x="495"/>
        <item x="145"/>
        <item x="146"/>
        <item x="361"/>
        <item x="87"/>
        <item x="8"/>
        <item x="144"/>
        <item x="392"/>
        <item x="103"/>
        <item x="372"/>
        <item x="92"/>
        <item x="244"/>
        <item x="483"/>
        <item x="12"/>
        <item x="381"/>
        <item x="490"/>
        <item x="211"/>
        <item x="57"/>
        <item x="69"/>
        <item x="439"/>
        <item x="482"/>
        <item x="354"/>
        <item x="457"/>
        <item x="256"/>
        <item x="394"/>
        <item x="356"/>
        <item x="442"/>
        <item x="24"/>
        <item x="367"/>
        <item x="17"/>
        <item x="74"/>
        <item x="322"/>
        <item x="78"/>
        <item x="450"/>
        <item x="181"/>
        <item x="174"/>
        <item x="491"/>
        <item x="371"/>
        <item x="480"/>
        <item x="73"/>
        <item x="172"/>
        <item x="481"/>
        <item x="529"/>
        <item x="498"/>
        <item x="274"/>
        <item x="154"/>
        <item x="414"/>
        <item x="53"/>
        <item x="265"/>
        <item x="170"/>
        <item x="132"/>
        <item x="131"/>
        <item x="408"/>
        <item x="93"/>
        <item x="321"/>
        <item x="272"/>
        <item x="508"/>
        <item x="489"/>
        <item x="434"/>
        <item x="229"/>
        <item x="250"/>
        <item x="349"/>
        <item x="27"/>
        <item x="86"/>
        <item x="152"/>
        <item x="287"/>
        <item x="378"/>
        <item x="325"/>
        <item x="418"/>
        <item x="138"/>
        <item x="362"/>
        <item x="233"/>
        <item x="104"/>
        <item x="307"/>
        <item x="472"/>
        <item x="249"/>
        <item x="447"/>
        <item x="44"/>
        <item x="270"/>
        <item x="38"/>
        <item x="474"/>
        <item x="216"/>
        <item x="366"/>
        <item x="364"/>
        <item x="122"/>
        <item x="127"/>
        <item x="517"/>
        <item x="468"/>
        <item x="522"/>
        <item x="238"/>
        <item x="241"/>
        <item x="459"/>
        <item x="478"/>
        <item x="503"/>
        <item x="107"/>
        <item x="507"/>
        <item x="538"/>
        <item x="492"/>
        <item x="293"/>
        <item x="106"/>
        <item x="208"/>
        <item x="220"/>
        <item x="19"/>
        <item x="501"/>
        <item x="59"/>
        <item x="218"/>
        <item x="301"/>
        <item x="89"/>
        <item x="368"/>
        <item x="424"/>
        <item x="476"/>
        <item x="448"/>
        <item x="25"/>
        <item x="31"/>
        <item x="235"/>
        <item x="182"/>
        <item x="43"/>
        <item x="496"/>
        <item x="212"/>
        <item x="475"/>
        <item x="66"/>
        <item x="348"/>
        <item x="134"/>
        <item x="124"/>
        <item x="26"/>
        <item x="133"/>
        <item x="335"/>
        <item x="497"/>
        <item x="262"/>
        <item x="398"/>
        <item x="80"/>
        <item x="76"/>
        <item x="71"/>
        <item x="338"/>
        <item x="375"/>
        <item x="204"/>
        <item x="295"/>
        <item x="411"/>
        <item x="16"/>
        <item x="21"/>
        <item x="536"/>
        <item x="30"/>
        <item x="278"/>
        <item x="460"/>
        <item x="283"/>
        <item x="13"/>
        <item x="399"/>
        <item x="308"/>
        <item x="523"/>
        <item x="121"/>
        <item x="230"/>
        <item x="494"/>
        <item x="247"/>
        <item x="36"/>
        <item x="269"/>
        <item x="199"/>
        <item x="500"/>
        <item x="55"/>
        <item x="516"/>
        <item x="159"/>
        <item x="50"/>
        <item x="161"/>
        <item x="105"/>
        <item x="431"/>
        <item x="520"/>
        <item x="303"/>
        <item x="533"/>
        <item x="405"/>
        <item x="403"/>
        <item x="171"/>
        <item x="510"/>
        <item x="374"/>
        <item x="257"/>
        <item x="252"/>
        <item x="305"/>
        <item x="10"/>
        <item x="160"/>
        <item x="1"/>
        <item x="527"/>
        <item x="445"/>
        <item x="425"/>
        <item x="350"/>
        <item x="336"/>
        <item x="136"/>
        <item x="142"/>
        <item x="449"/>
        <item x="309"/>
        <item x="469"/>
        <item x="467"/>
        <item x="65"/>
        <item x="115"/>
        <item x="116"/>
        <item x="296"/>
        <item x="201"/>
        <item x="189"/>
        <item x="48"/>
        <item x="382"/>
        <item x="440"/>
        <item x="346"/>
        <item x="0"/>
        <item x="397"/>
        <item x="219"/>
        <item x="79"/>
        <item x="114"/>
        <item x="479"/>
        <item x="165"/>
        <item x="91"/>
        <item x="359"/>
        <item x="112"/>
        <item x="407"/>
        <item x="49"/>
        <item x="72"/>
        <item x="42"/>
        <item x="537"/>
        <item x="302"/>
        <item x="5"/>
        <item x="393"/>
        <item x="282"/>
        <item x="148"/>
        <item x="77"/>
        <item x="324"/>
        <item x="316"/>
        <item x="416"/>
        <item x="437"/>
        <item x="388"/>
        <item x="206"/>
        <item x="246"/>
        <item x="227"/>
        <item x="23"/>
        <item x="521"/>
        <item x="471"/>
        <item x="260"/>
        <item x="384"/>
        <item x="176"/>
        <item x="259"/>
        <item x="456"/>
        <item x="435"/>
        <item x="179"/>
        <item x="360"/>
        <item x="166"/>
        <item x="97"/>
        <item x="373"/>
        <item x="298"/>
        <item x="67"/>
        <item x="493"/>
        <item x="395"/>
        <item x="95"/>
        <item x="15"/>
        <item x="101"/>
        <item x="333"/>
        <item x="191"/>
        <item x="313"/>
        <item x="413"/>
        <item x="518"/>
        <item x="258"/>
        <item x="242"/>
        <item x="444"/>
        <item x="4"/>
        <item x="32"/>
        <item x="323"/>
        <item x="410"/>
        <item x="419"/>
        <item x="352"/>
        <item x="186"/>
        <item x="185"/>
        <item x="285"/>
        <item x="128"/>
        <item x="487"/>
        <item x="271"/>
        <item x="263"/>
        <item x="52"/>
        <item x="455"/>
        <item x="18"/>
        <item x="499"/>
        <item x="513"/>
        <item x="188"/>
        <item x="526"/>
        <item x="193"/>
        <item x="355"/>
        <item x="347"/>
        <item x="300"/>
        <item x="100"/>
        <item x="141"/>
        <item x="386"/>
        <item x="237"/>
        <item x="387"/>
        <item x="365"/>
        <item x="202"/>
        <item x="314"/>
        <item x="453"/>
        <item x="341"/>
        <item x="430"/>
        <item x="310"/>
        <item x="422"/>
        <item x="129"/>
        <item x="423"/>
        <item x="353"/>
        <item x="290"/>
        <item x="158"/>
        <item x="232"/>
        <item x="485"/>
        <item x="462"/>
        <item x="234"/>
        <item x="376"/>
        <item x="102"/>
        <item x="454"/>
        <item x="123"/>
        <item x="266"/>
        <item x="433"/>
        <item x="284"/>
        <item x="20"/>
        <item x="40"/>
        <item x="304"/>
        <item x="223"/>
        <item x="187"/>
        <item x="432"/>
        <item x="380"/>
        <item x="339"/>
        <item x="292"/>
        <item x="163"/>
        <item x="443"/>
        <item x="239"/>
        <item x="273"/>
        <item x="329"/>
        <item x="54"/>
        <item x="207"/>
        <item x="195"/>
        <item x="420"/>
        <item x="429"/>
        <item x="370"/>
        <item x="458"/>
        <item x="197"/>
        <item x="506"/>
        <item x="511"/>
        <item x="149"/>
        <item x="289"/>
        <item x="205"/>
        <item x="190"/>
        <item x="214"/>
        <item x="68"/>
        <item x="41"/>
        <item x="162"/>
        <item x="194"/>
        <item x="267"/>
        <item x="203"/>
        <item x="47"/>
        <item x="466"/>
        <item x="111"/>
        <item x="427"/>
        <item x="46"/>
        <item x="319"/>
        <item x="401"/>
        <item x="514"/>
        <item x="255"/>
        <item x="288"/>
        <item x="118"/>
        <item x="236"/>
        <item x="126"/>
        <item x="268"/>
        <item x="180"/>
        <item x="473"/>
        <item x="297"/>
        <item x="157"/>
        <item x="83"/>
        <item x="385"/>
        <item x="281"/>
        <item x="120"/>
        <item x="209"/>
        <item x="286"/>
        <item x="389"/>
        <item x="320"/>
        <item x="167"/>
        <item x="61"/>
        <item x="178"/>
        <item x="177"/>
        <item x="436"/>
        <item x="35"/>
        <item x="200"/>
        <item x="60"/>
        <item x="109"/>
        <item x="531"/>
        <item x="505"/>
        <item x="412"/>
        <item x="213"/>
        <item x="85"/>
        <item x="532"/>
        <item x="2"/>
        <item x="6"/>
        <item x="253"/>
        <item x="156"/>
        <item x="488"/>
        <item x="504"/>
        <item x="33"/>
        <item x="58"/>
        <item x="243"/>
        <item x="451"/>
        <item x="108"/>
        <item x="14"/>
        <item x="51"/>
        <item x="363"/>
        <item x="117"/>
        <item x="130"/>
        <item x="28"/>
        <item x="173"/>
        <item x="215"/>
        <item x="279"/>
        <item x="231"/>
        <item x="428"/>
        <item x="228"/>
        <item x="294"/>
        <item x="198"/>
        <item x="63"/>
        <item x="168"/>
        <item x="291"/>
        <item x="391"/>
        <item x="240"/>
        <item x="150"/>
        <item x="344"/>
        <item x="151"/>
        <item x="340"/>
        <item x="512"/>
        <item x="306"/>
        <item x="275"/>
        <item x="210"/>
        <item x="515"/>
        <item x="530"/>
        <item x="330"/>
        <item x="465"/>
        <item x="110"/>
        <item x="464"/>
        <item x="312"/>
        <item x="484"/>
        <item x="62"/>
        <item x="45"/>
        <item x="452"/>
        <item x="446"/>
        <item x="99"/>
        <item x="34"/>
        <item x="315"/>
        <item x="39"/>
        <item x="248"/>
        <item x="415"/>
        <item x="96"/>
        <item x="299"/>
        <item x="245"/>
        <item x="169"/>
        <item x="125"/>
        <item x="519"/>
        <item x="502"/>
        <item x="84"/>
        <item x="137"/>
        <item x="119"/>
        <item x="390"/>
        <item x="11"/>
        <item x="64"/>
        <item x="528"/>
        <item x="317"/>
        <item t="default"/>
      </items>
    </pivotField>
    <pivotField compact="0" showAll="0">
      <items count="411">
        <item x="277"/>
        <item x="232"/>
        <item x="320"/>
        <item x="269"/>
        <item x="286"/>
        <item x="360"/>
        <item x="406"/>
        <item x="215"/>
        <item x="398"/>
        <item x="315"/>
        <item x="181"/>
        <item x="72"/>
        <item x="223"/>
        <item x="234"/>
        <item x="90"/>
        <item x="267"/>
        <item x="322"/>
        <item x="388"/>
        <item x="138"/>
        <item x="164"/>
        <item x="333"/>
        <item x="309"/>
        <item x="218"/>
        <item x="8"/>
        <item x="287"/>
        <item x="371"/>
        <item x="235"/>
        <item x="279"/>
        <item x="106"/>
        <item x="270"/>
        <item x="159"/>
        <item x="3"/>
        <item x="345"/>
        <item x="261"/>
        <item x="169"/>
        <item x="307"/>
        <item x="290"/>
        <item x="268"/>
        <item x="260"/>
        <item x="384"/>
        <item x="136"/>
        <item x="192"/>
        <item x="149"/>
        <item x="93"/>
        <item x="407"/>
        <item x="79"/>
        <item x="233"/>
        <item x="128"/>
        <item x="55"/>
        <item x="86"/>
        <item x="9"/>
        <item x="399"/>
        <item x="78"/>
        <item x="340"/>
        <item x="171"/>
        <item x="103"/>
        <item x="80"/>
        <item x="328"/>
        <item x="111"/>
        <item x="59"/>
        <item x="158"/>
        <item x="358"/>
        <item x="146"/>
        <item x="127"/>
        <item x="191"/>
        <item x="273"/>
        <item x="36"/>
        <item x="303"/>
        <item x="22"/>
        <item x="68"/>
        <item x="194"/>
        <item x="301"/>
        <item x="130"/>
        <item x="187"/>
        <item x="7"/>
        <item x="84"/>
        <item x="156"/>
        <item x="35"/>
        <item x="266"/>
        <item x="29"/>
        <item x="337"/>
        <item x="325"/>
        <item x="174"/>
        <item x="163"/>
        <item x="58"/>
        <item x="129"/>
        <item x="282"/>
        <item x="125"/>
        <item x="98"/>
        <item x="184"/>
        <item x="43"/>
        <item x="302"/>
        <item x="285"/>
        <item x="97"/>
        <item x="102"/>
        <item x="56"/>
        <item x="366"/>
        <item x="199"/>
        <item x="305"/>
        <item x="204"/>
        <item x="262"/>
        <item x="368"/>
        <item x="57"/>
        <item x="265"/>
        <item x="347"/>
        <item x="24"/>
        <item x="334"/>
        <item x="33"/>
        <item x="381"/>
        <item x="152"/>
        <item x="28"/>
        <item x="124"/>
        <item x="263"/>
        <item x="293"/>
        <item x="390"/>
        <item x="71"/>
        <item x="352"/>
        <item x="70"/>
        <item x="387"/>
        <item x="409"/>
        <item x="385"/>
        <item x="382"/>
        <item x="137"/>
        <item x="153"/>
        <item x="386"/>
        <item x="230"/>
        <item x="380"/>
        <item x="353"/>
        <item x="117"/>
        <item x="374"/>
        <item x="101"/>
        <item x="291"/>
        <item x="252"/>
        <item x="375"/>
        <item x="284"/>
        <item x="135"/>
        <item x="37"/>
        <item x="67"/>
        <item x="229"/>
        <item x="14"/>
        <item x="227"/>
        <item x="402"/>
        <item x="357"/>
        <item x="404"/>
        <item x="12"/>
        <item x="120"/>
        <item x="292"/>
        <item x="242"/>
        <item x="348"/>
        <item x="330"/>
        <item x="2"/>
        <item x="88"/>
        <item x="313"/>
        <item x="52"/>
        <item x="324"/>
        <item x="372"/>
        <item x="89"/>
        <item x="121"/>
        <item x="376"/>
        <item x="209"/>
        <item x="113"/>
        <item x="50"/>
        <item x="219"/>
        <item x="312"/>
        <item x="82"/>
        <item x="6"/>
        <item x="27"/>
        <item x="154"/>
        <item x="109"/>
        <item x="239"/>
        <item x="155"/>
        <item x="214"/>
        <item x="364"/>
        <item x="295"/>
        <item x="350"/>
        <item x="83"/>
        <item x="217"/>
        <item x="139"/>
        <item x="379"/>
        <item x="100"/>
        <item x="207"/>
        <item x="17"/>
        <item x="75"/>
        <item x="319"/>
        <item x="383"/>
        <item x="13"/>
        <item x="327"/>
        <item x="115"/>
        <item x="403"/>
        <item x="391"/>
        <item x="271"/>
        <item x="317"/>
        <item x="346"/>
        <item x="311"/>
        <item x="21"/>
        <item x="299"/>
        <item x="69"/>
        <item x="196"/>
        <item x="231"/>
        <item x="396"/>
        <item x="253"/>
        <item x="178"/>
        <item x="41"/>
        <item x="281"/>
        <item x="143"/>
        <item x="342"/>
        <item x="397"/>
        <item x="167"/>
        <item x="173"/>
        <item x="183"/>
        <item x="131"/>
        <item x="134"/>
        <item x="236"/>
        <item x="195"/>
        <item x="74"/>
        <item x="288"/>
        <item x="244"/>
        <item x="206"/>
        <item x="316"/>
        <item x="211"/>
        <item x="198"/>
        <item x="30"/>
        <item x="112"/>
        <item x="224"/>
        <item x="1"/>
        <item x="26"/>
        <item x="351"/>
        <item x="23"/>
        <item x="190"/>
        <item x="274"/>
        <item x="212"/>
        <item x="188"/>
        <item x="216"/>
        <item x="87"/>
        <item x="19"/>
        <item x="310"/>
        <item x="197"/>
        <item x="405"/>
        <item x="408"/>
        <item x="243"/>
        <item x="298"/>
        <item x="250"/>
        <item x="370"/>
        <item x="278"/>
        <item x="48"/>
        <item x="133"/>
        <item x="142"/>
        <item x="323"/>
        <item x="64"/>
        <item x="47"/>
        <item x="162"/>
        <item x="369"/>
        <item x="108"/>
        <item x="126"/>
        <item x="306"/>
        <item x="42"/>
        <item x="31"/>
        <item x="251"/>
        <item x="182"/>
        <item x="150"/>
        <item x="321"/>
        <item x="339"/>
        <item x="63"/>
        <item x="201"/>
        <item x="147"/>
        <item x="332"/>
        <item x="248"/>
        <item x="189"/>
        <item x="99"/>
        <item x="54"/>
        <item x="254"/>
        <item x="61"/>
        <item x="77"/>
        <item x="0"/>
        <item x="338"/>
        <item x="373"/>
        <item x="76"/>
        <item x="258"/>
        <item x="73"/>
        <item x="393"/>
        <item x="85"/>
        <item x="49"/>
        <item x="275"/>
        <item x="5"/>
        <item x="16"/>
        <item x="10"/>
        <item x="107"/>
        <item x="25"/>
        <item x="180"/>
        <item x="272"/>
        <item x="186"/>
        <item x="122"/>
        <item x="314"/>
        <item x="363"/>
        <item x="392"/>
        <item x="176"/>
        <item x="276"/>
        <item x="203"/>
        <item x="205"/>
        <item x="289"/>
        <item x="62"/>
        <item x="297"/>
        <item x="168"/>
        <item x="144"/>
        <item x="294"/>
        <item x="257"/>
        <item x="177"/>
        <item x="185"/>
        <item x="355"/>
        <item x="104"/>
        <item x="359"/>
        <item x="318"/>
        <item x="349"/>
        <item x="4"/>
        <item x="81"/>
        <item x="300"/>
        <item x="304"/>
        <item x="356"/>
        <item x="240"/>
        <item x="401"/>
        <item x="367"/>
        <item x="394"/>
        <item x="39"/>
        <item x="148"/>
        <item x="95"/>
        <item x="110"/>
        <item x="255"/>
        <item x="193"/>
        <item x="140"/>
        <item x="114"/>
        <item x="46"/>
        <item x="249"/>
        <item x="308"/>
        <item x="92"/>
        <item x="335"/>
        <item x="222"/>
        <item x="160"/>
        <item x="91"/>
        <item x="141"/>
        <item x="362"/>
        <item x="11"/>
        <item x="228"/>
        <item x="246"/>
        <item x="283"/>
        <item x="245"/>
        <item x="378"/>
        <item x="238"/>
        <item x="170"/>
        <item x="326"/>
        <item x="151"/>
        <item x="264"/>
        <item x="213"/>
        <item x="395"/>
        <item x="210"/>
        <item x="18"/>
        <item x="220"/>
        <item x="32"/>
        <item x="175"/>
        <item x="118"/>
        <item x="65"/>
        <item x="20"/>
        <item x="296"/>
        <item x="241"/>
        <item x="145"/>
        <item x="365"/>
        <item x="400"/>
        <item x="172"/>
        <item x="280"/>
        <item x="361"/>
        <item x="389"/>
        <item x="119"/>
        <item x="336"/>
        <item x="161"/>
        <item x="15"/>
        <item x="179"/>
        <item x="208"/>
        <item x="40"/>
        <item x="341"/>
        <item x="132"/>
        <item x="259"/>
        <item x="60"/>
        <item x="44"/>
        <item x="45"/>
        <item x="343"/>
        <item x="105"/>
        <item x="38"/>
        <item x="237"/>
        <item x="123"/>
        <item x="225"/>
        <item x="51"/>
        <item x="221"/>
        <item x="200"/>
        <item x="344"/>
        <item x="354"/>
        <item x="329"/>
        <item x="96"/>
        <item x="256"/>
        <item x="226"/>
        <item x="166"/>
        <item x="34"/>
        <item x="157"/>
        <item x="94"/>
        <item x="202"/>
        <item x="66"/>
        <item x="331"/>
        <item x="165"/>
        <item x="53"/>
        <item x="377"/>
        <item x="116"/>
        <item x="247"/>
        <item t="default"/>
      </items>
    </pivotField>
    <pivotField compact="0" showAll="0">
      <items count="439">
        <item x="297"/>
        <item x="244"/>
        <item x="288"/>
        <item x="306"/>
        <item x="385"/>
        <item x="434"/>
        <item x="224"/>
        <item x="427"/>
        <item x="336"/>
        <item x="189"/>
        <item x="70"/>
        <item x="232"/>
        <item x="247"/>
        <item x="86"/>
        <item x="284"/>
        <item x="343"/>
        <item x="139"/>
        <item x="167"/>
        <item x="352"/>
        <item x="8"/>
        <item x="227"/>
        <item x="307"/>
        <item x="396"/>
        <item x="248"/>
        <item x="104"/>
        <item x="290"/>
        <item x="161"/>
        <item x="200"/>
        <item x="3"/>
        <item x="340"/>
        <item x="365"/>
        <item x="278"/>
        <item x="175"/>
        <item x="326"/>
        <item x="287"/>
        <item x="277"/>
        <item x="406"/>
        <item x="137"/>
        <item x="151"/>
        <item x="90"/>
        <item x="338"/>
        <item x="75"/>
        <item x="245"/>
        <item x="128"/>
        <item x="55"/>
        <item x="83"/>
        <item x="9"/>
        <item x="428"/>
        <item x="74"/>
        <item x="178"/>
        <item x="359"/>
        <item x="370"/>
        <item x="101"/>
        <item x="233"/>
        <item x="76"/>
        <item x="110"/>
        <item x="160"/>
        <item x="131"/>
        <item x="59"/>
        <item x="316"/>
        <item x="148"/>
        <item x="127"/>
        <item x="197"/>
        <item x="293"/>
        <item x="323"/>
        <item x="36"/>
        <item x="21"/>
        <item x="65"/>
        <item x="199"/>
        <item x="322"/>
        <item x="130"/>
        <item x="193"/>
        <item x="390"/>
        <item x="7"/>
        <item x="81"/>
        <item x="158"/>
        <item x="34"/>
        <item x="283"/>
        <item x="80"/>
        <item x="28"/>
        <item x="367"/>
        <item x="345"/>
        <item x="355"/>
        <item x="182"/>
        <item x="166"/>
        <item x="58"/>
        <item x="129"/>
        <item x="252"/>
        <item x="302"/>
        <item x="124"/>
        <item x="96"/>
        <item x="191"/>
        <item x="43"/>
        <item x="95"/>
        <item x="100"/>
        <item x="56"/>
        <item x="392"/>
        <item x="206"/>
        <item x="325"/>
        <item x="211"/>
        <item x="394"/>
        <item x="279"/>
        <item x="57"/>
        <item x="282"/>
        <item x="368"/>
        <item x="23"/>
        <item x="353"/>
        <item x="32"/>
        <item x="402"/>
        <item x="27"/>
        <item x="123"/>
        <item x="280"/>
        <item x="311"/>
        <item x="68"/>
        <item x="69"/>
        <item x="414"/>
        <item x="363"/>
        <item x="437"/>
        <item x="409"/>
        <item x="403"/>
        <item x="138"/>
        <item x="155"/>
        <item x="314"/>
        <item x="413"/>
        <item x="242"/>
        <item x="401"/>
        <item x="376"/>
        <item x="116"/>
        <item x="99"/>
        <item x="309"/>
        <item x="269"/>
        <item x="399"/>
        <item x="136"/>
        <item x="305"/>
        <item x="216"/>
        <item x="37"/>
        <item x="64"/>
        <item x="240"/>
        <item x="400"/>
        <item x="14"/>
        <item x="238"/>
        <item x="430"/>
        <item x="118"/>
        <item x="432"/>
        <item x="12"/>
        <item x="119"/>
        <item x="310"/>
        <item x="256"/>
        <item x="349"/>
        <item x="84"/>
        <item x="334"/>
        <item x="2"/>
        <item x="52"/>
        <item x="397"/>
        <item x="164"/>
        <item x="85"/>
        <item x="217"/>
        <item x="416"/>
        <item x="112"/>
        <item x="50"/>
        <item x="78"/>
        <item x="332"/>
        <item x="6"/>
        <item x="26"/>
        <item x="382"/>
        <item x="156"/>
        <item x="253"/>
        <item x="107"/>
        <item x="157"/>
        <item x="222"/>
        <item x="234"/>
        <item x="223"/>
        <item x="301"/>
        <item x="313"/>
        <item x="374"/>
        <item x="79"/>
        <item x="190"/>
        <item x="226"/>
        <item x="140"/>
        <item x="317"/>
        <item x="98"/>
        <item x="16"/>
        <item x="214"/>
        <item x="341"/>
        <item x="405"/>
        <item x="13"/>
        <item x="347"/>
        <item x="431"/>
        <item x="113"/>
        <item x="417"/>
        <item x="291"/>
        <item x="337"/>
        <item x="366"/>
        <item x="331"/>
        <item x="20"/>
        <item x="67"/>
        <item x="320"/>
        <item x="202"/>
        <item x="298"/>
        <item x="243"/>
        <item x="426"/>
        <item x="270"/>
        <item x="187"/>
        <item x="264"/>
        <item x="300"/>
        <item x="41"/>
        <item x="361"/>
        <item x="144"/>
        <item x="229"/>
        <item x="172"/>
        <item x="180"/>
        <item x="408"/>
        <item x="132"/>
        <item x="145"/>
        <item x="135"/>
        <item x="249"/>
        <item x="72"/>
        <item x="201"/>
        <item x="315"/>
        <item x="213"/>
        <item x="308"/>
        <item x="258"/>
        <item x="388"/>
        <item x="219"/>
        <item x="204"/>
        <item x="29"/>
        <item x="181"/>
        <item x="103"/>
        <item x="419"/>
        <item x="111"/>
        <item x="183"/>
        <item x="35"/>
        <item x="1"/>
        <item x="25"/>
        <item x="375"/>
        <item x="372"/>
        <item x="22"/>
        <item x="196"/>
        <item x="294"/>
        <item x="220"/>
        <item x="225"/>
        <item x="194"/>
        <item x="246"/>
        <item x="18"/>
        <item x="330"/>
        <item x="203"/>
        <item x="433"/>
        <item x="435"/>
        <item x="423"/>
        <item x="257"/>
        <item x="319"/>
        <item x="395"/>
        <item x="267"/>
        <item x="134"/>
        <item x="48"/>
        <item x="143"/>
        <item x="383"/>
        <item x="344"/>
        <item x="62"/>
        <item x="411"/>
        <item x="165"/>
        <item x="47"/>
        <item x="250"/>
        <item x="126"/>
        <item x="106"/>
        <item x="268"/>
        <item x="369"/>
        <item x="42"/>
        <item x="30"/>
        <item x="152"/>
        <item x="342"/>
        <item x="358"/>
        <item x="389"/>
        <item x="61"/>
        <item x="149"/>
        <item x="208"/>
        <item x="351"/>
        <item x="154"/>
        <item x="97"/>
        <item x="195"/>
        <item x="121"/>
        <item x="271"/>
        <item x="237"/>
        <item x="281"/>
        <item x="333"/>
        <item x="54"/>
        <item x="0"/>
        <item x="357"/>
        <item x="398"/>
        <item x="73"/>
        <item x="407"/>
        <item x="71"/>
        <item x="422"/>
        <item x="82"/>
        <item x="49"/>
        <item x="296"/>
        <item x="66"/>
        <item x="5"/>
        <item x="436"/>
        <item x="10"/>
        <item x="105"/>
        <item x="265"/>
        <item x="24"/>
        <item x="292"/>
        <item x="120"/>
        <item x="259"/>
        <item x="335"/>
        <item x="387"/>
        <item x="185"/>
        <item x="418"/>
        <item x="212"/>
        <item x="210"/>
        <item x="60"/>
        <item x="318"/>
        <item x="174"/>
        <item x="146"/>
        <item x="420"/>
        <item x="312"/>
        <item x="275"/>
        <item x="186"/>
        <item x="192"/>
        <item x="377"/>
        <item x="384"/>
        <item x="102"/>
        <item x="339"/>
        <item x="125"/>
        <item x="4"/>
        <item x="321"/>
        <item x="77"/>
        <item x="324"/>
        <item x="380"/>
        <item x="254"/>
        <item x="286"/>
        <item x="393"/>
        <item x="39"/>
        <item x="424"/>
        <item x="150"/>
        <item x="92"/>
        <item x="272"/>
        <item x="109"/>
        <item x="198"/>
        <item x="261"/>
        <item x="141"/>
        <item x="46"/>
        <item x="329"/>
        <item x="273"/>
        <item x="266"/>
        <item x="356"/>
        <item x="327"/>
        <item x="171"/>
        <item x="89"/>
        <item x="354"/>
        <item x="231"/>
        <item x="162"/>
        <item x="142"/>
        <item x="88"/>
        <item x="386"/>
        <item x="11"/>
        <item x="262"/>
        <item x="239"/>
        <item x="303"/>
        <item x="260"/>
        <item x="176"/>
        <item x="328"/>
        <item x="346"/>
        <item x="153"/>
        <item x="425"/>
        <item x="371"/>
        <item x="285"/>
        <item x="221"/>
        <item x="218"/>
        <item x="230"/>
        <item x="17"/>
        <item x="31"/>
        <item x="184"/>
        <item x="295"/>
        <item x="304"/>
        <item x="19"/>
        <item x="255"/>
        <item x="289"/>
        <item x="147"/>
        <item x="429"/>
        <item x="391"/>
        <item x="299"/>
        <item x="179"/>
        <item x="412"/>
        <item x="415"/>
        <item x="117"/>
        <item x="163"/>
        <item x="15"/>
        <item x="188"/>
        <item x="215"/>
        <item x="360"/>
        <item x="40"/>
        <item x="276"/>
        <item x="133"/>
        <item x="373"/>
        <item x="170"/>
        <item x="173"/>
        <item x="45"/>
        <item x="44"/>
        <item x="87"/>
        <item x="205"/>
        <item x="38"/>
        <item x="251"/>
        <item x="381"/>
        <item x="410"/>
        <item x="228"/>
        <item x="122"/>
        <item x="421"/>
        <item x="177"/>
        <item x="207"/>
        <item x="51"/>
        <item x="364"/>
        <item x="348"/>
        <item x="108"/>
        <item x="379"/>
        <item x="241"/>
        <item x="94"/>
        <item x="274"/>
        <item x="235"/>
        <item x="33"/>
        <item x="169"/>
        <item x="114"/>
        <item x="93"/>
        <item x="159"/>
        <item x="404"/>
        <item x="91"/>
        <item x="350"/>
        <item x="209"/>
        <item x="63"/>
        <item x="168"/>
        <item x="53"/>
        <item x="378"/>
        <item x="115"/>
        <item x="362"/>
        <item x="236"/>
        <item x="263"/>
        <item t="default"/>
      </items>
    </pivotField>
    <pivotField compact="0" showAll="0">
      <items count="5">
        <item x="2"/>
        <item x="3"/>
        <item x="0"/>
        <item x="1"/>
        <item t="default"/>
      </items>
    </pivotField>
    <pivotField compact="0" showAll="0">
      <items count="398">
        <item x="211"/>
        <item x="4"/>
        <item x="144"/>
        <item x="376"/>
        <item x="269"/>
        <item x="141"/>
        <item x="57"/>
        <item x="314"/>
        <item x="8"/>
        <item x="369"/>
        <item x="122"/>
        <item x="132"/>
        <item x="165"/>
        <item x="326"/>
        <item x="151"/>
        <item x="340"/>
        <item x="124"/>
        <item x="117"/>
        <item x="321"/>
        <item x="295"/>
        <item x="219"/>
        <item x="195"/>
        <item x="87"/>
        <item x="275"/>
        <item x="153"/>
        <item x="239"/>
        <item x="255"/>
        <item x="382"/>
        <item x="216"/>
        <item x="127"/>
        <item x="238"/>
        <item x="155"/>
        <item x="357"/>
        <item x="247"/>
        <item x="121"/>
        <item x="179"/>
        <item x="217"/>
        <item x="214"/>
        <item x="205"/>
        <item x="232"/>
        <item x="336"/>
        <item x="292"/>
        <item x="3"/>
        <item x="318"/>
        <item x="78"/>
        <item x="312"/>
        <item x="298"/>
        <item x="272"/>
        <item x="202"/>
        <item x="162"/>
        <item x="130"/>
        <item x="29"/>
        <item x="94"/>
        <item x="354"/>
        <item x="388"/>
        <item x="296"/>
        <item x="308"/>
        <item x="244"/>
        <item x="119"/>
        <item x="222"/>
        <item x="90"/>
        <item x="118"/>
        <item x="230"/>
        <item x="254"/>
        <item x="142"/>
        <item x="113"/>
        <item x="303"/>
        <item x="263"/>
        <item x="344"/>
        <item x="0"/>
        <item x="170"/>
        <item x="237"/>
        <item x="278"/>
        <item x="242"/>
        <item x="316"/>
        <item x="52"/>
        <item x="200"/>
        <item x="320"/>
        <item x="291"/>
        <item x="128"/>
        <item x="257"/>
        <item x="229"/>
        <item x="79"/>
        <item x="294"/>
        <item x="37"/>
        <item x="51"/>
        <item x="194"/>
        <item x="72"/>
        <item x="106"/>
        <item x="203"/>
        <item x="140"/>
        <item x="383"/>
        <item x="290"/>
        <item x="368"/>
        <item x="249"/>
        <item x="137"/>
        <item x="264"/>
        <item x="213"/>
        <item x="54"/>
        <item x="83"/>
        <item x="158"/>
        <item x="297"/>
        <item x="351"/>
        <item x="111"/>
        <item x="114"/>
        <item x="35"/>
        <item x="157"/>
        <item x="24"/>
        <item x="317"/>
        <item x="273"/>
        <item x="112"/>
        <item x="284"/>
        <item x="103"/>
        <item x="1"/>
        <item x="231"/>
        <item x="108"/>
        <item x="61"/>
        <item x="105"/>
        <item x="182"/>
        <item x="225"/>
        <item x="12"/>
        <item x="387"/>
        <item x="378"/>
        <item x="283"/>
        <item x="13"/>
        <item x="258"/>
        <item x="330"/>
        <item x="75"/>
        <item x="191"/>
        <item x="313"/>
        <item x="212"/>
        <item x="45"/>
        <item x="301"/>
        <item x="20"/>
        <item x="135"/>
        <item x="92"/>
        <item x="86"/>
        <item x="248"/>
        <item x="224"/>
        <item x="389"/>
        <item x="315"/>
        <item x="334"/>
        <item x="241"/>
        <item x="55"/>
        <item x="395"/>
        <item x="16"/>
        <item x="348"/>
        <item x="136"/>
        <item x="306"/>
        <item x="39"/>
        <item x="323"/>
        <item x="265"/>
        <item x="218"/>
        <item x="150"/>
        <item x="47"/>
        <item x="66"/>
        <item x="96"/>
        <item x="332"/>
        <item x="31"/>
        <item x="6"/>
        <item x="367"/>
        <item x="304"/>
        <item x="393"/>
        <item x="5"/>
        <item x="350"/>
        <item x="80"/>
        <item x="102"/>
        <item x="209"/>
        <item x="36"/>
        <item x="63"/>
        <item x="148"/>
        <item x="251"/>
        <item x="188"/>
        <item x="32"/>
        <item x="68"/>
        <item x="282"/>
        <item x="226"/>
        <item x="223"/>
        <item x="161"/>
        <item x="189"/>
        <item x="371"/>
        <item x="101"/>
        <item x="98"/>
        <item x="370"/>
        <item x="342"/>
        <item x="380"/>
        <item x="271"/>
        <item x="82"/>
        <item x="300"/>
        <item x="311"/>
        <item x="145"/>
        <item x="252"/>
        <item x="139"/>
        <item x="49"/>
        <item x="25"/>
        <item x="341"/>
        <item x="123"/>
        <item x="270"/>
        <item x="187"/>
        <item x="335"/>
        <item x="329"/>
        <item x="40"/>
        <item x="365"/>
        <item x="185"/>
        <item x="208"/>
        <item x="41"/>
        <item x="10"/>
        <item x="33"/>
        <item x="346"/>
        <item x="110"/>
        <item x="169"/>
        <item x="30"/>
        <item x="44"/>
        <item x="347"/>
        <item x="168"/>
        <item x="175"/>
        <item x="120"/>
        <item x="126"/>
        <item x="107"/>
        <item x="366"/>
        <item x="392"/>
        <item x="27"/>
        <item x="147"/>
        <item x="156"/>
        <item x="48"/>
        <item x="62"/>
        <item x="18"/>
        <item x="95"/>
        <item x="97"/>
        <item x="166"/>
        <item x="23"/>
        <item x="293"/>
        <item x="109"/>
        <item x="328"/>
        <item x="215"/>
        <item x="221"/>
        <item x="235"/>
        <item x="322"/>
        <item x="60"/>
        <item x="201"/>
        <item x="299"/>
        <item x="352"/>
        <item x="15"/>
        <item x="377"/>
        <item x="93"/>
        <item x="204"/>
        <item x="266"/>
        <item x="305"/>
        <item x="198"/>
        <item x="384"/>
        <item x="250"/>
        <item x="375"/>
        <item x="67"/>
        <item x="396"/>
        <item x="207"/>
        <item x="186"/>
        <item x="77"/>
        <item x="149"/>
        <item x="177"/>
        <item x="394"/>
        <item x="152"/>
        <item x="373"/>
        <item x="246"/>
        <item x="88"/>
        <item x="172"/>
        <item x="280"/>
        <item x="333"/>
        <item x="234"/>
        <item x="99"/>
        <item x="363"/>
        <item x="192"/>
        <item x="160"/>
        <item x="360"/>
        <item x="199"/>
        <item x="89"/>
        <item x="240"/>
        <item x="173"/>
        <item x="243"/>
        <item x="159"/>
        <item x="71"/>
        <item x="134"/>
        <item x="268"/>
        <item x="73"/>
        <item x="379"/>
        <item x="125"/>
        <item x="21"/>
        <item x="220"/>
        <item x="50"/>
        <item x="287"/>
        <item x="171"/>
        <item x="331"/>
        <item x="58"/>
        <item x="310"/>
        <item x="38"/>
        <item x="206"/>
        <item x="307"/>
        <item x="324"/>
        <item x="7"/>
        <item x="327"/>
        <item x="43"/>
        <item x="138"/>
        <item x="22"/>
        <item x="178"/>
        <item x="285"/>
        <item x="381"/>
        <item x="28"/>
        <item x="391"/>
        <item x="267"/>
        <item x="19"/>
        <item x="154"/>
        <item x="362"/>
        <item x="181"/>
        <item x="46"/>
        <item x="262"/>
        <item x="42"/>
        <item x="176"/>
        <item x="116"/>
        <item x="53"/>
        <item x="390"/>
        <item x="361"/>
        <item x="372"/>
        <item x="279"/>
        <item x="76"/>
        <item x="288"/>
        <item x="167"/>
        <item x="302"/>
        <item x="385"/>
        <item x="343"/>
        <item x="210"/>
        <item x="84"/>
        <item x="197"/>
        <item x="345"/>
        <item x="261"/>
        <item x="276"/>
        <item x="338"/>
        <item x="355"/>
        <item x="193"/>
        <item x="115"/>
        <item x="337"/>
        <item x="183"/>
        <item x="253"/>
        <item x="281"/>
        <item x="56"/>
        <item x="34"/>
        <item x="174"/>
        <item x="339"/>
        <item x="11"/>
        <item x="227"/>
        <item x="245"/>
        <item x="65"/>
        <item x="64"/>
        <item x="129"/>
        <item x="319"/>
        <item x="81"/>
        <item x="85"/>
        <item x="359"/>
        <item x="325"/>
        <item x="17"/>
        <item x="2"/>
        <item x="259"/>
        <item x="70"/>
        <item x="133"/>
        <item x="256"/>
        <item x="164"/>
        <item x="196"/>
        <item x="286"/>
        <item x="277"/>
        <item x="374"/>
        <item x="349"/>
        <item x="26"/>
        <item x="386"/>
        <item x="353"/>
        <item x="14"/>
        <item x="180"/>
        <item x="143"/>
        <item x="228"/>
        <item x="260"/>
        <item x="274"/>
        <item x="184"/>
        <item x="236"/>
        <item x="309"/>
        <item x="131"/>
        <item x="358"/>
        <item x="59"/>
        <item x="74"/>
        <item x="69"/>
        <item x="356"/>
        <item x="146"/>
        <item x="104"/>
        <item x="364"/>
        <item x="91"/>
        <item x="163"/>
        <item x="100"/>
        <item x="190"/>
        <item x="289"/>
        <item x="233"/>
        <item x="9"/>
        <item t="default"/>
      </items>
    </pivotField>
    <pivotField compact="0" showAll="0">
      <items count="398">
        <item x="382"/>
        <item x="144"/>
        <item x="340"/>
        <item x="376"/>
        <item x="216"/>
        <item x="269"/>
        <item x="57"/>
        <item x="124"/>
        <item x="117"/>
        <item x="127"/>
        <item x="238"/>
        <item x="8"/>
        <item x="155"/>
        <item x="87"/>
        <item x="211"/>
        <item x="369"/>
        <item x="153"/>
        <item x="141"/>
        <item x="4"/>
        <item x="122"/>
        <item x="239"/>
        <item x="132"/>
        <item x="357"/>
        <item x="165"/>
        <item x="247"/>
        <item x="326"/>
        <item x="321"/>
        <item x="295"/>
        <item x="255"/>
        <item x="314"/>
        <item x="151"/>
        <item x="275"/>
        <item x="219"/>
        <item x="195"/>
        <item x="121"/>
        <item x="292"/>
        <item x="162"/>
        <item x="308"/>
        <item x="78"/>
        <item x="130"/>
        <item x="296"/>
        <item x="318"/>
        <item x="217"/>
        <item x="336"/>
        <item x="272"/>
        <item x="214"/>
        <item x="202"/>
        <item x="388"/>
        <item x="179"/>
        <item x="29"/>
        <item x="205"/>
        <item x="312"/>
        <item x="3"/>
        <item x="232"/>
        <item x="94"/>
        <item x="298"/>
        <item x="354"/>
        <item x="194"/>
        <item x="303"/>
        <item x="229"/>
        <item x="263"/>
        <item x="170"/>
        <item x="90"/>
        <item x="344"/>
        <item x="79"/>
        <item x="230"/>
        <item x="237"/>
        <item x="294"/>
        <item x="244"/>
        <item x="119"/>
        <item x="278"/>
        <item x="291"/>
        <item x="200"/>
        <item x="37"/>
        <item x="254"/>
        <item x="320"/>
        <item x="0"/>
        <item x="118"/>
        <item x="142"/>
        <item x="52"/>
        <item x="242"/>
        <item x="128"/>
        <item x="113"/>
        <item x="257"/>
        <item x="316"/>
        <item x="222"/>
        <item x="51"/>
        <item x="383"/>
        <item x="297"/>
        <item x="112"/>
        <item x="351"/>
        <item x="213"/>
        <item x="24"/>
        <item x="284"/>
        <item x="1"/>
        <item x="72"/>
        <item x="54"/>
        <item x="317"/>
        <item x="106"/>
        <item x="83"/>
        <item x="273"/>
        <item x="103"/>
        <item x="203"/>
        <item x="158"/>
        <item x="368"/>
        <item x="290"/>
        <item x="111"/>
        <item x="249"/>
        <item x="157"/>
        <item x="231"/>
        <item x="108"/>
        <item x="137"/>
        <item x="61"/>
        <item x="114"/>
        <item x="140"/>
        <item x="264"/>
        <item x="35"/>
        <item x="182"/>
        <item x="330"/>
        <item x="225"/>
        <item x="45"/>
        <item x="12"/>
        <item x="283"/>
        <item x="212"/>
        <item x="387"/>
        <item x="13"/>
        <item x="75"/>
        <item x="378"/>
        <item x="301"/>
        <item x="105"/>
        <item x="191"/>
        <item x="20"/>
        <item x="313"/>
        <item x="258"/>
        <item x="135"/>
        <item x="86"/>
        <item x="224"/>
        <item x="92"/>
        <item x="248"/>
        <item x="389"/>
        <item x="395"/>
        <item x="306"/>
        <item x="39"/>
        <item x="47"/>
        <item x="16"/>
        <item x="334"/>
        <item x="241"/>
        <item x="136"/>
        <item x="265"/>
        <item x="55"/>
        <item x="348"/>
        <item x="218"/>
        <item x="315"/>
        <item x="323"/>
        <item x="150"/>
        <item x="367"/>
        <item x="6"/>
        <item x="96"/>
        <item x="66"/>
        <item x="304"/>
        <item x="31"/>
        <item x="332"/>
        <item x="393"/>
        <item x="5"/>
        <item x="161"/>
        <item x="311"/>
        <item x="49"/>
        <item x="25"/>
        <item x="123"/>
        <item x="380"/>
        <item x="209"/>
        <item x="282"/>
        <item x="271"/>
        <item x="80"/>
        <item x="226"/>
        <item x="371"/>
        <item x="370"/>
        <item x="188"/>
        <item x="223"/>
        <item x="145"/>
        <item x="187"/>
        <item x="341"/>
        <item x="270"/>
        <item x="329"/>
        <item x="82"/>
        <item x="40"/>
        <item x="300"/>
        <item x="32"/>
        <item x="342"/>
        <item x="189"/>
        <item x="252"/>
        <item x="139"/>
        <item x="365"/>
        <item x="63"/>
        <item x="101"/>
        <item x="102"/>
        <item x="185"/>
        <item x="350"/>
        <item x="98"/>
        <item x="148"/>
        <item x="36"/>
        <item x="251"/>
        <item x="68"/>
        <item x="335"/>
        <item x="366"/>
        <item x="208"/>
        <item x="346"/>
        <item x="30"/>
        <item x="41"/>
        <item x="44"/>
        <item x="347"/>
        <item x="147"/>
        <item x="168"/>
        <item x="110"/>
        <item x="126"/>
        <item x="10"/>
        <item x="33"/>
        <item x="175"/>
        <item x="107"/>
        <item x="392"/>
        <item x="169"/>
        <item x="120"/>
        <item x="27"/>
        <item x="156"/>
        <item x="97"/>
        <item x="328"/>
        <item x="48"/>
        <item x="62"/>
        <item x="23"/>
        <item x="235"/>
        <item x="18"/>
        <item x="322"/>
        <item x="60"/>
        <item x="352"/>
        <item x="293"/>
        <item x="215"/>
        <item x="221"/>
        <item x="299"/>
        <item x="95"/>
        <item x="109"/>
        <item x="166"/>
        <item x="201"/>
        <item x="93"/>
        <item x="198"/>
        <item x="333"/>
        <item x="199"/>
        <item x="394"/>
        <item x="88"/>
        <item x="373"/>
        <item x="89"/>
        <item x="280"/>
        <item x="15"/>
        <item x="204"/>
        <item x="375"/>
        <item x="67"/>
        <item x="396"/>
        <item x="250"/>
        <item x="77"/>
        <item x="186"/>
        <item x="246"/>
        <item x="363"/>
        <item x="234"/>
        <item x="266"/>
        <item x="384"/>
        <item x="149"/>
        <item x="172"/>
        <item x="99"/>
        <item x="377"/>
        <item x="192"/>
        <item x="305"/>
        <item x="207"/>
        <item x="177"/>
        <item x="160"/>
        <item x="360"/>
        <item x="152"/>
        <item x="268"/>
        <item x="243"/>
        <item x="173"/>
        <item x="159"/>
        <item x="134"/>
        <item x="71"/>
        <item x="379"/>
        <item x="125"/>
        <item x="240"/>
        <item x="73"/>
        <item x="21"/>
        <item x="220"/>
        <item x="331"/>
        <item x="43"/>
        <item x="206"/>
        <item x="310"/>
        <item x="138"/>
        <item x="22"/>
        <item x="381"/>
        <item x="38"/>
        <item x="324"/>
        <item x="28"/>
        <item x="307"/>
        <item x="50"/>
        <item x="7"/>
        <item x="287"/>
        <item x="327"/>
        <item x="171"/>
        <item x="58"/>
        <item x="178"/>
        <item x="285"/>
        <item x="391"/>
        <item x="345"/>
        <item x="267"/>
        <item x="343"/>
        <item x="181"/>
        <item x="261"/>
        <item x="46"/>
        <item x="390"/>
        <item x="302"/>
        <item x="385"/>
        <item x="262"/>
        <item x="361"/>
        <item x="210"/>
        <item x="338"/>
        <item x="372"/>
        <item x="84"/>
        <item x="355"/>
        <item x="42"/>
        <item x="288"/>
        <item x="276"/>
        <item x="197"/>
        <item x="176"/>
        <item x="279"/>
        <item x="116"/>
        <item x="167"/>
        <item x="19"/>
        <item x="76"/>
        <item x="154"/>
        <item x="362"/>
        <item x="53"/>
        <item x="64"/>
        <item x="85"/>
        <item x="325"/>
        <item x="337"/>
        <item x="11"/>
        <item x="65"/>
        <item x="183"/>
        <item x="339"/>
        <item x="319"/>
        <item x="164"/>
        <item x="359"/>
        <item x="227"/>
        <item x="349"/>
        <item x="115"/>
        <item x="253"/>
        <item x="2"/>
        <item x="277"/>
        <item x="129"/>
        <item x="174"/>
        <item x="81"/>
        <item x="259"/>
        <item x="196"/>
        <item x="70"/>
        <item x="281"/>
        <item x="17"/>
        <item x="56"/>
        <item x="256"/>
        <item x="34"/>
        <item x="374"/>
        <item x="193"/>
        <item x="133"/>
        <item x="286"/>
        <item x="245"/>
        <item x="143"/>
        <item x="69"/>
        <item x="184"/>
        <item x="26"/>
        <item x="74"/>
        <item x="236"/>
        <item x="386"/>
        <item x="353"/>
        <item x="131"/>
        <item x="260"/>
        <item x="309"/>
        <item x="358"/>
        <item x="14"/>
        <item x="274"/>
        <item x="356"/>
        <item x="180"/>
        <item x="59"/>
        <item x="228"/>
        <item x="104"/>
        <item x="91"/>
        <item x="163"/>
        <item x="146"/>
        <item x="100"/>
        <item x="364"/>
        <item x="190"/>
        <item x="289"/>
        <item x="233"/>
        <item x="9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2">
        <item x="0"/>
        <item t="default"/>
      </items>
    </pivotField>
    <pivotField compact="0" showAll="0">
      <items count="190">
        <item x="59"/>
        <item x="166"/>
        <item x="112"/>
        <item x="125"/>
        <item x="81"/>
        <item x="82"/>
        <item x="153"/>
        <item x="118"/>
        <item x="109"/>
        <item x="34"/>
        <item x="89"/>
        <item x="185"/>
        <item x="186"/>
        <item x="78"/>
        <item x="41"/>
        <item x="172"/>
        <item x="151"/>
        <item x="71"/>
        <item x="39"/>
        <item x="184"/>
        <item x="140"/>
        <item x="105"/>
        <item x="51"/>
        <item x="143"/>
        <item x="72"/>
        <item x="35"/>
        <item x="142"/>
        <item x="22"/>
        <item x="74"/>
        <item x="138"/>
        <item x="77"/>
        <item x="29"/>
        <item x="38"/>
        <item x="3"/>
        <item x="116"/>
        <item x="150"/>
        <item x="61"/>
        <item x="130"/>
        <item x="27"/>
        <item x="60"/>
        <item x="96"/>
        <item x="66"/>
        <item x="18"/>
        <item x="65"/>
        <item x="28"/>
        <item x="16"/>
        <item x="188"/>
        <item x="50"/>
        <item x="156"/>
        <item x="148"/>
        <item x="54"/>
        <item x="168"/>
        <item x="115"/>
        <item x="159"/>
        <item x="2"/>
        <item x="5"/>
        <item x="47"/>
        <item x="9"/>
        <item x="164"/>
        <item x="107"/>
        <item x="23"/>
        <item x="119"/>
        <item x="55"/>
        <item x="120"/>
        <item x="124"/>
        <item x="129"/>
        <item x="83"/>
        <item x="179"/>
        <item x="57"/>
        <item x="92"/>
        <item x="0"/>
        <item x="187"/>
        <item x="86"/>
        <item x="146"/>
        <item x="12"/>
        <item x="101"/>
        <item x="114"/>
        <item x="44"/>
        <item x="75"/>
        <item x="25"/>
        <item x="108"/>
        <item x="177"/>
        <item x="154"/>
        <item x="121"/>
        <item x="69"/>
        <item x="80"/>
        <item x="152"/>
        <item x="128"/>
        <item x="180"/>
        <item x="98"/>
        <item x="182"/>
        <item x="104"/>
        <item x="88"/>
        <item x="161"/>
        <item x="113"/>
        <item x="85"/>
        <item x="160"/>
        <item x="1"/>
        <item x="103"/>
        <item x="90"/>
        <item x="6"/>
        <item x="91"/>
        <item x="126"/>
        <item x="64"/>
        <item x="15"/>
        <item x="26"/>
        <item x="123"/>
        <item x="100"/>
        <item x="158"/>
        <item x="31"/>
        <item x="133"/>
        <item x="53"/>
        <item x="122"/>
        <item x="73"/>
        <item x="145"/>
        <item x="87"/>
        <item x="174"/>
        <item x="14"/>
        <item x="19"/>
        <item x="163"/>
        <item x="106"/>
        <item x="20"/>
        <item x="46"/>
        <item x="110"/>
        <item x="165"/>
        <item x="147"/>
        <item x="175"/>
        <item x="155"/>
        <item x="11"/>
        <item x="36"/>
        <item x="144"/>
        <item x="111"/>
        <item x="117"/>
        <item x="45"/>
        <item x="95"/>
        <item x="97"/>
        <item x="10"/>
        <item x="42"/>
        <item x="135"/>
        <item x="32"/>
        <item x="94"/>
        <item x="56"/>
        <item x="181"/>
        <item x="13"/>
        <item x="102"/>
        <item x="169"/>
        <item x="30"/>
        <item x="134"/>
        <item x="43"/>
        <item x="171"/>
        <item x="63"/>
        <item x="33"/>
        <item x="178"/>
        <item x="84"/>
        <item x="127"/>
        <item x="162"/>
        <item x="52"/>
        <item x="70"/>
        <item x="8"/>
        <item x="49"/>
        <item x="157"/>
        <item x="68"/>
        <item x="48"/>
        <item x="4"/>
        <item x="136"/>
        <item x="24"/>
        <item x="76"/>
        <item x="67"/>
        <item x="79"/>
        <item x="167"/>
        <item x="170"/>
        <item x="149"/>
        <item x="21"/>
        <item x="93"/>
        <item x="139"/>
        <item x="37"/>
        <item x="132"/>
        <item x="137"/>
        <item x="173"/>
        <item x="131"/>
        <item x="99"/>
        <item x="176"/>
        <item x="141"/>
        <item x="7"/>
        <item x="58"/>
        <item x="17"/>
        <item x="62"/>
        <item x="40"/>
        <item x="183"/>
        <item t="default"/>
      </items>
    </pivotField>
    <pivotField compact="0" showAll="0">
      <items count="44">
        <item x="19"/>
        <item x="16"/>
        <item x="36"/>
        <item x="1"/>
        <item x="22"/>
        <item x="29"/>
        <item x="13"/>
        <item x="40"/>
        <item x="2"/>
        <item x="32"/>
        <item x="10"/>
        <item x="14"/>
        <item x="23"/>
        <item x="0"/>
        <item x="28"/>
        <item x="42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24"/>
        <item x="26"/>
        <item x="21"/>
        <item x="9"/>
        <item x="34"/>
        <item x="20"/>
        <item x="18"/>
        <item x="5"/>
        <item x="7"/>
        <item x="41"/>
        <item x="17"/>
        <item x="4"/>
        <item x="6"/>
        <item t="default"/>
      </items>
    </pivotField>
    <pivotField compact="0" showAll="0">
      <items count="242">
        <item x="128"/>
        <item x="111"/>
        <item x="117"/>
        <item x="122"/>
        <item x="208"/>
        <item x="238"/>
        <item x="113"/>
        <item x="211"/>
        <item x="69"/>
        <item x="204"/>
        <item x="170"/>
        <item x="73"/>
        <item x="98"/>
        <item x="103"/>
        <item x="92"/>
        <item x="100"/>
        <item x="206"/>
        <item x="29"/>
        <item x="164"/>
        <item x="23"/>
        <item x="45"/>
        <item x="184"/>
        <item x="131"/>
        <item x="187"/>
        <item x="140"/>
        <item x="24"/>
        <item x="135"/>
        <item x="144"/>
        <item x="207"/>
        <item x="181"/>
        <item x="74"/>
        <item x="63"/>
        <item x="11"/>
        <item x="105"/>
        <item x="49"/>
        <item x="21"/>
        <item x="225"/>
        <item x="233"/>
        <item x="209"/>
        <item x="28"/>
        <item x="101"/>
        <item x="212"/>
        <item x="180"/>
        <item x="195"/>
        <item x="220"/>
        <item x="179"/>
        <item x="182"/>
        <item x="91"/>
        <item x="35"/>
        <item x="234"/>
        <item x="4"/>
        <item x="132"/>
        <item x="43"/>
        <item x="124"/>
        <item x="222"/>
        <item x="196"/>
        <item x="37"/>
        <item x="148"/>
        <item x="166"/>
        <item x="112"/>
        <item x="183"/>
        <item x="133"/>
        <item x="18"/>
        <item x="186"/>
        <item x="118"/>
        <item x="123"/>
        <item x="2"/>
        <item x="96"/>
        <item x="219"/>
        <item x="85"/>
        <item x="104"/>
        <item x="152"/>
        <item x="33"/>
        <item x="153"/>
        <item x="78"/>
        <item x="239"/>
        <item x="108"/>
        <item x="48"/>
        <item x="31"/>
        <item x="84"/>
        <item x="129"/>
        <item x="175"/>
        <item x="126"/>
        <item x="202"/>
        <item x="0"/>
        <item x="82"/>
        <item x="55"/>
        <item x="163"/>
        <item x="47"/>
        <item x="213"/>
        <item x="203"/>
        <item x="177"/>
        <item x="81"/>
        <item x="75"/>
        <item x="72"/>
        <item x="93"/>
        <item x="228"/>
        <item x="157"/>
        <item x="22"/>
        <item x="134"/>
        <item x="229"/>
        <item x="165"/>
        <item x="99"/>
        <item x="190"/>
        <item x="20"/>
        <item x="130"/>
        <item x="185"/>
        <item x="83"/>
        <item x="151"/>
        <item x="169"/>
        <item x="80"/>
        <item x="30"/>
        <item x="193"/>
        <item x="46"/>
        <item x="223"/>
        <item x="56"/>
        <item x="201"/>
        <item x="7"/>
        <item x="156"/>
        <item x="240"/>
        <item x="191"/>
        <item x="87"/>
        <item x="41"/>
        <item x="19"/>
        <item x="39"/>
        <item x="38"/>
        <item x="150"/>
        <item x="138"/>
        <item x="235"/>
        <item x="189"/>
        <item x="44"/>
        <item x="173"/>
        <item x="17"/>
        <item x="26"/>
        <item x="36"/>
        <item x="155"/>
        <item x="120"/>
        <item x="50"/>
        <item x="116"/>
        <item x="67"/>
        <item x="227"/>
        <item x="53"/>
        <item x="149"/>
        <item x="226"/>
        <item x="10"/>
        <item x="198"/>
        <item x="192"/>
        <item x="68"/>
        <item x="145"/>
        <item x="61"/>
        <item x="136"/>
        <item x="210"/>
        <item x="70"/>
        <item x="15"/>
        <item x="176"/>
        <item x="162"/>
        <item x="77"/>
        <item x="178"/>
        <item x="174"/>
        <item x="6"/>
        <item x="230"/>
        <item x="66"/>
        <item x="16"/>
        <item x="32"/>
        <item x="14"/>
        <item x="143"/>
        <item x="89"/>
        <item x="161"/>
        <item x="65"/>
        <item x="114"/>
        <item x="217"/>
        <item x="110"/>
        <item x="139"/>
        <item x="102"/>
        <item x="42"/>
        <item x="127"/>
        <item x="147"/>
        <item x="76"/>
        <item x="97"/>
        <item x="109"/>
        <item x="12"/>
        <item x="8"/>
        <item x="51"/>
        <item x="154"/>
        <item x="27"/>
        <item x="57"/>
        <item x="237"/>
        <item x="171"/>
        <item x="115"/>
        <item x="214"/>
        <item x="231"/>
        <item x="64"/>
        <item x="121"/>
        <item x="25"/>
        <item x="141"/>
        <item x="3"/>
        <item x="1"/>
        <item x="62"/>
        <item x="13"/>
        <item x="95"/>
        <item x="216"/>
        <item x="79"/>
        <item x="106"/>
        <item x="54"/>
        <item x="142"/>
        <item x="88"/>
        <item x="218"/>
        <item x="188"/>
        <item x="107"/>
        <item x="71"/>
        <item x="215"/>
        <item x="197"/>
        <item x="221"/>
        <item x="146"/>
        <item x="125"/>
        <item x="168"/>
        <item x="200"/>
        <item x="158"/>
        <item x="194"/>
        <item x="205"/>
        <item x="9"/>
        <item x="94"/>
        <item x="34"/>
        <item x="90"/>
        <item x="137"/>
        <item x="167"/>
        <item x="86"/>
        <item x="58"/>
        <item x="52"/>
        <item x="40"/>
        <item x="160"/>
        <item x="232"/>
        <item x="199"/>
        <item x="5"/>
        <item x="59"/>
        <item x="60"/>
        <item x="119"/>
        <item x="159"/>
        <item x="224"/>
        <item x="172"/>
        <item x="236"/>
        <item t="default"/>
      </items>
    </pivotField>
    <pivotField compact="0" showAll="0">
      <items count="5">
        <item x="2"/>
        <item x="3"/>
        <item x="0"/>
        <item x="1"/>
        <item t="default"/>
      </items>
    </pivotField>
    <pivotField axis="axisRow" compact="0" showAll="0">
      <items count="464">
        <item x="0"/>
        <item x="151"/>
        <item x="88"/>
        <item x="203"/>
        <item x="389"/>
        <item x="461"/>
        <item x="292"/>
        <item x="449"/>
        <item x="13"/>
        <item x="183"/>
        <item x="198"/>
        <item x="32"/>
        <item x="227"/>
        <item x="350"/>
        <item x="39"/>
        <item x="27"/>
        <item x="281"/>
        <item x="269"/>
        <item x="238"/>
        <item x="199"/>
        <item x="327"/>
        <item x="140"/>
        <item x="337"/>
        <item x="11"/>
        <item x="108"/>
        <item x="414"/>
        <item x="225"/>
        <item x="192"/>
        <item x="324"/>
        <item x="251"/>
        <item x="59"/>
        <item x="417"/>
        <item x="331"/>
        <item x="81"/>
        <item x="263"/>
        <item x="103"/>
        <item x="178"/>
        <item x="301"/>
        <item x="201"/>
        <item x="194"/>
        <item x="264"/>
        <item x="306"/>
        <item x="193"/>
        <item x="228"/>
        <item x="67"/>
        <item x="271"/>
        <item x="45"/>
        <item x="272"/>
        <item x="341"/>
        <item x="411"/>
        <item x="220"/>
        <item x="376"/>
        <item x="450"/>
        <item x="3"/>
        <item x="137"/>
        <item x="424"/>
        <item x="136"/>
        <item x="53"/>
        <item x="278"/>
        <item x="403"/>
        <item x="143"/>
        <item x="58"/>
        <item x="427"/>
        <item x="302"/>
        <item x="111"/>
        <item x="132"/>
        <item x="285"/>
        <item x="202"/>
        <item x="96"/>
        <item x="239"/>
        <item x="284"/>
        <item x="34"/>
        <item x="184"/>
        <item x="295"/>
        <item x="402"/>
        <item x="261"/>
        <item x="358"/>
        <item x="433"/>
        <item x="371"/>
        <item x="293"/>
        <item x="338"/>
        <item x="129"/>
        <item x="406"/>
        <item x="323"/>
        <item x="182"/>
        <item x="64"/>
        <item x="460"/>
        <item x="305"/>
        <item x="2"/>
        <item x="162"/>
        <item x="317"/>
        <item x="391"/>
        <item x="196"/>
        <item x="105"/>
        <item x="56"/>
        <item x="215"/>
        <item x="401"/>
        <item x="131"/>
        <item x="313"/>
        <item x="296"/>
        <item x="125"/>
        <item x="425"/>
        <item x="94"/>
        <item x="60"/>
        <item x="158"/>
        <item x="69"/>
        <item x="47"/>
        <item x="339"/>
        <item x="159"/>
        <item x="288"/>
        <item x="79"/>
        <item x="66"/>
        <item x="152"/>
        <item x="299"/>
        <item x="233"/>
        <item x="265"/>
        <item x="35"/>
        <item x="113"/>
        <item x="6"/>
        <item x="280"/>
        <item x="276"/>
        <item x="200"/>
        <item x="80"/>
        <item x="95"/>
        <item x="244"/>
        <item x="174"/>
        <item x="287"/>
        <item x="254"/>
        <item x="415"/>
        <item x="149"/>
        <item x="435"/>
        <item x="10"/>
        <item x="186"/>
        <item x="54"/>
        <item x="195"/>
        <item x="394"/>
        <item x="65"/>
        <item x="102"/>
        <item x="375"/>
        <item x="428"/>
        <item x="71"/>
        <item x="180"/>
        <item x="219"/>
        <item x="439"/>
        <item x="342"/>
        <item x="82"/>
        <item x="286"/>
        <item x="404"/>
        <item x="36"/>
        <item x="360"/>
        <item x="28"/>
        <item x="135"/>
        <item x="351"/>
        <item x="208"/>
        <item x="9"/>
        <item x="459"/>
        <item x="343"/>
        <item x="139"/>
        <item x="248"/>
        <item x="326"/>
        <item x="173"/>
        <item x="242"/>
        <item x="117"/>
        <item x="133"/>
        <item x="221"/>
        <item x="150"/>
        <item x="253"/>
        <item x="177"/>
        <item x="77"/>
        <item x="355"/>
        <item x="90"/>
        <item x="164"/>
        <item x="42"/>
        <item x="330"/>
        <item x="165"/>
        <item x="456"/>
        <item x="407"/>
        <item x="430"/>
        <item x="92"/>
        <item x="237"/>
        <item x="367"/>
        <item x="335"/>
        <item x="266"/>
        <item x="453"/>
        <item x="189"/>
        <item x="127"/>
        <item x="258"/>
        <item x="325"/>
        <item x="352"/>
        <item x="134"/>
        <item x="379"/>
        <item x="328"/>
        <item x="356"/>
        <item x="332"/>
        <item x="12"/>
        <item x="303"/>
        <item x="218"/>
        <item x="104"/>
        <item x="46"/>
        <item x="399"/>
        <item x="458"/>
        <item x="85"/>
        <item x="146"/>
        <item x="156"/>
        <item x="270"/>
        <item x="412"/>
        <item x="377"/>
        <item x="262"/>
        <item x="204"/>
        <item x="154"/>
        <item x="231"/>
        <item x="217"/>
        <item x="448"/>
        <item x="61"/>
        <item x="289"/>
        <item x="147"/>
        <item x="300"/>
        <item x="446"/>
        <item x="315"/>
        <item x="57"/>
        <item x="5"/>
        <item x="434"/>
        <item x="372"/>
        <item x="366"/>
        <item x="418"/>
        <item x="167"/>
        <item x="373"/>
        <item x="76"/>
        <item x="416"/>
        <item x="455"/>
        <item x="33"/>
        <item x="23"/>
        <item x="168"/>
        <item x="232"/>
        <item x="187"/>
        <item x="142"/>
        <item x="30"/>
        <item x="385"/>
        <item x="44"/>
        <item x="124"/>
        <item x="329"/>
        <item x="37"/>
        <item x="383"/>
        <item x="308"/>
        <item x="298"/>
        <item x="408"/>
        <item x="216"/>
        <item x="89"/>
        <item x="75"/>
        <item x="422"/>
        <item x="16"/>
        <item x="429"/>
        <item x="441"/>
        <item x="419"/>
        <item x="24"/>
        <item x="148"/>
        <item x="101"/>
        <item x="55"/>
        <item x="141"/>
        <item x="349"/>
        <item x="224"/>
        <item x="128"/>
        <item x="277"/>
        <item x="245"/>
        <item x="118"/>
        <item x="240"/>
        <item x="1"/>
        <item x="444"/>
        <item x="386"/>
        <item x="153"/>
        <item x="243"/>
        <item x="334"/>
        <item x="409"/>
        <item x="72"/>
        <item x="312"/>
        <item x="210"/>
        <item x="410"/>
        <item x="364"/>
        <item x="321"/>
        <item x="100"/>
        <item x="365"/>
        <item x="344"/>
        <item x="176"/>
        <item x="336"/>
        <item x="14"/>
        <item x="397"/>
        <item x="346"/>
        <item x="398"/>
        <item x="126"/>
        <item x="29"/>
        <item x="78"/>
        <item x="123"/>
        <item x="432"/>
        <item x="361"/>
        <item x="431"/>
        <item x="259"/>
        <item x="423"/>
        <item x="353"/>
        <item x="381"/>
        <item x="396"/>
        <item x="370"/>
        <item x="297"/>
        <item x="63"/>
        <item x="275"/>
        <item x="172"/>
        <item x="70"/>
        <item x="309"/>
        <item x="155"/>
        <item x="130"/>
        <item x="445"/>
        <item x="395"/>
        <item x="191"/>
        <item x="384"/>
        <item x="4"/>
        <item x="319"/>
        <item x="106"/>
        <item x="122"/>
        <item x="93"/>
        <item x="73"/>
        <item x="388"/>
        <item x="157"/>
        <item x="43"/>
        <item x="48"/>
        <item x="107"/>
        <item x="320"/>
        <item x="393"/>
        <item x="368"/>
        <item x="345"/>
        <item x="179"/>
        <item x="279"/>
        <item x="340"/>
        <item x="49"/>
        <item x="205"/>
        <item x="304"/>
        <item x="426"/>
        <item x="400"/>
        <item x="413"/>
        <item x="369"/>
        <item x="247"/>
        <item x="109"/>
        <item x="31"/>
        <item x="160"/>
        <item x="421"/>
        <item x="8"/>
        <item x="273"/>
        <item x="25"/>
        <item x="98"/>
        <item x="310"/>
        <item x="169"/>
        <item x="110"/>
        <item x="374"/>
        <item x="230"/>
        <item x="87"/>
        <item x="91"/>
        <item x="452"/>
        <item x="257"/>
        <item x="282"/>
        <item x="171"/>
        <item x="21"/>
        <item x="241"/>
        <item x="213"/>
        <item x="267"/>
        <item x="447"/>
        <item x="382"/>
        <item x="318"/>
        <item x="378"/>
        <item x="206"/>
        <item x="249"/>
        <item x="120"/>
        <item x="19"/>
        <item x="188"/>
        <item x="41"/>
        <item x="83"/>
        <item x="18"/>
        <item x="38"/>
        <item x="119"/>
        <item x="7"/>
        <item x="226"/>
        <item x="362"/>
        <item x="440"/>
        <item x="170"/>
        <item x="255"/>
        <item x="283"/>
        <item x="250"/>
        <item x="307"/>
        <item x="175"/>
        <item x="20"/>
        <item x="112"/>
        <item x="359"/>
        <item x="52"/>
        <item x="380"/>
        <item x="214"/>
        <item x="99"/>
        <item x="311"/>
        <item x="234"/>
        <item x="209"/>
        <item x="236"/>
        <item x="50"/>
        <item x="363"/>
        <item x="197"/>
        <item x="40"/>
        <item x="22"/>
        <item x="294"/>
        <item x="86"/>
        <item x="347"/>
        <item x="392"/>
        <item x="268"/>
        <item x="457"/>
        <item x="420"/>
        <item x="462"/>
        <item x="348"/>
        <item x="51"/>
        <item x="121"/>
        <item x="74"/>
        <item x="274"/>
        <item x="291"/>
        <item x="181"/>
        <item x="116"/>
        <item x="26"/>
        <item x="161"/>
        <item x="436"/>
        <item x="316"/>
        <item x="222"/>
        <item x="185"/>
        <item x="114"/>
        <item x="163"/>
        <item x="190"/>
        <item x="290"/>
        <item x="314"/>
        <item x="260"/>
        <item x="207"/>
        <item x="68"/>
        <item x="212"/>
        <item x="229"/>
        <item x="437"/>
        <item x="211"/>
        <item x="256"/>
        <item x="115"/>
        <item x="390"/>
        <item x="333"/>
        <item x="357"/>
        <item x="443"/>
        <item x="97"/>
        <item x="438"/>
        <item x="235"/>
        <item x="62"/>
        <item x="354"/>
        <item x="138"/>
        <item x="246"/>
        <item x="405"/>
        <item x="166"/>
        <item x="84"/>
        <item x="223"/>
        <item x="144"/>
        <item x="252"/>
        <item x="322"/>
        <item x="454"/>
        <item x="17"/>
        <item x="442"/>
        <item x="451"/>
        <item x="387"/>
        <item x="145"/>
        <item x="15"/>
        <item t="default"/>
      </items>
    </pivotField>
    <pivotField axis="axisPage" compact="0" showAll="0">
      <items count="4">
        <item x="0"/>
        <item x="1"/>
        <item x="2"/>
        <item t="default"/>
      </items>
    </pivotField>
    <pivotField axis="axisPage" compact="0" showAll="0">
      <items count="18">
        <item x="12"/>
        <item x="6"/>
        <item x="8"/>
        <item x="5"/>
        <item x="0"/>
        <item x="9"/>
        <item x="16"/>
        <item x="11"/>
        <item x="13"/>
        <item x="3"/>
        <item x="1"/>
        <item x="14"/>
        <item x="4"/>
        <item x="10"/>
        <item x="7"/>
        <item x="15"/>
        <item x="2"/>
        <item t="default"/>
      </items>
    </pivotField>
    <pivotField axis="axisRow" compact="0" showAll="0">
      <items count="462">
        <item x="297"/>
        <item x="16"/>
        <item x="35"/>
        <item x="284"/>
        <item x="169"/>
        <item x="277"/>
        <item x="200"/>
        <item x="45"/>
        <item x="144"/>
        <item x="81"/>
        <item x="327"/>
        <item x="397"/>
        <item x="371"/>
        <item x="266"/>
        <item x="378"/>
        <item x="414"/>
        <item x="454"/>
        <item x="170"/>
        <item x="306"/>
        <item x="255"/>
        <item x="282"/>
        <item x="79"/>
        <item x="318"/>
        <item x="352"/>
        <item x="368"/>
        <item x="121"/>
        <item x="19"/>
        <item x="348"/>
        <item x="24"/>
        <item x="128"/>
        <item x="240"/>
        <item x="245"/>
        <item x="210"/>
        <item x="193"/>
        <item x="432"/>
        <item x="180"/>
        <item x="123"/>
        <item x="380"/>
        <item x="165"/>
        <item x="258"/>
        <item x="63"/>
        <item x="379"/>
        <item x="211"/>
        <item x="58"/>
        <item x="138"/>
        <item x="145"/>
        <item x="85"/>
        <item x="89"/>
        <item x="385"/>
        <item x="243"/>
        <item x="320"/>
        <item x="363"/>
        <item x="364"/>
        <item x="442"/>
        <item x="333"/>
        <item x="101"/>
        <item x="311"/>
        <item x="73"/>
        <item x="153"/>
        <item x="30"/>
        <item x="334"/>
        <item x="61"/>
        <item x="407"/>
        <item x="288"/>
        <item x="173"/>
        <item x="48"/>
        <item x="86"/>
        <item x="237"/>
        <item x="446"/>
        <item x="119"/>
        <item x="215"/>
        <item x="338"/>
        <item x="70"/>
        <item x="152"/>
        <item x="353"/>
        <item x="313"/>
        <item x="265"/>
        <item x="423"/>
        <item x="60"/>
        <item x="399"/>
        <item x="126"/>
        <item x="178"/>
        <item x="413"/>
        <item x="78"/>
        <item x="444"/>
        <item x="91"/>
        <item x="374"/>
        <item x="150"/>
        <item x="298"/>
        <item x="350"/>
        <item x="354"/>
        <item x="139"/>
        <item x="95"/>
        <item x="131"/>
        <item x="2"/>
        <item x="177"/>
        <item x="106"/>
        <item x="291"/>
        <item x="203"/>
        <item x="0"/>
        <item x="459"/>
        <item x="387"/>
        <item x="328"/>
        <item x="190"/>
        <item x="222"/>
        <item x="324"/>
        <item x="299"/>
        <item x="204"/>
        <item x="232"/>
        <item x="262"/>
        <item x="309"/>
        <item x="304"/>
        <item x="196"/>
        <item x="316"/>
        <item x="116"/>
        <item x="246"/>
        <item x="207"/>
        <item x="332"/>
        <item x="436"/>
        <item x="217"/>
        <item x="136"/>
        <item x="23"/>
        <item x="408"/>
        <item x="184"/>
        <item x="164"/>
        <item x="289"/>
        <item x="409"/>
        <item x="375"/>
        <item x="261"/>
        <item x="300"/>
        <item x="448"/>
        <item x="92"/>
        <item x="373"/>
        <item x="400"/>
        <item x="137"/>
        <item x="186"/>
        <item x="325"/>
        <item x="359"/>
        <item x="457"/>
        <item x="140"/>
        <item x="14"/>
        <item x="205"/>
        <item x="33"/>
        <item x="273"/>
        <item x="112"/>
        <item x="272"/>
        <item x="97"/>
        <item x="458"/>
        <item x="431"/>
        <item x="18"/>
        <item x="202"/>
        <item x="422"/>
        <item x="34"/>
        <item x="3"/>
        <item x="226"/>
        <item x="41"/>
        <item x="377"/>
        <item x="340"/>
        <item x="201"/>
        <item x="132"/>
        <item x="322"/>
        <item x="234"/>
        <item x="185"/>
        <item x="114"/>
        <item x="96"/>
        <item x="233"/>
        <item x="276"/>
        <item x="337"/>
        <item x="220"/>
        <item x="135"/>
        <item x="450"/>
        <item x="47"/>
        <item x="355"/>
        <item x="376"/>
        <item x="213"/>
        <item x="5"/>
        <item x="416"/>
        <item x="111"/>
        <item x="8"/>
        <item x="419"/>
        <item x="254"/>
        <item x="381"/>
        <item x="438"/>
        <item x="44"/>
        <item x="425"/>
        <item x="134"/>
        <item x="57"/>
        <item x="314"/>
        <item x="366"/>
        <item x="105"/>
        <item x="428"/>
        <item x="187"/>
        <item x="351"/>
        <item x="302"/>
        <item x="127"/>
        <item x="331"/>
        <item x="15"/>
        <item x="194"/>
        <item x="349"/>
        <item x="225"/>
        <item x="59"/>
        <item x="11"/>
        <item x="192"/>
        <item x="198"/>
        <item x="109"/>
        <item x="104"/>
        <item x="263"/>
        <item x="62"/>
        <item x="280"/>
        <item x="27"/>
        <item x="281"/>
        <item x="21"/>
        <item x="329"/>
        <item x="315"/>
        <item x="32"/>
        <item x="159"/>
        <item x="6"/>
        <item x="25"/>
        <item x="415"/>
        <item x="323"/>
        <item x="199"/>
        <item x="238"/>
        <item x="326"/>
        <item x="183"/>
        <item x="162"/>
        <item x="56"/>
        <item x="287"/>
        <item x="257"/>
        <item x="239"/>
        <item x="129"/>
        <item x="301"/>
        <item x="65"/>
        <item x="28"/>
        <item x="54"/>
        <item x="356"/>
        <item x="252"/>
        <item x="142"/>
        <item x="293"/>
        <item x="274"/>
        <item x="22"/>
        <item x="209"/>
        <item x="189"/>
        <item x="445"/>
        <item x="321"/>
        <item x="37"/>
        <item x="286"/>
        <item x="80"/>
        <item x="181"/>
        <item x="312"/>
        <item x="347"/>
        <item x="295"/>
        <item x="365"/>
        <item x="417"/>
        <item x="75"/>
        <item x="389"/>
        <item x="188"/>
        <item x="163"/>
        <item x="115"/>
        <item x="452"/>
        <item x="235"/>
        <item x="330"/>
        <item x="357"/>
        <item x="372"/>
        <item x="122"/>
        <item x="403"/>
        <item x="50"/>
        <item x="455"/>
        <item x="310"/>
        <item x="52"/>
        <item x="40"/>
        <item x="362"/>
        <item x="437"/>
        <item x="404"/>
        <item x="271"/>
        <item x="292"/>
        <item x="53"/>
        <item x="307"/>
        <item x="250"/>
        <item x="264"/>
        <item x="283"/>
        <item x="434"/>
        <item x="390"/>
        <item x="460"/>
        <item x="358"/>
        <item x="100"/>
        <item x="197"/>
        <item x="51"/>
        <item x="396"/>
        <item x="117"/>
        <item x="341"/>
        <item x="256"/>
        <item x="223"/>
        <item x="440"/>
        <item x="290"/>
        <item x="72"/>
        <item x="253"/>
        <item x="149"/>
        <item x="10"/>
        <item x="342"/>
        <item x="392"/>
        <item x="221"/>
        <item x="285"/>
        <item x="248"/>
        <item x="433"/>
        <item x="9"/>
        <item x="66"/>
        <item x="195"/>
        <item x="133"/>
        <item x="98"/>
        <item x="166"/>
        <item x="251"/>
        <item x="39"/>
        <item x="158"/>
        <item x="412"/>
        <item x="269"/>
        <item x="141"/>
        <item x="148"/>
        <item x="102"/>
        <item x="55"/>
        <item x="447"/>
        <item x="82"/>
        <item x="229"/>
        <item x="17"/>
        <item x="439"/>
        <item x="427"/>
        <item x="384"/>
        <item x="247"/>
        <item x="88"/>
        <item x="69"/>
        <item x="418"/>
        <item x="90"/>
        <item x="435"/>
        <item x="388"/>
        <item x="124"/>
        <item x="208"/>
        <item x="231"/>
        <item x="270"/>
        <item x="36"/>
        <item x="93"/>
        <item x="260"/>
        <item x="118"/>
        <item x="346"/>
        <item x="421"/>
        <item x="317"/>
        <item x="420"/>
        <item x="13"/>
        <item x="219"/>
        <item x="125"/>
        <item x="393"/>
        <item x="113"/>
        <item x="206"/>
        <item x="120"/>
        <item x="227"/>
        <item x="38"/>
        <item x="236"/>
        <item x="87"/>
        <item x="83"/>
        <item x="103"/>
        <item x="244"/>
        <item x="67"/>
        <item x="151"/>
        <item x="1"/>
        <item x="68"/>
        <item x="305"/>
        <item x="336"/>
        <item x="29"/>
        <item x="161"/>
        <item x="175"/>
        <item x="214"/>
        <item x="367"/>
        <item x="443"/>
        <item x="71"/>
        <item x="430"/>
        <item x="94"/>
        <item x="160"/>
        <item x="212"/>
        <item x="402"/>
        <item x="76"/>
        <item x="174"/>
        <item x="361"/>
        <item x="401"/>
        <item x="224"/>
        <item x="426"/>
        <item x="230"/>
        <item x="146"/>
        <item x="216"/>
        <item x="7"/>
        <item x="171"/>
        <item x="451"/>
        <item x="31"/>
        <item x="143"/>
        <item x="294"/>
        <item x="228"/>
        <item x="370"/>
        <item x="84"/>
        <item x="241"/>
        <item x="99"/>
        <item x="267"/>
        <item x="382"/>
        <item x="303"/>
        <item x="449"/>
        <item x="249"/>
        <item x="46"/>
        <item x="279"/>
        <item x="147"/>
        <item x="168"/>
        <item x="42"/>
        <item x="49"/>
        <item x="268"/>
        <item x="20"/>
        <item x="26"/>
        <item x="218"/>
        <item x="182"/>
        <item x="406"/>
        <item x="441"/>
        <item x="12"/>
        <item x="167"/>
        <item x="156"/>
        <item x="410"/>
        <item x="383"/>
        <item x="456"/>
        <item x="453"/>
        <item x="77"/>
        <item x="154"/>
        <item x="394"/>
        <item x="110"/>
        <item x="411"/>
        <item x="360"/>
        <item x="335"/>
        <item x="398"/>
        <item x="191"/>
        <item x="176"/>
        <item x="369"/>
        <item x="74"/>
        <item x="386"/>
        <item x="155"/>
        <item x="278"/>
        <item x="64"/>
        <item x="108"/>
        <item x="157"/>
        <item x="308"/>
        <item x="4"/>
        <item x="344"/>
        <item x="259"/>
        <item x="172"/>
        <item x="391"/>
        <item x="179"/>
        <item x="275"/>
        <item x="345"/>
        <item x="43"/>
        <item x="429"/>
        <item x="343"/>
        <item x="395"/>
        <item x="424"/>
        <item x="339"/>
        <item x="296"/>
        <item x="130"/>
        <item x="319"/>
        <item x="107"/>
        <item x="242"/>
        <item x="405"/>
        <item t="default"/>
      </items>
    </pivotField>
    <pivotField dataField="1" compact="0" showAll="0">
      <items count="503">
        <item x="434"/>
        <item x="439"/>
        <item x="34"/>
        <item x="117"/>
        <item x="126"/>
        <item x="105"/>
        <item x="61"/>
        <item x="165"/>
        <item x="300"/>
        <item x="222"/>
        <item x="492"/>
        <item x="381"/>
        <item x="194"/>
        <item x="94"/>
        <item x="84"/>
        <item x="267"/>
        <item x="437"/>
        <item x="252"/>
        <item x="499"/>
        <item x="399"/>
        <item x="430"/>
        <item x="31"/>
        <item x="146"/>
        <item x="204"/>
        <item x="189"/>
        <item x="137"/>
        <item x="148"/>
        <item x="375"/>
        <item x="361"/>
        <item x="104"/>
        <item x="45"/>
        <item x="180"/>
        <item x="388"/>
        <item x="211"/>
        <item x="75"/>
        <item x="420"/>
        <item x="458"/>
        <item x="428"/>
        <item x="284"/>
        <item x="73"/>
        <item x="186"/>
        <item x="152"/>
        <item x="450"/>
        <item x="224"/>
        <item x="87"/>
        <item x="379"/>
        <item x="92"/>
        <item x="122"/>
        <item x="113"/>
        <item x="147"/>
        <item x="477"/>
        <item x="438"/>
        <item x="214"/>
        <item x="158"/>
        <item x="480"/>
        <item x="491"/>
        <item x="269"/>
        <item x="9"/>
        <item x="160"/>
        <item x="272"/>
        <item x="66"/>
        <item x="404"/>
        <item x="210"/>
        <item x="181"/>
        <item x="262"/>
        <item x="479"/>
        <item x="173"/>
        <item x="368"/>
        <item x="431"/>
        <item x="135"/>
        <item x="79"/>
        <item x="316"/>
        <item x="352"/>
        <item x="443"/>
        <item x="311"/>
        <item x="405"/>
        <item x="109"/>
        <item x="445"/>
        <item x="294"/>
        <item x="237"/>
        <item x="247"/>
        <item x="340"/>
        <item x="359"/>
        <item x="264"/>
        <item x="13"/>
        <item x="327"/>
        <item x="459"/>
        <item x="329"/>
        <item x="115"/>
        <item x="416"/>
        <item x="193"/>
        <item x="338"/>
        <item x="168"/>
        <item x="44"/>
        <item x="251"/>
        <item x="335"/>
        <item x="391"/>
        <item x="394"/>
        <item x="456"/>
        <item x="27"/>
        <item x="121"/>
        <item x="91"/>
        <item x="301"/>
        <item x="495"/>
        <item x="415"/>
        <item x="1"/>
        <item x="442"/>
        <item x="209"/>
        <item x="287"/>
        <item x="37"/>
        <item x="308"/>
        <item x="138"/>
        <item x="275"/>
        <item x="25"/>
        <item x="4"/>
        <item x="401"/>
        <item x="461"/>
        <item x="221"/>
        <item x="382"/>
        <item x="144"/>
        <item x="235"/>
        <item x="419"/>
        <item x="348"/>
        <item x="393"/>
        <item x="323"/>
        <item x="149"/>
        <item x="277"/>
        <item x="343"/>
        <item x="487"/>
        <item x="226"/>
        <item x="107"/>
        <item x="281"/>
        <item x="279"/>
        <item x="32"/>
        <item x="130"/>
        <item x="35"/>
        <item x="496"/>
        <item x="249"/>
        <item x="10"/>
        <item x="298"/>
        <item x="315"/>
        <item x="41"/>
        <item x="64"/>
        <item x="43"/>
        <item x="353"/>
        <item x="116"/>
        <item x="156"/>
        <item x="101"/>
        <item x="80"/>
        <item x="369"/>
        <item x="95"/>
        <item x="429"/>
        <item x="475"/>
        <item x="229"/>
        <item x="356"/>
        <item x="471"/>
        <item x="220"/>
        <item x="336"/>
        <item x="457"/>
        <item x="157"/>
        <item x="166"/>
        <item x="201"/>
        <item x="470"/>
        <item x="102"/>
        <item x="295"/>
        <item x="49"/>
        <item x="464"/>
        <item x="297"/>
        <item x="313"/>
        <item x="334"/>
        <item x="85"/>
        <item x="423"/>
        <item x="110"/>
        <item x="134"/>
        <item x="424"/>
        <item x="484"/>
        <item x="78"/>
        <item x="77"/>
        <item x="15"/>
        <item x="426"/>
        <item x="212"/>
        <item x="296"/>
        <item x="390"/>
        <item x="392"/>
        <item x="286"/>
        <item x="191"/>
        <item x="346"/>
        <item x="132"/>
        <item x="344"/>
        <item x="435"/>
        <item x="385"/>
        <item x="246"/>
        <item x="397"/>
        <item x="365"/>
        <item x="98"/>
        <item x="366"/>
        <item x="273"/>
        <item x="175"/>
        <item x="172"/>
        <item x="154"/>
        <item x="231"/>
        <item x="472"/>
        <item x="463"/>
        <item x="123"/>
        <item x="89"/>
        <item x="371"/>
        <item x="396"/>
        <item x="24"/>
        <item x="174"/>
        <item x="378"/>
        <item x="497"/>
        <item x="55"/>
        <item x="208"/>
        <item x="271"/>
        <item x="243"/>
        <item x="362"/>
        <item x="162"/>
        <item x="53"/>
        <item x="250"/>
        <item x="236"/>
        <item x="358"/>
        <item x="490"/>
        <item x="446"/>
        <item x="377"/>
        <item x="451"/>
        <item x="383"/>
        <item x="23"/>
        <item x="417"/>
        <item x="136"/>
        <item x="322"/>
        <item x="21"/>
        <item x="414"/>
        <item x="93"/>
        <item x="409"/>
        <item x="403"/>
        <item x="58"/>
        <item x="233"/>
        <item x="151"/>
        <item x="3"/>
        <item x="373"/>
        <item x="170"/>
        <item x="326"/>
        <item x="481"/>
        <item x="161"/>
        <item x="367"/>
        <item x="47"/>
        <item x="258"/>
        <item x="360"/>
        <item x="81"/>
        <item x="76"/>
        <item x="228"/>
        <item x="205"/>
        <item x="8"/>
        <item x="183"/>
        <item x="330"/>
        <item x="242"/>
        <item x="337"/>
        <item x="72"/>
        <item x="195"/>
        <item x="318"/>
        <item x="63"/>
        <item x="370"/>
        <item x="299"/>
        <item x="197"/>
        <item x="48"/>
        <item x="97"/>
        <item x="364"/>
        <item x="389"/>
        <item x="6"/>
        <item x="257"/>
        <item x="185"/>
        <item x="171"/>
        <item x="260"/>
        <item x="11"/>
        <item x="255"/>
        <item x="51"/>
        <item x="169"/>
        <item x="30"/>
        <item x="54"/>
        <item x="263"/>
        <item x="19"/>
        <item x="478"/>
        <item x="120"/>
        <item x="332"/>
        <item x="114"/>
        <item x="62"/>
        <item x="65"/>
        <item x="372"/>
        <item x="395"/>
        <item x="100"/>
        <item x="261"/>
        <item x="412"/>
        <item x="462"/>
        <item x="139"/>
        <item x="482"/>
        <item x="150"/>
        <item x="476"/>
        <item x="254"/>
        <item x="103"/>
        <item x="69"/>
        <item x="216"/>
        <item x="20"/>
        <item x="207"/>
        <item x="178"/>
        <item x="452"/>
        <item x="46"/>
        <item x="274"/>
        <item x="82"/>
        <item x="289"/>
        <item x="141"/>
        <item x="410"/>
        <item x="493"/>
        <item x="498"/>
        <item x="317"/>
        <item x="402"/>
        <item x="200"/>
        <item x="305"/>
        <item x="218"/>
        <item x="339"/>
        <item x="17"/>
        <item x="290"/>
        <item x="449"/>
        <item x="374"/>
        <item x="219"/>
        <item x="270"/>
        <item x="312"/>
        <item x="223"/>
        <item x="432"/>
        <item x="486"/>
        <item x="198"/>
        <item x="321"/>
        <item x="283"/>
        <item x="354"/>
        <item x="142"/>
        <item x="494"/>
        <item x="177"/>
        <item x="128"/>
        <item x="266"/>
        <item x="350"/>
        <item x="265"/>
        <item x="319"/>
        <item x="18"/>
        <item x="411"/>
        <item x="398"/>
        <item x="453"/>
        <item x="238"/>
        <item x="454"/>
        <item x="400"/>
        <item x="57"/>
        <item x="71"/>
        <item x="42"/>
        <item x="489"/>
        <item x="418"/>
        <item x="256"/>
        <item x="433"/>
        <item x="106"/>
        <item x="306"/>
        <item x="425"/>
        <item x="88"/>
        <item x="460"/>
        <item x="140"/>
        <item x="176"/>
        <item x="324"/>
        <item x="376"/>
        <item x="347"/>
        <item x="187"/>
        <item x="217"/>
        <item x="232"/>
        <item x="380"/>
        <item x="304"/>
        <item x="386"/>
        <item x="182"/>
        <item x="307"/>
        <item x="38"/>
        <item x="427"/>
        <item x="203"/>
        <item x="192"/>
        <item x="36"/>
        <item x="26"/>
        <item x="285"/>
        <item x="309"/>
        <item x="125"/>
        <item x="227"/>
        <item x="22"/>
        <item x="28"/>
        <item x="96"/>
        <item x="133"/>
        <item x="39"/>
        <item x="108"/>
        <item x="50"/>
        <item x="363"/>
        <item x="325"/>
        <item x="276"/>
        <item x="167"/>
        <item x="244"/>
        <item x="143"/>
        <item x="129"/>
        <item x="202"/>
        <item x="0"/>
        <item x="314"/>
        <item x="355"/>
        <item x="196"/>
        <item x="145"/>
        <item x="466"/>
        <item x="468"/>
        <item x="131"/>
        <item x="483"/>
        <item x="40"/>
        <item x="341"/>
        <item x="112"/>
        <item x="387"/>
        <item x="407"/>
        <item x="406"/>
        <item x="119"/>
        <item x="282"/>
        <item x="52"/>
        <item x="206"/>
        <item x="467"/>
        <item x="349"/>
        <item x="357"/>
        <item x="469"/>
        <item x="268"/>
        <item x="310"/>
        <item x="253"/>
        <item x="163"/>
        <item x="288"/>
        <item x="240"/>
        <item x="333"/>
        <item x="179"/>
        <item x="70"/>
        <item x="153"/>
        <item x="278"/>
        <item x="421"/>
        <item x="83"/>
        <item x="500"/>
        <item x="5"/>
        <item x="474"/>
        <item x="99"/>
        <item x="215"/>
        <item x="74"/>
        <item x="293"/>
        <item x="239"/>
        <item x="259"/>
        <item x="488"/>
        <item x="303"/>
        <item x="164"/>
        <item x="448"/>
        <item x="86"/>
        <item x="422"/>
        <item x="440"/>
        <item x="345"/>
        <item x="485"/>
        <item x="328"/>
        <item x="436"/>
        <item x="59"/>
        <item x="60"/>
        <item x="473"/>
        <item x="342"/>
        <item x="241"/>
        <item x="155"/>
        <item x="7"/>
        <item x="68"/>
        <item x="230"/>
        <item x="465"/>
        <item x="291"/>
        <item x="188"/>
        <item x="124"/>
        <item x="199"/>
        <item x="56"/>
        <item x="33"/>
        <item x="67"/>
        <item x="413"/>
        <item x="184"/>
        <item x="90"/>
        <item x="2"/>
        <item x="234"/>
        <item x="292"/>
        <item x="190"/>
        <item x="127"/>
        <item x="12"/>
        <item x="280"/>
        <item x="16"/>
        <item x="29"/>
        <item x="245"/>
        <item x="384"/>
        <item x="441"/>
        <item x="408"/>
        <item x="331"/>
        <item x="248"/>
        <item x="351"/>
        <item x="159"/>
        <item x="455"/>
        <item x="320"/>
        <item x="111"/>
        <item x="447"/>
        <item x="444"/>
        <item x="213"/>
        <item x="225"/>
        <item x="118"/>
        <item x="14"/>
        <item x="302"/>
        <item x="501"/>
        <item t="default"/>
      </items>
    </pivotField>
    <pivotField dataField="1" compact="0" showAll="0">
      <items count="16">
        <item x="8"/>
        <item x="0"/>
        <item x="3"/>
        <item x="6"/>
        <item x="1"/>
        <item x="4"/>
        <item x="2"/>
        <item x="7"/>
        <item x="5"/>
        <item x="11"/>
        <item x="10"/>
        <item x="12"/>
        <item x="13"/>
        <item x="9"/>
        <item x="14"/>
        <item t="default"/>
      </items>
    </pivotField>
    <pivotField dataField="1" compact="0" showAll="0">
      <items count="13">
        <item x="0"/>
        <item x="9"/>
        <item x="2"/>
        <item x="4"/>
        <item x="10"/>
        <item x="8"/>
        <item x="1"/>
        <item x="5"/>
        <item x="6"/>
        <item x="7"/>
        <item x="3"/>
        <item x="11"/>
        <item t="default"/>
      </items>
    </pivotField>
    <pivotField compact="0" showAll="0">
      <items count="517">
        <item x="310"/>
        <item x="14"/>
        <item x="395"/>
        <item x="119"/>
        <item x="61"/>
        <item x="2"/>
        <item x="171"/>
        <item x="210"/>
        <item x="166"/>
        <item x="83"/>
        <item x="497"/>
        <item x="434"/>
        <item x="98"/>
        <item x="132"/>
        <item x="342"/>
        <item x="97"/>
        <item x="170"/>
        <item x="249"/>
        <item x="195"/>
        <item x="136"/>
        <item x="82"/>
        <item x="6"/>
        <item x="58"/>
        <item x="33"/>
        <item x="109"/>
        <item x="207"/>
        <item x="225"/>
        <item x="488"/>
        <item x="378"/>
        <item x="204"/>
        <item x="244"/>
        <item x="149"/>
        <item x="480"/>
        <item x="496"/>
        <item x="492"/>
        <item x="284"/>
        <item x="299"/>
        <item x="39"/>
        <item x="211"/>
        <item x="394"/>
        <item x="272"/>
        <item x="337"/>
        <item x="107"/>
        <item x="348"/>
        <item x="51"/>
        <item x="206"/>
        <item x="500"/>
        <item x="355"/>
        <item x="150"/>
        <item x="175"/>
        <item x="167"/>
        <item x="268"/>
        <item x="423"/>
        <item x="28"/>
        <item x="228"/>
        <item x="279"/>
        <item x="35"/>
        <item x="305"/>
        <item x="318"/>
        <item x="287"/>
        <item x="435"/>
        <item x="108"/>
        <item x="236"/>
        <item x="501"/>
        <item x="64"/>
        <item x="84"/>
        <item x="495"/>
        <item x="336"/>
        <item x="63"/>
        <item x="60"/>
        <item x="116"/>
        <item x="212"/>
        <item x="124"/>
        <item x="308"/>
        <item x="239"/>
        <item x="416"/>
        <item x="164"/>
        <item x="159"/>
        <item x="506"/>
        <item x="118"/>
        <item x="400"/>
        <item x="493"/>
        <item x="45"/>
        <item x="197"/>
        <item x="129"/>
        <item x="513"/>
        <item x="274"/>
        <item x="95"/>
        <item x="155"/>
        <item x="34"/>
        <item x="453"/>
        <item x="62"/>
        <item x="11"/>
        <item x="447"/>
        <item x="253"/>
        <item x="390"/>
        <item x="123"/>
        <item x="172"/>
        <item x="194"/>
        <item x="222"/>
        <item x="232"/>
        <item x="230"/>
        <item x="451"/>
        <item x="338"/>
        <item x="106"/>
        <item x="148"/>
        <item x="271"/>
        <item x="154"/>
        <item x="269"/>
        <item x="93"/>
        <item x="259"/>
        <item x="386"/>
        <item x="392"/>
        <item x="77"/>
        <item x="202"/>
        <item x="85"/>
        <item x="243"/>
        <item x="265"/>
        <item x="380"/>
        <item x="151"/>
        <item x="219"/>
        <item x="443"/>
        <item x="407"/>
        <item x="485"/>
        <item x="306"/>
        <item x="31"/>
        <item x="74"/>
        <item x="105"/>
        <item x="86"/>
        <item x="371"/>
        <item x="218"/>
        <item x="140"/>
        <item x="411"/>
        <item x="303"/>
        <item x="472"/>
        <item x="433"/>
        <item x="158"/>
        <item x="200"/>
        <item x="153"/>
        <item x="509"/>
        <item x="67"/>
        <item x="241"/>
        <item x="285"/>
        <item x="464"/>
        <item x="9"/>
        <item x="428"/>
        <item x="255"/>
        <item x="439"/>
        <item x="452"/>
        <item x="276"/>
        <item x="377"/>
        <item x="76"/>
        <item x="478"/>
        <item x="188"/>
        <item x="437"/>
        <item x="80"/>
        <item x="152"/>
        <item x="187"/>
        <item x="138"/>
        <item x="505"/>
        <item x="441"/>
        <item x="324"/>
        <item x="157"/>
        <item x="510"/>
        <item x="292"/>
        <item x="446"/>
        <item x="369"/>
        <item x="379"/>
        <item x="245"/>
        <item x="417"/>
        <item x="257"/>
        <item x="214"/>
        <item x="88"/>
        <item x="180"/>
        <item x="494"/>
        <item x="491"/>
        <item x="114"/>
        <item x="146"/>
        <item x="141"/>
        <item x="179"/>
        <item x="319"/>
        <item x="201"/>
        <item x="353"/>
        <item x="90"/>
        <item x="19"/>
        <item x="127"/>
        <item x="374"/>
        <item x="128"/>
        <item x="429"/>
        <item x="316"/>
        <item x="37"/>
        <item x="13"/>
        <item x="344"/>
        <item x="335"/>
        <item x="473"/>
        <item x="368"/>
        <item x="406"/>
        <item x="361"/>
        <item x="309"/>
        <item x="122"/>
        <item x="110"/>
        <item x="156"/>
        <item x="312"/>
        <item x="444"/>
        <item x="459"/>
        <item x="457"/>
        <item x="23"/>
        <item x="267"/>
        <item x="10"/>
        <item x="413"/>
        <item x="475"/>
        <item x="330"/>
        <item x="283"/>
        <item x="393"/>
        <item x="397"/>
        <item x="302"/>
        <item x="234"/>
        <item x="484"/>
        <item x="349"/>
        <item x="229"/>
        <item x="4"/>
        <item x="456"/>
        <item x="347"/>
        <item x="101"/>
        <item x="357"/>
        <item x="403"/>
        <item x="405"/>
        <item x="466"/>
        <item x="289"/>
        <item x="254"/>
        <item x="295"/>
        <item x="27"/>
        <item x="367"/>
        <item x="44"/>
        <item x="25"/>
        <item x="331"/>
        <item x="102"/>
        <item x="217"/>
        <item x="43"/>
        <item x="133"/>
        <item x="470"/>
        <item x="92"/>
        <item x="96"/>
        <item x="41"/>
        <item x="1"/>
        <item x="343"/>
        <item x="117"/>
        <item x="323"/>
        <item x="209"/>
        <item x="215"/>
        <item x="250"/>
        <item x="365"/>
        <item x="436"/>
        <item x="173"/>
        <item x="432"/>
        <item x="402"/>
        <item x="22"/>
        <item x="334"/>
        <item x="298"/>
        <item x="384"/>
        <item x="476"/>
        <item x="144"/>
        <item x="264"/>
        <item x="304"/>
        <item x="32"/>
        <item x="169"/>
        <item x="321"/>
        <item x="471"/>
        <item x="103"/>
        <item x="223"/>
        <item x="421"/>
        <item x="352"/>
        <item x="111"/>
        <item x="177"/>
        <item x="20"/>
        <item x="65"/>
        <item x="99"/>
        <item x="79"/>
        <item x="182"/>
        <item x="333"/>
        <item x="181"/>
        <item x="81"/>
        <item x="294"/>
        <item x="362"/>
        <item x="498"/>
        <item x="162"/>
        <item x="15"/>
        <item x="8"/>
        <item x="404"/>
        <item x="345"/>
        <item x="66"/>
        <item x="237"/>
        <item x="163"/>
        <item x="489"/>
        <item x="54"/>
        <item x="442"/>
        <item x="192"/>
        <item x="160"/>
        <item x="460"/>
        <item x="199"/>
        <item x="382"/>
        <item x="50"/>
        <item x="240"/>
        <item x="94"/>
        <item x="281"/>
        <item x="419"/>
        <item x="504"/>
        <item x="137"/>
        <item x="70"/>
        <item x="427"/>
        <item x="224"/>
        <item x="7"/>
        <item x="78"/>
        <item x="477"/>
        <item x="42"/>
        <item x="251"/>
        <item x="3"/>
        <item x="372"/>
        <item x="56"/>
        <item x="313"/>
        <item x="388"/>
        <item x="190"/>
        <item x="220"/>
        <item x="410"/>
        <item x="430"/>
        <item x="203"/>
        <item x="135"/>
        <item x="252"/>
        <item x="278"/>
        <item x="277"/>
        <item x="381"/>
        <item x="18"/>
        <item x="307"/>
        <item x="258"/>
        <item x="449"/>
        <item x="375"/>
        <item x="409"/>
        <item x="396"/>
        <item x="315"/>
        <item x="486"/>
        <item x="52"/>
        <item x="364"/>
        <item x="72"/>
        <item x="273"/>
        <item x="47"/>
        <item x="24"/>
        <item x="59"/>
        <item x="301"/>
        <item x="408"/>
        <item x="389"/>
        <item x="511"/>
        <item x="422"/>
        <item x="216"/>
        <item x="326"/>
        <item x="21"/>
        <item x="69"/>
        <item x="418"/>
        <item x="465"/>
        <item x="139"/>
        <item x="178"/>
        <item x="235"/>
        <item x="329"/>
        <item x="270"/>
        <item x="143"/>
        <item x="415"/>
        <item x="115"/>
        <item x="48"/>
        <item x="49"/>
        <item x="55"/>
        <item x="89"/>
        <item x="401"/>
        <item x="350"/>
        <item x="383"/>
        <item x="145"/>
        <item x="325"/>
        <item x="370"/>
        <item x="205"/>
        <item x="314"/>
        <item x="168"/>
        <item x="176"/>
        <item x="185"/>
        <item x="104"/>
        <item x="73"/>
        <item x="490"/>
        <item x="213"/>
        <item x="339"/>
        <item x="467"/>
        <item x="512"/>
        <item x="483"/>
        <item x="174"/>
        <item x="346"/>
        <item x="113"/>
        <item x="282"/>
        <item x="445"/>
        <item x="120"/>
        <item x="341"/>
        <item x="193"/>
        <item x="165"/>
        <item x="514"/>
        <item x="40"/>
        <item x="262"/>
        <item x="358"/>
        <item x="425"/>
        <item x="121"/>
        <item x="17"/>
        <item x="30"/>
        <item x="317"/>
        <item x="208"/>
        <item x="142"/>
        <item x="183"/>
        <item x="248"/>
        <item x="186"/>
        <item x="487"/>
        <item x="463"/>
        <item x="227"/>
        <item x="231"/>
        <item x="46"/>
        <item x="391"/>
        <item x="354"/>
        <item x="246"/>
        <item x="275"/>
        <item x="499"/>
        <item x="0"/>
        <item x="412"/>
        <item x="238"/>
        <item x="507"/>
        <item x="198"/>
        <item x="286"/>
        <item x="438"/>
        <item x="100"/>
        <item x="261"/>
        <item x="297"/>
        <item x="468"/>
        <item x="260"/>
        <item x="131"/>
        <item x="503"/>
        <item x="385"/>
        <item x="387"/>
        <item x="424"/>
        <item x="75"/>
        <item x="226"/>
        <item x="414"/>
        <item x="130"/>
        <item x="26"/>
        <item x="320"/>
        <item x="266"/>
        <item x="440"/>
        <item x="291"/>
        <item x="431"/>
        <item x="36"/>
        <item x="293"/>
        <item x="189"/>
        <item x="38"/>
        <item x="363"/>
        <item x="399"/>
        <item x="184"/>
        <item x="508"/>
        <item x="398"/>
        <item x="53"/>
        <item x="359"/>
        <item x="373"/>
        <item x="454"/>
        <item x="327"/>
        <item x="263"/>
        <item x="134"/>
        <item x="147"/>
        <item x="474"/>
        <item x="482"/>
        <item x="332"/>
        <item x="360"/>
        <item x="290"/>
        <item x="280"/>
        <item x="356"/>
        <item x="376"/>
        <item x="462"/>
        <item x="126"/>
        <item x="450"/>
        <item x="502"/>
        <item x="366"/>
        <item x="71"/>
        <item x="481"/>
        <item x="322"/>
        <item x="29"/>
        <item x="91"/>
        <item x="16"/>
        <item x="300"/>
        <item x="87"/>
        <item x="455"/>
        <item x="5"/>
        <item x="479"/>
        <item x="311"/>
        <item x="57"/>
        <item x="161"/>
        <item x="296"/>
        <item x="351"/>
        <item x="247"/>
        <item x="196"/>
        <item x="125"/>
        <item x="68"/>
        <item x="191"/>
        <item x="328"/>
        <item x="12"/>
        <item x="288"/>
        <item x="242"/>
        <item x="426"/>
        <item x="256"/>
        <item x="420"/>
        <item x="221"/>
        <item x="469"/>
        <item x="340"/>
        <item x="112"/>
        <item x="448"/>
        <item x="461"/>
        <item x="458"/>
        <item x="233"/>
        <item x="515"/>
        <item t="default"/>
      </items>
    </pivotField>
    <pivotField dataField="1" compact="0" showAll="0">
      <items count="517">
        <item x="253"/>
        <item x="390"/>
        <item x="123"/>
        <item x="172"/>
        <item x="194"/>
        <item x="222"/>
        <item x="232"/>
        <item x="230"/>
        <item x="447"/>
        <item x="451"/>
        <item x="338"/>
        <item x="106"/>
        <item x="148"/>
        <item x="271"/>
        <item x="11"/>
        <item x="154"/>
        <item x="269"/>
        <item x="93"/>
        <item x="259"/>
        <item x="386"/>
        <item x="392"/>
        <item x="77"/>
        <item x="202"/>
        <item x="85"/>
        <item x="243"/>
        <item x="265"/>
        <item x="380"/>
        <item x="151"/>
        <item x="219"/>
        <item x="443"/>
        <item x="407"/>
        <item x="485"/>
        <item x="306"/>
        <item x="31"/>
        <item x="74"/>
        <item x="105"/>
        <item x="62"/>
        <item x="86"/>
        <item x="371"/>
        <item x="453"/>
        <item x="218"/>
        <item x="34"/>
        <item x="140"/>
        <item x="411"/>
        <item x="303"/>
        <item x="472"/>
        <item x="433"/>
        <item x="155"/>
        <item x="95"/>
        <item x="158"/>
        <item x="200"/>
        <item x="153"/>
        <item x="509"/>
        <item x="67"/>
        <item x="241"/>
        <item x="285"/>
        <item x="464"/>
        <item x="9"/>
        <item x="428"/>
        <item x="255"/>
        <item x="439"/>
        <item x="452"/>
        <item x="274"/>
        <item x="276"/>
        <item x="377"/>
        <item x="76"/>
        <item x="478"/>
        <item x="188"/>
        <item x="437"/>
        <item x="80"/>
        <item x="152"/>
        <item x="187"/>
        <item x="138"/>
        <item x="505"/>
        <item x="513"/>
        <item x="441"/>
        <item x="324"/>
        <item x="157"/>
        <item x="510"/>
        <item x="292"/>
        <item x="446"/>
        <item x="369"/>
        <item x="379"/>
        <item x="245"/>
        <item x="417"/>
        <item x="257"/>
        <item x="214"/>
        <item x="129"/>
        <item x="88"/>
        <item x="180"/>
        <item x="494"/>
        <item x="491"/>
        <item x="114"/>
        <item x="146"/>
        <item x="141"/>
        <item x="179"/>
        <item x="319"/>
        <item x="201"/>
        <item x="353"/>
        <item x="197"/>
        <item x="90"/>
        <item x="45"/>
        <item x="493"/>
        <item x="19"/>
        <item x="127"/>
        <item x="374"/>
        <item x="128"/>
        <item x="429"/>
        <item x="400"/>
        <item x="316"/>
        <item x="37"/>
        <item x="13"/>
        <item x="344"/>
        <item x="335"/>
        <item x="473"/>
        <item x="368"/>
        <item x="118"/>
        <item x="506"/>
        <item x="406"/>
        <item x="361"/>
        <item x="309"/>
        <item x="122"/>
        <item x="110"/>
        <item x="156"/>
        <item x="312"/>
        <item x="444"/>
        <item x="159"/>
        <item x="459"/>
        <item x="457"/>
        <item x="23"/>
        <item x="267"/>
        <item x="10"/>
        <item x="413"/>
        <item x="475"/>
        <item x="330"/>
        <item x="283"/>
        <item x="393"/>
        <item x="397"/>
        <item x="302"/>
        <item x="234"/>
        <item x="484"/>
        <item x="349"/>
        <item x="229"/>
        <item x="4"/>
        <item x="456"/>
        <item x="347"/>
        <item x="164"/>
        <item x="101"/>
        <item x="357"/>
        <item x="403"/>
        <item x="405"/>
        <item x="466"/>
        <item x="289"/>
        <item x="254"/>
        <item x="295"/>
        <item x="27"/>
        <item x="367"/>
        <item x="44"/>
        <item x="25"/>
        <item x="331"/>
        <item x="102"/>
        <item x="416"/>
        <item x="217"/>
        <item x="43"/>
        <item x="133"/>
        <item x="470"/>
        <item x="92"/>
        <item x="96"/>
        <item x="41"/>
        <item x="1"/>
        <item x="343"/>
        <item x="117"/>
        <item x="323"/>
        <item x="209"/>
        <item x="215"/>
        <item x="250"/>
        <item x="239"/>
        <item x="365"/>
        <item x="308"/>
        <item x="124"/>
        <item x="436"/>
        <item x="173"/>
        <item x="212"/>
        <item x="432"/>
        <item x="402"/>
        <item x="22"/>
        <item x="116"/>
        <item x="334"/>
        <item x="298"/>
        <item x="384"/>
        <item x="60"/>
        <item x="476"/>
        <item x="144"/>
        <item x="264"/>
        <item x="304"/>
        <item x="32"/>
        <item x="169"/>
        <item x="321"/>
        <item x="471"/>
        <item x="103"/>
        <item x="223"/>
        <item x="421"/>
        <item x="352"/>
        <item x="63"/>
        <item x="111"/>
        <item x="177"/>
        <item x="20"/>
        <item x="65"/>
        <item x="99"/>
        <item x="79"/>
        <item x="182"/>
        <item x="333"/>
        <item x="181"/>
        <item x="81"/>
        <item x="294"/>
        <item x="362"/>
        <item x="498"/>
        <item x="162"/>
        <item x="15"/>
        <item x="8"/>
        <item x="404"/>
        <item x="345"/>
        <item x="66"/>
        <item x="237"/>
        <item x="163"/>
        <item x="489"/>
        <item x="54"/>
        <item x="442"/>
        <item x="336"/>
        <item x="192"/>
        <item x="495"/>
        <item x="160"/>
        <item x="84"/>
        <item x="460"/>
        <item x="199"/>
        <item x="382"/>
        <item x="50"/>
        <item x="240"/>
        <item x="64"/>
        <item x="94"/>
        <item x="281"/>
        <item x="419"/>
        <item x="504"/>
        <item x="501"/>
        <item x="236"/>
        <item x="108"/>
        <item x="137"/>
        <item x="70"/>
        <item x="435"/>
        <item x="427"/>
        <item x="224"/>
        <item x="7"/>
        <item x="78"/>
        <item x="477"/>
        <item x="287"/>
        <item x="42"/>
        <item x="318"/>
        <item x="251"/>
        <item x="3"/>
        <item x="305"/>
        <item x="35"/>
        <item x="372"/>
        <item x="56"/>
        <item x="313"/>
        <item x="388"/>
        <item x="190"/>
        <item x="279"/>
        <item x="220"/>
        <item x="410"/>
        <item x="228"/>
        <item x="430"/>
        <item x="28"/>
        <item x="203"/>
        <item x="135"/>
        <item x="252"/>
        <item x="278"/>
        <item x="277"/>
        <item x="381"/>
        <item x="18"/>
        <item x="307"/>
        <item x="258"/>
        <item x="449"/>
        <item x="375"/>
        <item x="409"/>
        <item x="396"/>
        <item x="315"/>
        <item x="486"/>
        <item x="52"/>
        <item x="364"/>
        <item x="72"/>
        <item x="273"/>
        <item x="47"/>
        <item x="24"/>
        <item x="59"/>
        <item x="301"/>
        <item x="408"/>
        <item x="423"/>
        <item x="389"/>
        <item x="511"/>
        <item x="422"/>
        <item x="216"/>
        <item x="326"/>
        <item x="21"/>
        <item x="268"/>
        <item x="69"/>
        <item x="418"/>
        <item x="167"/>
        <item x="175"/>
        <item x="465"/>
        <item x="150"/>
        <item x="139"/>
        <item x="178"/>
        <item x="235"/>
        <item x="329"/>
        <item x="270"/>
        <item x="143"/>
        <item x="355"/>
        <item x="415"/>
        <item x="115"/>
        <item x="48"/>
        <item x="49"/>
        <item x="500"/>
        <item x="55"/>
        <item x="89"/>
        <item x="401"/>
        <item x="350"/>
        <item x="383"/>
        <item x="145"/>
        <item x="206"/>
        <item x="325"/>
        <item x="370"/>
        <item x="205"/>
        <item x="314"/>
        <item x="168"/>
        <item x="176"/>
        <item x="185"/>
        <item x="104"/>
        <item x="73"/>
        <item x="490"/>
        <item x="213"/>
        <item x="339"/>
        <item x="51"/>
        <item x="348"/>
        <item x="467"/>
        <item x="512"/>
        <item x="483"/>
        <item x="174"/>
        <item x="346"/>
        <item x="113"/>
        <item x="282"/>
        <item x="107"/>
        <item x="337"/>
        <item x="445"/>
        <item x="120"/>
        <item x="341"/>
        <item x="272"/>
        <item x="193"/>
        <item x="165"/>
        <item x="514"/>
        <item x="40"/>
        <item x="262"/>
        <item x="358"/>
        <item x="425"/>
        <item x="121"/>
        <item x="17"/>
        <item x="30"/>
        <item x="317"/>
        <item x="394"/>
        <item x="211"/>
        <item x="208"/>
        <item x="142"/>
        <item x="183"/>
        <item x="248"/>
        <item x="186"/>
        <item x="487"/>
        <item x="463"/>
        <item x="227"/>
        <item x="231"/>
        <item x="46"/>
        <item x="391"/>
        <item x="354"/>
        <item x="246"/>
        <item x="275"/>
        <item x="499"/>
        <item x="0"/>
        <item x="412"/>
        <item x="238"/>
        <item x="507"/>
        <item x="198"/>
        <item x="286"/>
        <item x="438"/>
        <item x="100"/>
        <item x="261"/>
        <item x="297"/>
        <item x="468"/>
        <item x="260"/>
        <item x="131"/>
        <item x="503"/>
        <item x="39"/>
        <item x="385"/>
        <item x="299"/>
        <item x="387"/>
        <item x="424"/>
        <item x="75"/>
        <item x="226"/>
        <item x="284"/>
        <item x="414"/>
        <item x="130"/>
        <item x="26"/>
        <item x="320"/>
        <item x="266"/>
        <item x="440"/>
        <item x="291"/>
        <item x="431"/>
        <item x="36"/>
        <item x="293"/>
        <item x="189"/>
        <item x="492"/>
        <item x="496"/>
        <item x="480"/>
        <item x="38"/>
        <item x="363"/>
        <item x="399"/>
        <item x="184"/>
        <item x="508"/>
        <item x="398"/>
        <item x="149"/>
        <item x="53"/>
        <item x="244"/>
        <item x="359"/>
        <item x="373"/>
        <item x="454"/>
        <item x="327"/>
        <item x="204"/>
        <item x="263"/>
        <item x="134"/>
        <item x="378"/>
        <item x="147"/>
        <item x="474"/>
        <item x="482"/>
        <item x="332"/>
        <item x="360"/>
        <item x="290"/>
        <item x="280"/>
        <item x="356"/>
        <item x="376"/>
        <item x="462"/>
        <item x="126"/>
        <item x="488"/>
        <item x="450"/>
        <item x="225"/>
        <item x="502"/>
        <item x="207"/>
        <item x="366"/>
        <item x="109"/>
        <item x="71"/>
        <item x="481"/>
        <item x="322"/>
        <item x="29"/>
        <item x="91"/>
        <item x="33"/>
        <item x="58"/>
        <item x="16"/>
        <item x="6"/>
        <item x="300"/>
        <item x="87"/>
        <item x="82"/>
        <item x="455"/>
        <item x="136"/>
        <item x="5"/>
        <item x="195"/>
        <item x="249"/>
        <item x="479"/>
        <item x="170"/>
        <item x="97"/>
        <item x="311"/>
        <item x="57"/>
        <item x="342"/>
        <item x="161"/>
        <item x="132"/>
        <item x="296"/>
        <item x="98"/>
        <item x="351"/>
        <item x="434"/>
        <item x="247"/>
        <item x="196"/>
        <item x="125"/>
        <item x="68"/>
        <item x="191"/>
        <item x="328"/>
        <item x="12"/>
        <item x="497"/>
        <item x="83"/>
        <item x="288"/>
        <item x="242"/>
        <item x="426"/>
        <item x="166"/>
        <item x="256"/>
        <item x="210"/>
        <item x="420"/>
        <item x="171"/>
        <item x="221"/>
        <item x="469"/>
        <item x="340"/>
        <item x="2"/>
        <item x="61"/>
        <item x="119"/>
        <item x="112"/>
        <item x="448"/>
        <item x="395"/>
        <item x="461"/>
        <item x="458"/>
        <item x="233"/>
        <item x="14"/>
        <item x="310"/>
        <item x="515"/>
        <item t="default"/>
      </items>
    </pivotField>
    <pivotField dataField="1" compact="0" showAll="0">
      <items count="506">
        <item x="442"/>
        <item x="34"/>
        <item x="436"/>
        <item x="117"/>
        <item x="126"/>
        <item x="301"/>
        <item x="495"/>
        <item x="61"/>
        <item x="94"/>
        <item x="205"/>
        <item x="268"/>
        <item x="502"/>
        <item x="190"/>
        <item x="45"/>
        <item x="161"/>
        <item x="273"/>
        <item x="390"/>
        <item x="166"/>
        <item x="105"/>
        <item x="159"/>
        <item x="169"/>
        <item x="406"/>
        <item x="440"/>
        <item x="223"/>
        <item x="383"/>
        <item x="195"/>
        <item x="84"/>
        <item x="432"/>
        <item x="31"/>
        <item x="147"/>
        <item x="482"/>
        <item x="253"/>
        <item x="363"/>
        <item x="104"/>
        <item x="401"/>
        <item x="115"/>
        <item x="422"/>
        <item x="137"/>
        <item x="149"/>
        <item x="461"/>
        <item x="377"/>
        <item x="187"/>
        <item x="490"/>
        <item x="107"/>
        <item x="453"/>
        <item x="280"/>
        <item x="225"/>
        <item x="181"/>
        <item x="92"/>
        <item x="212"/>
        <item x="75"/>
        <item x="148"/>
        <item x="430"/>
        <item x="441"/>
        <item x="215"/>
        <item x="285"/>
        <item x="73"/>
        <item x="494"/>
        <item x="270"/>
        <item x="221"/>
        <item x="153"/>
        <item x="87"/>
        <item x="381"/>
        <item x="263"/>
        <item x="122"/>
        <item x="113"/>
        <item x="174"/>
        <item x="35"/>
        <item x="370"/>
        <item x="480"/>
        <item x="79"/>
        <item x="483"/>
        <item x="312"/>
        <item x="407"/>
        <item x="237"/>
        <item x="9"/>
        <item x="238"/>
        <item x="248"/>
        <item x="66"/>
        <item x="211"/>
        <item x="265"/>
        <item x="13"/>
        <item x="182"/>
        <item x="328"/>
        <item x="462"/>
        <item x="298"/>
        <item x="331"/>
        <item x="348"/>
        <item x="418"/>
        <item x="433"/>
        <item x="135"/>
        <item x="317"/>
        <item x="354"/>
        <item x="446"/>
        <item x="369"/>
        <item x="252"/>
        <item x="81"/>
        <item x="337"/>
        <item x="109"/>
        <item x="448"/>
        <item x="295"/>
        <item x="396"/>
        <item x="121"/>
        <item x="342"/>
        <item x="302"/>
        <item x="361"/>
        <item x="498"/>
        <item x="417"/>
        <item x="445"/>
        <item x="309"/>
        <item x="138"/>
        <item x="276"/>
        <item x="194"/>
        <item x="340"/>
        <item x="4"/>
        <item x="403"/>
        <item x="464"/>
        <item x="222"/>
        <item x="384"/>
        <item x="144"/>
        <item x="44"/>
        <item x="97"/>
        <item x="236"/>
        <item x="385"/>
        <item x="393"/>
        <item x="6"/>
        <item x="459"/>
        <item x="350"/>
        <item x="27"/>
        <item x="324"/>
        <item x="91"/>
        <item x="150"/>
        <item x="278"/>
        <item x="1"/>
        <item x="210"/>
        <item x="227"/>
        <item x="288"/>
        <item x="37"/>
        <item x="25"/>
        <item x="130"/>
        <item x="499"/>
        <item x="250"/>
        <item x="299"/>
        <item x="316"/>
        <item x="101"/>
        <item x="371"/>
        <item x="421"/>
        <item x="95"/>
        <item x="395"/>
        <item x="474"/>
        <item x="345"/>
        <item x="167"/>
        <item x="282"/>
        <item x="202"/>
        <item x="473"/>
        <item x="102"/>
        <item x="296"/>
        <item x="32"/>
        <item x="467"/>
        <item x="82"/>
        <item x="10"/>
        <item x="314"/>
        <item x="85"/>
        <item x="41"/>
        <item x="64"/>
        <item x="43"/>
        <item x="355"/>
        <item x="116"/>
        <item x="425"/>
        <item x="157"/>
        <item x="110"/>
        <item x="80"/>
        <item x="426"/>
        <item x="431"/>
        <item x="478"/>
        <item x="78"/>
        <item x="230"/>
        <item x="358"/>
        <item x="338"/>
        <item x="460"/>
        <item x="158"/>
        <item x="15"/>
        <item x="481"/>
        <item x="428"/>
        <item x="49"/>
        <item x="297"/>
        <item x="336"/>
        <item x="287"/>
        <item x="192"/>
        <item x="346"/>
        <item x="485"/>
        <item x="134"/>
        <item x="487"/>
        <item x="247"/>
        <item x="98"/>
        <item x="368"/>
        <item x="77"/>
        <item x="173"/>
        <item x="155"/>
        <item x="232"/>
        <item x="466"/>
        <item x="213"/>
        <item x="123"/>
        <item x="89"/>
        <item x="373"/>
        <item x="392"/>
        <item x="175"/>
        <item x="394"/>
        <item x="55"/>
        <item x="132"/>
        <item x="244"/>
        <item x="364"/>
        <item x="438"/>
        <item x="387"/>
        <item x="360"/>
        <item x="399"/>
        <item x="367"/>
        <item x="274"/>
        <item x="176"/>
        <item x="63"/>
        <item x="419"/>
        <item x="475"/>
        <item x="323"/>
        <item x="398"/>
        <item x="24"/>
        <item x="152"/>
        <item x="375"/>
        <item x="380"/>
        <item x="500"/>
        <item x="484"/>
        <item x="209"/>
        <item x="272"/>
        <item x="47"/>
        <item x="329"/>
        <item x="163"/>
        <item x="53"/>
        <item x="251"/>
        <item x="76"/>
        <item x="493"/>
        <item x="449"/>
        <item x="229"/>
        <item x="379"/>
        <item x="454"/>
        <item x="23"/>
        <item x="136"/>
        <item x="21"/>
        <item x="416"/>
        <item x="93"/>
        <item x="243"/>
        <item x="411"/>
        <item x="405"/>
        <item x="58"/>
        <item x="57"/>
        <item x="319"/>
        <item x="234"/>
        <item x="3"/>
        <item x="146"/>
        <item x="171"/>
        <item x="11"/>
        <item x="327"/>
        <item x="162"/>
        <item x="259"/>
        <item x="48"/>
        <item x="362"/>
        <item x="391"/>
        <item x="206"/>
        <item x="8"/>
        <item x="258"/>
        <item x="184"/>
        <item x="188"/>
        <item x="332"/>
        <item x="339"/>
        <item x="72"/>
        <item x="51"/>
        <item x="196"/>
        <item x="372"/>
        <item x="170"/>
        <item x="300"/>
        <item x="198"/>
        <item x="341"/>
        <item x="62"/>
        <item x="65"/>
        <item x="366"/>
        <item x="262"/>
        <item x="412"/>
        <item x="186"/>
        <item x="172"/>
        <item x="261"/>
        <item x="151"/>
        <item x="271"/>
        <item x="256"/>
        <item x="69"/>
        <item x="30"/>
        <item x="54"/>
        <item x="264"/>
        <item x="129"/>
        <item x="20"/>
        <item x="208"/>
        <item x="455"/>
        <item x="19"/>
        <item x="141"/>
        <item x="120"/>
        <item x="334"/>
        <item x="114"/>
        <item x="318"/>
        <item x="374"/>
        <item x="397"/>
        <item x="100"/>
        <item x="414"/>
        <item x="266"/>
        <item x="465"/>
        <item x="139"/>
        <item x="17"/>
        <item x="291"/>
        <item x="479"/>
        <item x="255"/>
        <item x="452"/>
        <item x="103"/>
        <item x="217"/>
        <item x="220"/>
        <item x="179"/>
        <item x="46"/>
        <item x="275"/>
        <item x="290"/>
        <item x="496"/>
        <item x="434"/>
        <item x="203"/>
        <item x="501"/>
        <item x="404"/>
        <item x="489"/>
        <item x="199"/>
        <item x="201"/>
        <item x="322"/>
        <item x="306"/>
        <item x="219"/>
        <item x="96"/>
        <item x="133"/>
        <item x="128"/>
        <item x="218"/>
        <item x="267"/>
        <item x="376"/>
        <item x="18"/>
        <item x="413"/>
        <item x="313"/>
        <item x="142"/>
        <item x="224"/>
        <item x="71"/>
        <item x="42"/>
        <item x="108"/>
        <item x="106"/>
        <item x="284"/>
        <item x="356"/>
        <item x="497"/>
        <item x="204"/>
        <item x="178"/>
        <item x="140"/>
        <item x="352"/>
        <item x="165"/>
        <item x="320"/>
        <item x="28"/>
        <item x="400"/>
        <item x="486"/>
        <item x="456"/>
        <item x="233"/>
        <item x="239"/>
        <item x="382"/>
        <item x="305"/>
        <item x="388"/>
        <item x="457"/>
        <item x="402"/>
        <item x="183"/>
        <item x="308"/>
        <item x="492"/>
        <item x="420"/>
        <item x="257"/>
        <item x="38"/>
        <item x="435"/>
        <item x="307"/>
        <item x="197"/>
        <item x="427"/>
        <item x="145"/>
        <item x="88"/>
        <item x="463"/>
        <item x="177"/>
        <item x="325"/>
        <item x="39"/>
        <item x="378"/>
        <item x="349"/>
        <item x="193"/>
        <item x="50"/>
        <item x="277"/>
        <item x="423"/>
        <item x="168"/>
        <item x="245"/>
        <item x="143"/>
        <item x="429"/>
        <item x="164"/>
        <item x="36"/>
        <item x="26"/>
        <item x="286"/>
        <item x="310"/>
        <item x="125"/>
        <item x="335"/>
        <item x="228"/>
        <item x="22"/>
        <item x="357"/>
        <item x="469"/>
        <item x="365"/>
        <item x="131"/>
        <item x="326"/>
        <item x="343"/>
        <item x="112"/>
        <item x="477"/>
        <item x="409"/>
        <item x="408"/>
        <item x="0"/>
        <item x="119"/>
        <item x="52"/>
        <item x="83"/>
        <item x="351"/>
        <item x="315"/>
        <item x="472"/>
        <item x="269"/>
        <item x="311"/>
        <item x="254"/>
        <item x="471"/>
        <item x="40"/>
        <item x="241"/>
        <item x="180"/>
        <item x="60"/>
        <item x="154"/>
        <item x="389"/>
        <item x="5"/>
        <item x="283"/>
        <item x="207"/>
        <item x="386"/>
        <item x="470"/>
        <item x="359"/>
        <item x="99"/>
        <item x="74"/>
        <item x="260"/>
        <item x="289"/>
        <item x="491"/>
        <item x="70"/>
        <item x="279"/>
        <item x="503"/>
        <item x="424"/>
        <item x="59"/>
        <item x="347"/>
        <item x="488"/>
        <item x="216"/>
        <item x="330"/>
        <item x="294"/>
        <item x="240"/>
        <item x="304"/>
        <item x="451"/>
        <item x="292"/>
        <item x="476"/>
        <item x="86"/>
        <item x="242"/>
        <item x="443"/>
        <item x="200"/>
        <item x="2"/>
        <item x="439"/>
        <item x="231"/>
        <item x="344"/>
        <item x="156"/>
        <item x="33"/>
        <item x="7"/>
        <item x="68"/>
        <item x="415"/>
        <item x="468"/>
        <item x="191"/>
        <item x="189"/>
        <item x="90"/>
        <item x="124"/>
        <item x="56"/>
        <item x="293"/>
        <item x="127"/>
        <item x="67"/>
        <item x="185"/>
        <item x="16"/>
        <item x="29"/>
        <item x="246"/>
        <item x="444"/>
        <item x="333"/>
        <item x="235"/>
        <item x="160"/>
        <item x="12"/>
        <item x="281"/>
        <item x="353"/>
        <item x="410"/>
        <item x="249"/>
        <item x="14"/>
        <item x="458"/>
        <item x="321"/>
        <item x="118"/>
        <item x="111"/>
        <item x="214"/>
        <item x="450"/>
        <item x="447"/>
        <item x="437"/>
        <item x="226"/>
        <item x="303"/>
        <item x="504"/>
        <item t="default"/>
      </items>
    </pivotField>
    <pivotField compact="0" showAll="0">
      <items count="3">
        <item x="1"/>
        <item x="0"/>
        <item t="default"/>
      </items>
    </pivotField>
  </pivotFields>
  <rowFields count="2">
    <field x="16"/>
    <field x="13"/>
  </rowFields>
  <rowItems count="91">
    <i>
      <x v="35"/>
    </i>
    <i r="1">
      <x v="141"/>
    </i>
    <i>
      <x v="64"/>
    </i>
    <i r="1">
      <x v="160"/>
    </i>
    <i>
      <x v="82"/>
    </i>
    <i r="1">
      <x v="128"/>
    </i>
    <i>
      <x v="83"/>
    </i>
    <i r="1">
      <x v="168"/>
    </i>
    <i>
      <x v="85"/>
    </i>
    <i r="1">
      <x v="170"/>
    </i>
    <i>
      <x v="86"/>
    </i>
    <i r="1">
      <x v="138"/>
    </i>
    <i>
      <x v="87"/>
    </i>
    <i r="1">
      <x v="165"/>
    </i>
    <i>
      <x v="89"/>
    </i>
    <i r="1">
      <x v="152"/>
    </i>
    <i>
      <x v="90"/>
    </i>
    <i r="1">
      <x v="169"/>
    </i>
    <i>
      <x v="91"/>
    </i>
    <i r="1">
      <x v="157"/>
    </i>
    <i>
      <x v="95"/>
    </i>
    <i r="1">
      <x v="167"/>
    </i>
    <i>
      <x v="124"/>
    </i>
    <i r="1">
      <x v="171"/>
    </i>
    <i>
      <x v="135"/>
    </i>
    <i r="1">
      <x v="132"/>
    </i>
    <i>
      <x v="136"/>
    </i>
    <i r="1">
      <x v="159"/>
    </i>
    <i>
      <x v="137"/>
    </i>
    <i r="1">
      <x v="149"/>
    </i>
    <i>
      <x v="138"/>
    </i>
    <i r="1">
      <x v="155"/>
    </i>
    <i>
      <x v="169"/>
    </i>
    <i r="1">
      <x v="151"/>
    </i>
    <i>
      <x v="232"/>
    </i>
    <i r="1">
      <x v="150"/>
    </i>
    <i>
      <x v="233"/>
    </i>
    <i r="1">
      <x v="133"/>
    </i>
    <i>
      <x v="271"/>
    </i>
    <i r="1">
      <x v="143"/>
    </i>
    <i>
      <x v="289"/>
    </i>
    <i r="1">
      <x v="144"/>
    </i>
    <i>
      <x v="294"/>
    </i>
    <i r="1">
      <x v="140"/>
    </i>
    <i>
      <x v="295"/>
    </i>
    <i r="1">
      <x v="166"/>
    </i>
    <i>
      <x v="296"/>
    </i>
    <i r="1">
      <x v="129"/>
    </i>
    <i>
      <x v="297"/>
    </i>
    <i r="1">
      <x v="131"/>
    </i>
    <i>
      <x v="298"/>
    </i>
    <i r="1">
      <x v="156"/>
    </i>
    <i>
      <x v="299"/>
    </i>
    <i r="1">
      <x v="135"/>
    </i>
    <i>
      <x v="300"/>
    </i>
    <i r="1">
      <x v="164"/>
    </i>
    <i>
      <x v="301"/>
    </i>
    <i r="1">
      <x v="146"/>
    </i>
    <i>
      <x v="302"/>
    </i>
    <i r="1">
      <x v="158"/>
    </i>
    <i>
      <x v="303"/>
    </i>
    <i r="1">
      <x v="130"/>
    </i>
    <i>
      <x v="304"/>
    </i>
    <i r="1">
      <x v="154"/>
    </i>
    <i>
      <x v="305"/>
    </i>
    <i r="1">
      <x v="136"/>
    </i>
    <i>
      <x v="306"/>
    </i>
    <i r="1">
      <x v="134"/>
    </i>
    <i>
      <x v="307"/>
    </i>
    <i r="1">
      <x v="163"/>
    </i>
    <i>
      <x v="334"/>
    </i>
    <i r="1">
      <x v="153"/>
    </i>
    <i>
      <x v="337"/>
    </i>
    <i r="1">
      <x v="148"/>
    </i>
    <i>
      <x v="340"/>
    </i>
    <i r="1">
      <x v="162"/>
    </i>
    <i>
      <x v="346"/>
    </i>
    <i r="1">
      <x v="142"/>
    </i>
    <i>
      <x v="356"/>
    </i>
    <i r="1">
      <x v="145"/>
    </i>
    <i>
      <x v="357"/>
    </i>
    <i r="1">
      <x v="137"/>
    </i>
    <i>
      <x v="376"/>
    </i>
    <i r="1">
      <x v="147"/>
    </i>
    <i>
      <x v="382"/>
    </i>
    <i r="1">
      <x v="139"/>
    </i>
    <i>
      <x v="406"/>
    </i>
    <i r="1">
      <x v="172"/>
    </i>
    <i>
      <x v="459"/>
    </i>
    <i r="1">
      <x v="161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2">
    <pageField fld="14"/>
    <pageField fld="15" item="2"/>
  </pageFields>
  <dataFields count="5">
    <dataField name="Sum of Adujested sales" fld="22" baseField="0" baseItem="0" numFmtId="178"/>
    <dataField name="Sum of Quantity" fld="18" baseField="0" baseItem="0"/>
    <dataField name="Sum of    Sales   " fld="17" baseField="0" baseItem="0" numFmtId="178"/>
    <dataField name="Sum of Profit" fld="21" baseField="0" baseItem="0" numFmtId="178"/>
    <dataField name="Sum of Discount" fld="19" baseField="0" baseItem="0" numFmtId="9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5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5:F1291" firstHeaderRow="1" firstDataRow="1" firstDataCol="5" rowPageCount="3" colPageCount="1"/>
  <pivotFields count="24">
    <pivotField compact="0" numFmtId="176" showAll="0">
      <items count="54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t="default"/>
      </items>
    </pivotField>
    <pivotField compact="0" showAll="0">
      <items count="540">
        <item x="196"/>
        <item x="534"/>
        <item x="254"/>
        <item x="75"/>
        <item x="334"/>
        <item x="421"/>
        <item x="7"/>
        <item x="29"/>
        <item x="351"/>
        <item x="358"/>
        <item x="525"/>
        <item x="396"/>
        <item x="70"/>
        <item x="140"/>
        <item x="135"/>
        <item x="327"/>
        <item x="343"/>
        <item x="183"/>
        <item x="226"/>
        <item x="328"/>
        <item x="56"/>
        <item x="463"/>
        <item x="3"/>
        <item x="175"/>
        <item x="337"/>
        <item x="477"/>
        <item x="82"/>
        <item x="143"/>
        <item x="155"/>
        <item x="90"/>
        <item x="164"/>
        <item x="524"/>
        <item x="345"/>
        <item x="400"/>
        <item x="461"/>
        <item x="222"/>
        <item x="153"/>
        <item x="332"/>
        <item x="139"/>
        <item x="277"/>
        <item x="113"/>
        <item x="509"/>
        <item x="342"/>
        <item x="441"/>
        <item x="98"/>
        <item x="225"/>
        <item x="402"/>
        <item x="417"/>
        <item x="535"/>
        <item x="377"/>
        <item x="221"/>
        <item x="276"/>
        <item x="406"/>
        <item x="438"/>
        <item x="326"/>
        <item x="37"/>
        <item x="81"/>
        <item x="94"/>
        <item x="251"/>
        <item x="383"/>
        <item x="192"/>
        <item x="9"/>
        <item x="426"/>
        <item x="217"/>
        <item x="264"/>
        <item x="22"/>
        <item x="409"/>
        <item x="404"/>
        <item x="280"/>
        <item x="379"/>
        <item x="331"/>
        <item x="224"/>
        <item x="184"/>
        <item x="261"/>
        <item x="311"/>
        <item x="369"/>
        <item x="147"/>
        <item x="318"/>
        <item x="88"/>
        <item x="486"/>
        <item x="357"/>
        <item x="470"/>
        <item x="495"/>
        <item x="145"/>
        <item x="146"/>
        <item x="361"/>
        <item x="87"/>
        <item x="8"/>
        <item x="144"/>
        <item x="392"/>
        <item x="103"/>
        <item x="372"/>
        <item x="92"/>
        <item x="244"/>
        <item x="483"/>
        <item x="12"/>
        <item x="381"/>
        <item x="490"/>
        <item x="211"/>
        <item x="57"/>
        <item x="69"/>
        <item x="439"/>
        <item x="482"/>
        <item x="354"/>
        <item x="457"/>
        <item x="256"/>
        <item x="394"/>
        <item x="356"/>
        <item x="442"/>
        <item x="24"/>
        <item x="367"/>
        <item x="17"/>
        <item x="74"/>
        <item x="322"/>
        <item x="78"/>
        <item x="450"/>
        <item x="181"/>
        <item x="174"/>
        <item x="491"/>
        <item x="371"/>
        <item x="480"/>
        <item x="73"/>
        <item x="172"/>
        <item x="481"/>
        <item x="529"/>
        <item x="498"/>
        <item x="274"/>
        <item x="154"/>
        <item x="414"/>
        <item x="53"/>
        <item x="265"/>
        <item x="170"/>
        <item x="132"/>
        <item x="131"/>
        <item x="408"/>
        <item x="93"/>
        <item x="321"/>
        <item x="272"/>
        <item x="508"/>
        <item x="489"/>
        <item x="434"/>
        <item x="229"/>
        <item x="250"/>
        <item x="349"/>
        <item x="27"/>
        <item x="86"/>
        <item x="152"/>
        <item x="287"/>
        <item x="378"/>
        <item x="325"/>
        <item x="418"/>
        <item x="138"/>
        <item x="362"/>
        <item x="233"/>
        <item x="104"/>
        <item x="307"/>
        <item x="472"/>
        <item x="249"/>
        <item x="447"/>
        <item x="44"/>
        <item x="270"/>
        <item x="38"/>
        <item x="474"/>
        <item x="216"/>
        <item x="366"/>
        <item x="364"/>
        <item x="122"/>
        <item x="127"/>
        <item x="517"/>
        <item x="468"/>
        <item x="522"/>
        <item x="238"/>
        <item x="241"/>
        <item x="459"/>
        <item x="478"/>
        <item x="503"/>
        <item x="107"/>
        <item x="507"/>
        <item x="538"/>
        <item x="492"/>
        <item x="293"/>
        <item x="106"/>
        <item x="208"/>
        <item x="220"/>
        <item x="19"/>
        <item x="501"/>
        <item x="59"/>
        <item x="218"/>
        <item x="301"/>
        <item x="89"/>
        <item x="368"/>
        <item x="424"/>
        <item x="476"/>
        <item x="448"/>
        <item x="25"/>
        <item x="31"/>
        <item x="235"/>
        <item x="182"/>
        <item x="43"/>
        <item x="496"/>
        <item x="212"/>
        <item x="475"/>
        <item x="66"/>
        <item x="348"/>
        <item x="134"/>
        <item x="124"/>
        <item x="26"/>
        <item x="133"/>
        <item x="335"/>
        <item x="497"/>
        <item x="262"/>
        <item x="398"/>
        <item x="80"/>
        <item x="76"/>
        <item x="71"/>
        <item x="338"/>
        <item x="375"/>
        <item x="204"/>
        <item x="295"/>
        <item x="411"/>
        <item x="16"/>
        <item x="21"/>
        <item x="536"/>
        <item x="30"/>
        <item x="278"/>
        <item x="460"/>
        <item x="283"/>
        <item x="13"/>
        <item x="399"/>
        <item x="308"/>
        <item x="523"/>
        <item x="121"/>
        <item x="230"/>
        <item x="494"/>
        <item x="247"/>
        <item x="36"/>
        <item x="269"/>
        <item x="199"/>
        <item x="500"/>
        <item x="55"/>
        <item x="516"/>
        <item x="159"/>
        <item x="50"/>
        <item x="161"/>
        <item x="105"/>
        <item x="431"/>
        <item x="520"/>
        <item x="303"/>
        <item x="533"/>
        <item x="405"/>
        <item x="403"/>
        <item x="171"/>
        <item x="510"/>
        <item x="374"/>
        <item x="257"/>
        <item x="252"/>
        <item x="305"/>
        <item x="10"/>
        <item x="160"/>
        <item x="1"/>
        <item x="527"/>
        <item x="445"/>
        <item x="425"/>
        <item x="350"/>
        <item x="336"/>
        <item x="136"/>
        <item x="142"/>
        <item x="449"/>
        <item x="309"/>
        <item x="469"/>
        <item x="467"/>
        <item x="65"/>
        <item x="115"/>
        <item x="116"/>
        <item x="296"/>
        <item x="201"/>
        <item x="189"/>
        <item x="48"/>
        <item x="382"/>
        <item x="440"/>
        <item x="346"/>
        <item x="0"/>
        <item x="397"/>
        <item x="219"/>
        <item x="79"/>
        <item x="114"/>
        <item x="479"/>
        <item x="165"/>
        <item x="91"/>
        <item x="359"/>
        <item x="112"/>
        <item x="407"/>
        <item x="49"/>
        <item x="72"/>
        <item x="42"/>
        <item x="537"/>
        <item x="302"/>
        <item x="5"/>
        <item x="393"/>
        <item x="282"/>
        <item x="148"/>
        <item x="77"/>
        <item x="324"/>
        <item x="316"/>
        <item x="416"/>
        <item x="437"/>
        <item x="388"/>
        <item x="206"/>
        <item x="246"/>
        <item x="227"/>
        <item x="23"/>
        <item x="521"/>
        <item x="471"/>
        <item x="260"/>
        <item x="384"/>
        <item x="176"/>
        <item x="259"/>
        <item x="456"/>
        <item x="435"/>
        <item x="179"/>
        <item x="360"/>
        <item x="166"/>
        <item x="97"/>
        <item x="373"/>
        <item x="298"/>
        <item x="67"/>
        <item x="493"/>
        <item x="395"/>
        <item x="95"/>
        <item x="15"/>
        <item x="101"/>
        <item x="333"/>
        <item x="191"/>
        <item x="313"/>
        <item x="413"/>
        <item x="518"/>
        <item x="258"/>
        <item x="242"/>
        <item x="444"/>
        <item x="4"/>
        <item x="32"/>
        <item x="323"/>
        <item x="410"/>
        <item x="419"/>
        <item x="352"/>
        <item x="186"/>
        <item x="185"/>
        <item x="285"/>
        <item x="128"/>
        <item x="487"/>
        <item x="271"/>
        <item x="263"/>
        <item x="52"/>
        <item x="455"/>
        <item x="18"/>
        <item x="499"/>
        <item x="513"/>
        <item x="188"/>
        <item x="526"/>
        <item x="193"/>
        <item x="355"/>
        <item x="347"/>
        <item x="300"/>
        <item x="100"/>
        <item x="141"/>
        <item x="386"/>
        <item x="237"/>
        <item x="387"/>
        <item x="365"/>
        <item x="202"/>
        <item x="314"/>
        <item x="453"/>
        <item x="341"/>
        <item x="430"/>
        <item x="310"/>
        <item x="422"/>
        <item x="129"/>
        <item x="423"/>
        <item x="353"/>
        <item x="290"/>
        <item x="158"/>
        <item x="232"/>
        <item x="485"/>
        <item x="462"/>
        <item x="234"/>
        <item x="376"/>
        <item x="102"/>
        <item x="454"/>
        <item x="123"/>
        <item x="266"/>
        <item x="433"/>
        <item x="284"/>
        <item x="20"/>
        <item x="40"/>
        <item x="304"/>
        <item x="223"/>
        <item x="187"/>
        <item x="432"/>
        <item x="380"/>
        <item x="339"/>
        <item x="292"/>
        <item x="163"/>
        <item x="443"/>
        <item x="239"/>
        <item x="273"/>
        <item x="329"/>
        <item x="54"/>
        <item x="207"/>
        <item x="195"/>
        <item x="420"/>
        <item x="429"/>
        <item x="370"/>
        <item x="458"/>
        <item x="197"/>
        <item x="506"/>
        <item x="511"/>
        <item x="149"/>
        <item x="289"/>
        <item x="205"/>
        <item x="190"/>
        <item x="214"/>
        <item x="68"/>
        <item x="41"/>
        <item x="162"/>
        <item x="194"/>
        <item x="267"/>
        <item x="203"/>
        <item x="47"/>
        <item x="466"/>
        <item x="111"/>
        <item x="427"/>
        <item x="46"/>
        <item x="319"/>
        <item x="401"/>
        <item x="514"/>
        <item x="255"/>
        <item x="288"/>
        <item x="118"/>
        <item x="236"/>
        <item x="126"/>
        <item x="268"/>
        <item x="180"/>
        <item x="473"/>
        <item x="297"/>
        <item x="157"/>
        <item x="83"/>
        <item x="385"/>
        <item x="281"/>
        <item x="120"/>
        <item x="209"/>
        <item x="286"/>
        <item x="389"/>
        <item x="320"/>
        <item x="167"/>
        <item x="61"/>
        <item x="178"/>
        <item x="177"/>
        <item x="436"/>
        <item x="35"/>
        <item x="200"/>
        <item x="60"/>
        <item x="109"/>
        <item x="531"/>
        <item x="505"/>
        <item x="412"/>
        <item x="213"/>
        <item x="85"/>
        <item x="532"/>
        <item x="2"/>
        <item x="6"/>
        <item x="253"/>
        <item x="156"/>
        <item x="488"/>
        <item x="504"/>
        <item x="33"/>
        <item x="58"/>
        <item x="243"/>
        <item x="451"/>
        <item x="108"/>
        <item x="14"/>
        <item x="51"/>
        <item x="363"/>
        <item x="117"/>
        <item x="130"/>
        <item x="28"/>
        <item x="173"/>
        <item x="215"/>
        <item x="279"/>
        <item x="231"/>
        <item x="428"/>
        <item x="228"/>
        <item x="294"/>
        <item x="198"/>
        <item x="63"/>
        <item x="168"/>
        <item x="291"/>
        <item x="391"/>
        <item x="240"/>
        <item x="150"/>
        <item x="344"/>
        <item x="151"/>
        <item x="340"/>
        <item x="512"/>
        <item x="306"/>
        <item x="275"/>
        <item x="210"/>
        <item x="515"/>
        <item x="530"/>
        <item x="330"/>
        <item x="465"/>
        <item x="110"/>
        <item x="464"/>
        <item x="312"/>
        <item x="484"/>
        <item x="62"/>
        <item x="45"/>
        <item x="452"/>
        <item x="446"/>
        <item x="99"/>
        <item x="34"/>
        <item x="315"/>
        <item x="39"/>
        <item x="248"/>
        <item x="415"/>
        <item x="96"/>
        <item x="299"/>
        <item x="245"/>
        <item x="169"/>
        <item x="125"/>
        <item x="519"/>
        <item x="502"/>
        <item x="84"/>
        <item x="137"/>
        <item x="119"/>
        <item x="390"/>
        <item x="11"/>
        <item x="64"/>
        <item x="528"/>
        <item x="317"/>
        <item t="default"/>
      </items>
    </pivotField>
    <pivotField compact="0" showAll="0">
      <items count="411">
        <item x="277"/>
        <item x="232"/>
        <item x="320"/>
        <item x="269"/>
        <item x="286"/>
        <item x="360"/>
        <item x="406"/>
        <item x="215"/>
        <item x="398"/>
        <item x="315"/>
        <item x="181"/>
        <item x="72"/>
        <item x="223"/>
        <item x="234"/>
        <item x="90"/>
        <item x="267"/>
        <item x="322"/>
        <item x="388"/>
        <item x="138"/>
        <item x="164"/>
        <item x="333"/>
        <item x="309"/>
        <item x="218"/>
        <item x="8"/>
        <item x="287"/>
        <item x="371"/>
        <item x="235"/>
        <item x="279"/>
        <item x="106"/>
        <item x="270"/>
        <item x="159"/>
        <item x="3"/>
        <item x="345"/>
        <item x="261"/>
        <item x="169"/>
        <item x="307"/>
        <item x="290"/>
        <item x="268"/>
        <item x="260"/>
        <item x="384"/>
        <item x="136"/>
        <item x="192"/>
        <item x="149"/>
        <item x="93"/>
        <item x="407"/>
        <item x="79"/>
        <item x="233"/>
        <item x="128"/>
        <item x="55"/>
        <item x="86"/>
        <item x="9"/>
        <item x="399"/>
        <item x="78"/>
        <item x="340"/>
        <item x="171"/>
        <item x="103"/>
        <item x="80"/>
        <item x="328"/>
        <item x="111"/>
        <item x="59"/>
        <item x="158"/>
        <item x="358"/>
        <item x="146"/>
        <item x="127"/>
        <item x="191"/>
        <item x="273"/>
        <item x="36"/>
        <item x="303"/>
        <item x="22"/>
        <item x="68"/>
        <item x="194"/>
        <item x="301"/>
        <item x="130"/>
        <item x="187"/>
        <item x="7"/>
        <item x="84"/>
        <item x="156"/>
        <item x="35"/>
        <item x="266"/>
        <item x="29"/>
        <item x="337"/>
        <item x="325"/>
        <item x="174"/>
        <item x="163"/>
        <item x="58"/>
        <item x="129"/>
        <item x="282"/>
        <item x="125"/>
        <item x="98"/>
        <item x="184"/>
        <item x="43"/>
        <item x="302"/>
        <item x="285"/>
        <item x="97"/>
        <item x="102"/>
        <item x="56"/>
        <item x="366"/>
        <item x="199"/>
        <item x="305"/>
        <item x="204"/>
        <item x="262"/>
        <item x="368"/>
        <item x="57"/>
        <item x="265"/>
        <item x="347"/>
        <item x="24"/>
        <item x="334"/>
        <item x="33"/>
        <item x="381"/>
        <item x="152"/>
        <item x="28"/>
        <item x="124"/>
        <item x="263"/>
        <item x="293"/>
        <item x="390"/>
        <item x="71"/>
        <item x="352"/>
        <item x="70"/>
        <item x="387"/>
        <item x="409"/>
        <item x="385"/>
        <item x="382"/>
        <item x="137"/>
        <item x="153"/>
        <item x="386"/>
        <item x="230"/>
        <item x="380"/>
        <item x="353"/>
        <item x="117"/>
        <item x="374"/>
        <item x="101"/>
        <item x="291"/>
        <item x="252"/>
        <item x="375"/>
        <item x="284"/>
        <item x="135"/>
        <item x="37"/>
        <item x="67"/>
        <item x="229"/>
        <item x="14"/>
        <item x="227"/>
        <item x="402"/>
        <item x="357"/>
        <item x="404"/>
        <item x="12"/>
        <item x="120"/>
        <item x="292"/>
        <item x="242"/>
        <item x="348"/>
        <item x="330"/>
        <item x="2"/>
        <item x="88"/>
        <item x="313"/>
        <item x="52"/>
        <item x="324"/>
        <item x="372"/>
        <item x="89"/>
        <item x="121"/>
        <item x="376"/>
        <item x="209"/>
        <item x="113"/>
        <item x="50"/>
        <item x="219"/>
        <item x="312"/>
        <item x="82"/>
        <item x="6"/>
        <item x="27"/>
        <item x="154"/>
        <item x="109"/>
        <item x="239"/>
        <item x="155"/>
        <item x="214"/>
        <item x="364"/>
        <item x="295"/>
        <item x="350"/>
        <item x="83"/>
        <item x="217"/>
        <item x="139"/>
        <item x="379"/>
        <item x="100"/>
        <item x="207"/>
        <item x="17"/>
        <item x="75"/>
        <item x="319"/>
        <item x="383"/>
        <item x="13"/>
        <item x="327"/>
        <item x="115"/>
        <item x="403"/>
        <item x="391"/>
        <item x="271"/>
        <item x="317"/>
        <item x="346"/>
        <item x="311"/>
        <item x="21"/>
        <item x="299"/>
        <item x="69"/>
        <item x="196"/>
        <item x="231"/>
        <item x="396"/>
        <item x="253"/>
        <item x="178"/>
        <item x="41"/>
        <item x="281"/>
        <item x="143"/>
        <item x="342"/>
        <item x="397"/>
        <item x="167"/>
        <item x="173"/>
        <item x="183"/>
        <item x="131"/>
        <item x="134"/>
        <item x="236"/>
        <item x="195"/>
        <item x="74"/>
        <item x="288"/>
        <item x="244"/>
        <item x="206"/>
        <item x="316"/>
        <item x="211"/>
        <item x="198"/>
        <item x="30"/>
        <item x="112"/>
        <item x="224"/>
        <item x="1"/>
        <item x="26"/>
        <item x="351"/>
        <item x="23"/>
        <item x="190"/>
        <item x="274"/>
        <item x="212"/>
        <item x="188"/>
        <item x="216"/>
        <item x="87"/>
        <item x="19"/>
        <item x="310"/>
        <item x="197"/>
        <item x="405"/>
        <item x="408"/>
        <item x="243"/>
        <item x="298"/>
        <item x="250"/>
        <item x="370"/>
        <item x="278"/>
        <item x="48"/>
        <item x="133"/>
        <item x="142"/>
        <item x="323"/>
        <item x="64"/>
        <item x="47"/>
        <item x="162"/>
        <item x="369"/>
        <item x="108"/>
        <item x="126"/>
        <item x="306"/>
        <item x="42"/>
        <item x="31"/>
        <item x="251"/>
        <item x="182"/>
        <item x="150"/>
        <item x="321"/>
        <item x="339"/>
        <item x="63"/>
        <item x="201"/>
        <item x="147"/>
        <item x="332"/>
        <item x="248"/>
        <item x="189"/>
        <item x="99"/>
        <item x="54"/>
        <item x="254"/>
        <item x="61"/>
        <item x="77"/>
        <item x="0"/>
        <item x="338"/>
        <item x="373"/>
        <item x="76"/>
        <item x="258"/>
        <item x="73"/>
        <item x="393"/>
        <item x="85"/>
        <item x="49"/>
        <item x="275"/>
        <item x="5"/>
        <item x="16"/>
        <item x="10"/>
        <item x="107"/>
        <item x="25"/>
        <item x="180"/>
        <item x="272"/>
        <item x="186"/>
        <item x="122"/>
        <item x="314"/>
        <item x="363"/>
        <item x="392"/>
        <item x="176"/>
        <item x="276"/>
        <item x="203"/>
        <item x="205"/>
        <item x="289"/>
        <item x="62"/>
        <item x="297"/>
        <item x="168"/>
        <item x="144"/>
        <item x="294"/>
        <item x="257"/>
        <item x="177"/>
        <item x="185"/>
        <item x="355"/>
        <item x="104"/>
        <item x="359"/>
        <item x="318"/>
        <item x="349"/>
        <item x="4"/>
        <item x="81"/>
        <item x="300"/>
        <item x="304"/>
        <item x="356"/>
        <item x="240"/>
        <item x="401"/>
        <item x="367"/>
        <item x="394"/>
        <item x="39"/>
        <item x="148"/>
        <item x="95"/>
        <item x="110"/>
        <item x="255"/>
        <item x="193"/>
        <item x="140"/>
        <item x="114"/>
        <item x="46"/>
        <item x="249"/>
        <item x="308"/>
        <item x="92"/>
        <item x="335"/>
        <item x="222"/>
        <item x="160"/>
        <item x="91"/>
        <item x="141"/>
        <item x="362"/>
        <item x="11"/>
        <item x="228"/>
        <item x="246"/>
        <item x="283"/>
        <item x="245"/>
        <item x="378"/>
        <item x="238"/>
        <item x="170"/>
        <item x="326"/>
        <item x="151"/>
        <item x="264"/>
        <item x="213"/>
        <item x="395"/>
        <item x="210"/>
        <item x="18"/>
        <item x="220"/>
        <item x="32"/>
        <item x="175"/>
        <item x="118"/>
        <item x="65"/>
        <item x="20"/>
        <item x="296"/>
        <item x="241"/>
        <item x="145"/>
        <item x="365"/>
        <item x="400"/>
        <item x="172"/>
        <item x="280"/>
        <item x="361"/>
        <item x="389"/>
        <item x="119"/>
        <item x="336"/>
        <item x="161"/>
        <item x="15"/>
        <item x="179"/>
        <item x="208"/>
        <item x="40"/>
        <item x="341"/>
        <item x="132"/>
        <item x="259"/>
        <item x="60"/>
        <item x="44"/>
        <item x="45"/>
        <item x="343"/>
        <item x="105"/>
        <item x="38"/>
        <item x="237"/>
        <item x="123"/>
        <item x="225"/>
        <item x="51"/>
        <item x="221"/>
        <item x="200"/>
        <item x="344"/>
        <item x="354"/>
        <item x="329"/>
        <item x="96"/>
        <item x="256"/>
        <item x="226"/>
        <item x="166"/>
        <item x="34"/>
        <item x="157"/>
        <item x="94"/>
        <item x="202"/>
        <item x="66"/>
        <item x="331"/>
        <item x="165"/>
        <item x="53"/>
        <item x="377"/>
        <item x="116"/>
        <item x="247"/>
        <item t="default"/>
      </items>
    </pivotField>
    <pivotField compact="0" showAll="0">
      <items count="439">
        <item x="297"/>
        <item x="244"/>
        <item x="288"/>
        <item x="306"/>
        <item x="385"/>
        <item x="434"/>
        <item x="224"/>
        <item x="427"/>
        <item x="336"/>
        <item x="189"/>
        <item x="70"/>
        <item x="232"/>
        <item x="247"/>
        <item x="86"/>
        <item x="284"/>
        <item x="343"/>
        <item x="139"/>
        <item x="167"/>
        <item x="352"/>
        <item x="8"/>
        <item x="227"/>
        <item x="307"/>
        <item x="396"/>
        <item x="248"/>
        <item x="104"/>
        <item x="290"/>
        <item x="161"/>
        <item x="200"/>
        <item x="3"/>
        <item x="340"/>
        <item x="365"/>
        <item x="278"/>
        <item x="175"/>
        <item x="326"/>
        <item x="287"/>
        <item x="277"/>
        <item x="406"/>
        <item x="137"/>
        <item x="151"/>
        <item x="90"/>
        <item x="338"/>
        <item x="75"/>
        <item x="245"/>
        <item x="128"/>
        <item x="55"/>
        <item x="83"/>
        <item x="9"/>
        <item x="428"/>
        <item x="74"/>
        <item x="178"/>
        <item x="359"/>
        <item x="370"/>
        <item x="101"/>
        <item x="233"/>
        <item x="76"/>
        <item x="110"/>
        <item x="160"/>
        <item x="131"/>
        <item x="59"/>
        <item x="316"/>
        <item x="148"/>
        <item x="127"/>
        <item x="197"/>
        <item x="293"/>
        <item x="323"/>
        <item x="36"/>
        <item x="21"/>
        <item x="65"/>
        <item x="199"/>
        <item x="322"/>
        <item x="130"/>
        <item x="193"/>
        <item x="390"/>
        <item x="7"/>
        <item x="81"/>
        <item x="158"/>
        <item x="34"/>
        <item x="283"/>
        <item x="80"/>
        <item x="28"/>
        <item x="367"/>
        <item x="345"/>
        <item x="355"/>
        <item x="182"/>
        <item x="166"/>
        <item x="58"/>
        <item x="129"/>
        <item x="252"/>
        <item x="302"/>
        <item x="124"/>
        <item x="96"/>
        <item x="191"/>
        <item x="43"/>
        <item x="95"/>
        <item x="100"/>
        <item x="56"/>
        <item x="392"/>
        <item x="206"/>
        <item x="325"/>
        <item x="211"/>
        <item x="394"/>
        <item x="279"/>
        <item x="57"/>
        <item x="282"/>
        <item x="368"/>
        <item x="23"/>
        <item x="353"/>
        <item x="32"/>
        <item x="402"/>
        <item x="27"/>
        <item x="123"/>
        <item x="280"/>
        <item x="311"/>
        <item x="68"/>
        <item x="69"/>
        <item x="414"/>
        <item x="363"/>
        <item x="437"/>
        <item x="409"/>
        <item x="403"/>
        <item x="138"/>
        <item x="155"/>
        <item x="314"/>
        <item x="413"/>
        <item x="242"/>
        <item x="401"/>
        <item x="376"/>
        <item x="116"/>
        <item x="99"/>
        <item x="309"/>
        <item x="269"/>
        <item x="399"/>
        <item x="136"/>
        <item x="305"/>
        <item x="216"/>
        <item x="37"/>
        <item x="64"/>
        <item x="240"/>
        <item x="400"/>
        <item x="14"/>
        <item x="238"/>
        <item x="430"/>
        <item x="118"/>
        <item x="432"/>
        <item x="12"/>
        <item x="119"/>
        <item x="310"/>
        <item x="256"/>
        <item x="349"/>
        <item x="84"/>
        <item x="334"/>
        <item x="2"/>
        <item x="52"/>
        <item x="397"/>
        <item x="164"/>
        <item x="85"/>
        <item x="217"/>
        <item x="416"/>
        <item x="112"/>
        <item x="50"/>
        <item x="78"/>
        <item x="332"/>
        <item x="6"/>
        <item x="26"/>
        <item x="382"/>
        <item x="156"/>
        <item x="253"/>
        <item x="107"/>
        <item x="157"/>
        <item x="222"/>
        <item x="234"/>
        <item x="223"/>
        <item x="301"/>
        <item x="313"/>
        <item x="374"/>
        <item x="79"/>
        <item x="190"/>
        <item x="226"/>
        <item x="140"/>
        <item x="317"/>
        <item x="98"/>
        <item x="16"/>
        <item x="214"/>
        <item x="341"/>
        <item x="405"/>
        <item x="13"/>
        <item x="347"/>
        <item x="431"/>
        <item x="113"/>
        <item x="417"/>
        <item x="291"/>
        <item x="337"/>
        <item x="366"/>
        <item x="331"/>
        <item x="20"/>
        <item x="67"/>
        <item x="320"/>
        <item x="202"/>
        <item x="298"/>
        <item x="243"/>
        <item x="426"/>
        <item x="270"/>
        <item x="187"/>
        <item x="264"/>
        <item x="300"/>
        <item x="41"/>
        <item x="361"/>
        <item x="144"/>
        <item x="229"/>
        <item x="172"/>
        <item x="180"/>
        <item x="408"/>
        <item x="132"/>
        <item x="145"/>
        <item x="135"/>
        <item x="249"/>
        <item x="72"/>
        <item x="201"/>
        <item x="315"/>
        <item x="213"/>
        <item x="308"/>
        <item x="258"/>
        <item x="388"/>
        <item x="219"/>
        <item x="204"/>
        <item x="29"/>
        <item x="181"/>
        <item x="103"/>
        <item x="419"/>
        <item x="111"/>
        <item x="183"/>
        <item x="35"/>
        <item x="1"/>
        <item x="25"/>
        <item x="375"/>
        <item x="372"/>
        <item x="22"/>
        <item x="196"/>
        <item x="294"/>
        <item x="220"/>
        <item x="225"/>
        <item x="194"/>
        <item x="246"/>
        <item x="18"/>
        <item x="330"/>
        <item x="203"/>
        <item x="433"/>
        <item x="435"/>
        <item x="423"/>
        <item x="257"/>
        <item x="319"/>
        <item x="395"/>
        <item x="267"/>
        <item x="134"/>
        <item x="48"/>
        <item x="143"/>
        <item x="383"/>
        <item x="344"/>
        <item x="62"/>
        <item x="411"/>
        <item x="165"/>
        <item x="47"/>
        <item x="250"/>
        <item x="126"/>
        <item x="106"/>
        <item x="268"/>
        <item x="369"/>
        <item x="42"/>
        <item x="30"/>
        <item x="152"/>
        <item x="342"/>
        <item x="358"/>
        <item x="389"/>
        <item x="61"/>
        <item x="149"/>
        <item x="208"/>
        <item x="351"/>
        <item x="154"/>
        <item x="97"/>
        <item x="195"/>
        <item x="121"/>
        <item x="271"/>
        <item x="237"/>
        <item x="281"/>
        <item x="333"/>
        <item x="54"/>
        <item x="0"/>
        <item x="357"/>
        <item x="398"/>
        <item x="73"/>
        <item x="407"/>
        <item x="71"/>
        <item x="422"/>
        <item x="82"/>
        <item x="49"/>
        <item x="296"/>
        <item x="66"/>
        <item x="5"/>
        <item x="436"/>
        <item x="10"/>
        <item x="105"/>
        <item x="265"/>
        <item x="24"/>
        <item x="292"/>
        <item x="120"/>
        <item x="259"/>
        <item x="335"/>
        <item x="387"/>
        <item x="185"/>
        <item x="418"/>
        <item x="212"/>
        <item x="210"/>
        <item x="60"/>
        <item x="318"/>
        <item x="174"/>
        <item x="146"/>
        <item x="420"/>
        <item x="312"/>
        <item x="275"/>
        <item x="186"/>
        <item x="192"/>
        <item x="377"/>
        <item x="384"/>
        <item x="102"/>
        <item x="339"/>
        <item x="125"/>
        <item x="4"/>
        <item x="321"/>
        <item x="77"/>
        <item x="324"/>
        <item x="380"/>
        <item x="254"/>
        <item x="286"/>
        <item x="393"/>
        <item x="39"/>
        <item x="424"/>
        <item x="150"/>
        <item x="92"/>
        <item x="272"/>
        <item x="109"/>
        <item x="198"/>
        <item x="261"/>
        <item x="141"/>
        <item x="46"/>
        <item x="329"/>
        <item x="273"/>
        <item x="266"/>
        <item x="356"/>
        <item x="327"/>
        <item x="171"/>
        <item x="89"/>
        <item x="354"/>
        <item x="231"/>
        <item x="162"/>
        <item x="142"/>
        <item x="88"/>
        <item x="386"/>
        <item x="11"/>
        <item x="262"/>
        <item x="239"/>
        <item x="303"/>
        <item x="260"/>
        <item x="176"/>
        <item x="328"/>
        <item x="346"/>
        <item x="153"/>
        <item x="425"/>
        <item x="371"/>
        <item x="285"/>
        <item x="221"/>
        <item x="218"/>
        <item x="230"/>
        <item x="17"/>
        <item x="31"/>
        <item x="184"/>
        <item x="295"/>
        <item x="304"/>
        <item x="19"/>
        <item x="255"/>
        <item x="289"/>
        <item x="147"/>
        <item x="429"/>
        <item x="391"/>
        <item x="299"/>
        <item x="179"/>
        <item x="412"/>
        <item x="415"/>
        <item x="117"/>
        <item x="163"/>
        <item x="15"/>
        <item x="188"/>
        <item x="215"/>
        <item x="360"/>
        <item x="40"/>
        <item x="276"/>
        <item x="133"/>
        <item x="373"/>
        <item x="170"/>
        <item x="173"/>
        <item x="45"/>
        <item x="44"/>
        <item x="87"/>
        <item x="205"/>
        <item x="38"/>
        <item x="251"/>
        <item x="381"/>
        <item x="410"/>
        <item x="228"/>
        <item x="122"/>
        <item x="421"/>
        <item x="177"/>
        <item x="207"/>
        <item x="51"/>
        <item x="364"/>
        <item x="348"/>
        <item x="108"/>
        <item x="379"/>
        <item x="241"/>
        <item x="94"/>
        <item x="274"/>
        <item x="235"/>
        <item x="33"/>
        <item x="169"/>
        <item x="114"/>
        <item x="93"/>
        <item x="159"/>
        <item x="404"/>
        <item x="91"/>
        <item x="350"/>
        <item x="209"/>
        <item x="63"/>
        <item x="168"/>
        <item x="53"/>
        <item x="378"/>
        <item x="115"/>
        <item x="362"/>
        <item x="236"/>
        <item x="263"/>
        <item t="default"/>
      </items>
    </pivotField>
    <pivotField compact="0" showAll="0">
      <items count="5">
        <item x="2"/>
        <item x="3"/>
        <item x="0"/>
        <item x="1"/>
        <item t="default"/>
      </items>
    </pivotField>
    <pivotField axis="axisRow" compact="0" showAll="0">
      <items count="398">
        <item x="211"/>
        <item x="4"/>
        <item x="144"/>
        <item x="376"/>
        <item x="269"/>
        <item x="141"/>
        <item x="57"/>
        <item x="314"/>
        <item x="8"/>
        <item x="369"/>
        <item x="122"/>
        <item x="132"/>
        <item x="165"/>
        <item x="326"/>
        <item x="151"/>
        <item x="340"/>
        <item x="124"/>
        <item x="117"/>
        <item x="321"/>
        <item x="295"/>
        <item x="219"/>
        <item x="195"/>
        <item x="87"/>
        <item x="275"/>
        <item x="153"/>
        <item x="239"/>
        <item x="255"/>
        <item x="382"/>
        <item x="216"/>
        <item x="127"/>
        <item x="238"/>
        <item x="155"/>
        <item x="357"/>
        <item x="247"/>
        <item x="121"/>
        <item x="179"/>
        <item x="217"/>
        <item x="214"/>
        <item x="205"/>
        <item x="232"/>
        <item x="336"/>
        <item x="292"/>
        <item x="3"/>
        <item x="318"/>
        <item x="78"/>
        <item x="312"/>
        <item x="298"/>
        <item x="272"/>
        <item x="202"/>
        <item x="162"/>
        <item x="130"/>
        <item x="29"/>
        <item x="94"/>
        <item x="354"/>
        <item x="388"/>
        <item x="296"/>
        <item x="308"/>
        <item x="244"/>
        <item x="119"/>
        <item x="222"/>
        <item x="90"/>
        <item x="118"/>
        <item x="230"/>
        <item x="254"/>
        <item x="142"/>
        <item x="113"/>
        <item x="303"/>
        <item x="263"/>
        <item x="344"/>
        <item x="0"/>
        <item x="170"/>
        <item x="237"/>
        <item x="278"/>
        <item x="242"/>
        <item x="316"/>
        <item x="52"/>
        <item x="200"/>
        <item x="320"/>
        <item x="291"/>
        <item x="128"/>
        <item x="257"/>
        <item x="229"/>
        <item x="79"/>
        <item x="294"/>
        <item x="37"/>
        <item x="51"/>
        <item x="194"/>
        <item x="72"/>
        <item x="106"/>
        <item x="203"/>
        <item x="140"/>
        <item x="383"/>
        <item x="290"/>
        <item x="368"/>
        <item x="249"/>
        <item x="137"/>
        <item x="264"/>
        <item x="213"/>
        <item x="54"/>
        <item x="83"/>
        <item x="158"/>
        <item x="297"/>
        <item x="351"/>
        <item x="111"/>
        <item x="114"/>
        <item x="35"/>
        <item x="157"/>
        <item x="24"/>
        <item x="317"/>
        <item x="273"/>
        <item x="112"/>
        <item x="284"/>
        <item x="103"/>
        <item x="1"/>
        <item x="231"/>
        <item x="108"/>
        <item x="61"/>
        <item x="105"/>
        <item x="182"/>
        <item x="225"/>
        <item x="12"/>
        <item x="387"/>
        <item x="378"/>
        <item x="283"/>
        <item x="13"/>
        <item x="258"/>
        <item x="330"/>
        <item x="75"/>
        <item x="191"/>
        <item x="313"/>
        <item x="212"/>
        <item x="45"/>
        <item x="301"/>
        <item x="20"/>
        <item x="135"/>
        <item x="92"/>
        <item x="86"/>
        <item x="248"/>
        <item x="224"/>
        <item x="389"/>
        <item x="315"/>
        <item x="334"/>
        <item x="241"/>
        <item x="55"/>
        <item x="395"/>
        <item x="16"/>
        <item x="348"/>
        <item x="136"/>
        <item x="306"/>
        <item x="39"/>
        <item x="323"/>
        <item x="265"/>
        <item x="218"/>
        <item x="150"/>
        <item x="47"/>
        <item x="66"/>
        <item x="96"/>
        <item x="332"/>
        <item x="31"/>
        <item x="6"/>
        <item x="367"/>
        <item x="304"/>
        <item x="393"/>
        <item x="5"/>
        <item x="350"/>
        <item x="80"/>
        <item x="102"/>
        <item x="209"/>
        <item x="36"/>
        <item x="63"/>
        <item x="148"/>
        <item x="251"/>
        <item x="188"/>
        <item x="32"/>
        <item x="68"/>
        <item x="282"/>
        <item x="226"/>
        <item x="223"/>
        <item x="161"/>
        <item x="189"/>
        <item x="371"/>
        <item x="101"/>
        <item x="98"/>
        <item x="370"/>
        <item x="342"/>
        <item x="380"/>
        <item x="271"/>
        <item x="82"/>
        <item x="300"/>
        <item x="311"/>
        <item x="145"/>
        <item x="252"/>
        <item x="139"/>
        <item x="49"/>
        <item x="25"/>
        <item x="341"/>
        <item x="123"/>
        <item x="270"/>
        <item x="187"/>
        <item x="335"/>
        <item x="329"/>
        <item x="40"/>
        <item x="365"/>
        <item x="185"/>
        <item x="208"/>
        <item x="41"/>
        <item x="10"/>
        <item x="33"/>
        <item x="346"/>
        <item x="110"/>
        <item x="169"/>
        <item x="30"/>
        <item x="44"/>
        <item x="347"/>
        <item x="168"/>
        <item x="175"/>
        <item x="120"/>
        <item x="126"/>
        <item x="107"/>
        <item x="366"/>
        <item x="392"/>
        <item x="27"/>
        <item x="147"/>
        <item x="156"/>
        <item x="48"/>
        <item x="62"/>
        <item x="18"/>
        <item x="95"/>
        <item x="97"/>
        <item x="166"/>
        <item x="23"/>
        <item x="293"/>
        <item x="109"/>
        <item x="328"/>
        <item x="215"/>
        <item x="221"/>
        <item x="235"/>
        <item x="322"/>
        <item x="60"/>
        <item x="201"/>
        <item x="299"/>
        <item x="352"/>
        <item x="15"/>
        <item x="377"/>
        <item x="93"/>
        <item x="204"/>
        <item x="266"/>
        <item x="305"/>
        <item x="198"/>
        <item x="384"/>
        <item x="250"/>
        <item x="375"/>
        <item x="67"/>
        <item x="396"/>
        <item x="207"/>
        <item x="186"/>
        <item x="77"/>
        <item x="149"/>
        <item x="177"/>
        <item x="394"/>
        <item x="152"/>
        <item x="373"/>
        <item x="246"/>
        <item x="88"/>
        <item x="172"/>
        <item x="280"/>
        <item x="333"/>
        <item x="234"/>
        <item x="99"/>
        <item x="363"/>
        <item x="192"/>
        <item x="160"/>
        <item x="360"/>
        <item x="199"/>
        <item x="89"/>
        <item x="240"/>
        <item x="173"/>
        <item x="243"/>
        <item x="159"/>
        <item x="71"/>
        <item x="134"/>
        <item x="268"/>
        <item x="73"/>
        <item x="379"/>
        <item x="125"/>
        <item x="21"/>
        <item x="220"/>
        <item x="50"/>
        <item x="287"/>
        <item x="171"/>
        <item x="331"/>
        <item x="58"/>
        <item x="310"/>
        <item x="38"/>
        <item x="206"/>
        <item x="307"/>
        <item x="324"/>
        <item x="7"/>
        <item x="327"/>
        <item x="43"/>
        <item x="138"/>
        <item x="22"/>
        <item x="178"/>
        <item x="285"/>
        <item x="381"/>
        <item x="28"/>
        <item x="391"/>
        <item x="267"/>
        <item x="19"/>
        <item x="154"/>
        <item x="362"/>
        <item x="181"/>
        <item x="46"/>
        <item x="262"/>
        <item x="42"/>
        <item x="176"/>
        <item x="116"/>
        <item x="53"/>
        <item x="390"/>
        <item x="361"/>
        <item x="372"/>
        <item x="279"/>
        <item x="76"/>
        <item x="288"/>
        <item x="167"/>
        <item x="302"/>
        <item x="385"/>
        <item x="343"/>
        <item x="210"/>
        <item x="84"/>
        <item x="197"/>
        <item x="345"/>
        <item x="261"/>
        <item x="276"/>
        <item x="338"/>
        <item x="355"/>
        <item x="193"/>
        <item x="115"/>
        <item x="337"/>
        <item x="183"/>
        <item x="253"/>
        <item x="281"/>
        <item x="56"/>
        <item x="34"/>
        <item x="174"/>
        <item x="339"/>
        <item x="11"/>
        <item x="227"/>
        <item x="245"/>
        <item x="65"/>
        <item x="64"/>
        <item x="129"/>
        <item x="319"/>
        <item x="81"/>
        <item x="85"/>
        <item x="359"/>
        <item x="325"/>
        <item x="17"/>
        <item x="2"/>
        <item x="259"/>
        <item x="70"/>
        <item x="133"/>
        <item x="256"/>
        <item x="164"/>
        <item x="196"/>
        <item x="286"/>
        <item x="277"/>
        <item x="374"/>
        <item x="349"/>
        <item x="26"/>
        <item x="386"/>
        <item x="353"/>
        <item x="14"/>
        <item x="180"/>
        <item x="143"/>
        <item x="228"/>
        <item x="260"/>
        <item x="274"/>
        <item x="184"/>
        <item x="236"/>
        <item x="309"/>
        <item x="131"/>
        <item x="358"/>
        <item x="59"/>
        <item x="74"/>
        <item x="69"/>
        <item x="356"/>
        <item x="146"/>
        <item x="104"/>
        <item x="364"/>
        <item x="91"/>
        <item x="163"/>
        <item x="100"/>
        <item x="190"/>
        <item x="289"/>
        <item x="233"/>
        <item x="9"/>
        <item t="default"/>
      </items>
    </pivotField>
    <pivotField axis="axisRow" compact="0" showAll="0">
      <items count="398">
        <item x="382"/>
        <item x="144"/>
        <item x="340"/>
        <item x="376"/>
        <item x="216"/>
        <item x="269"/>
        <item x="57"/>
        <item x="124"/>
        <item x="117"/>
        <item x="127"/>
        <item x="238"/>
        <item x="8"/>
        <item x="155"/>
        <item x="87"/>
        <item x="211"/>
        <item x="369"/>
        <item x="153"/>
        <item x="141"/>
        <item x="4"/>
        <item x="122"/>
        <item x="239"/>
        <item x="132"/>
        <item x="357"/>
        <item x="165"/>
        <item x="247"/>
        <item x="326"/>
        <item x="321"/>
        <item x="295"/>
        <item x="255"/>
        <item x="314"/>
        <item x="151"/>
        <item x="275"/>
        <item x="219"/>
        <item x="195"/>
        <item x="121"/>
        <item x="292"/>
        <item x="162"/>
        <item x="308"/>
        <item x="78"/>
        <item x="130"/>
        <item x="296"/>
        <item x="318"/>
        <item x="217"/>
        <item x="336"/>
        <item x="272"/>
        <item x="214"/>
        <item x="202"/>
        <item x="388"/>
        <item x="179"/>
        <item x="29"/>
        <item x="205"/>
        <item x="312"/>
        <item x="3"/>
        <item x="232"/>
        <item x="94"/>
        <item x="298"/>
        <item x="354"/>
        <item x="194"/>
        <item x="303"/>
        <item x="229"/>
        <item x="263"/>
        <item x="170"/>
        <item x="90"/>
        <item x="344"/>
        <item x="79"/>
        <item x="230"/>
        <item x="237"/>
        <item x="294"/>
        <item x="244"/>
        <item x="119"/>
        <item x="278"/>
        <item x="291"/>
        <item x="200"/>
        <item x="37"/>
        <item x="254"/>
        <item x="320"/>
        <item x="0"/>
        <item x="118"/>
        <item x="142"/>
        <item x="52"/>
        <item x="242"/>
        <item x="128"/>
        <item x="113"/>
        <item x="257"/>
        <item x="316"/>
        <item x="222"/>
        <item x="51"/>
        <item x="383"/>
        <item x="297"/>
        <item x="112"/>
        <item x="351"/>
        <item x="213"/>
        <item x="24"/>
        <item x="284"/>
        <item x="1"/>
        <item x="72"/>
        <item x="54"/>
        <item x="317"/>
        <item x="106"/>
        <item x="83"/>
        <item x="273"/>
        <item x="103"/>
        <item x="203"/>
        <item x="158"/>
        <item x="368"/>
        <item x="290"/>
        <item x="111"/>
        <item x="249"/>
        <item x="157"/>
        <item x="231"/>
        <item x="108"/>
        <item x="137"/>
        <item x="61"/>
        <item x="114"/>
        <item x="140"/>
        <item x="264"/>
        <item x="35"/>
        <item x="182"/>
        <item x="330"/>
        <item x="225"/>
        <item x="45"/>
        <item x="12"/>
        <item x="283"/>
        <item x="212"/>
        <item x="387"/>
        <item x="13"/>
        <item x="75"/>
        <item x="378"/>
        <item x="301"/>
        <item x="105"/>
        <item x="191"/>
        <item x="20"/>
        <item x="313"/>
        <item x="258"/>
        <item x="135"/>
        <item x="86"/>
        <item x="224"/>
        <item x="92"/>
        <item x="248"/>
        <item x="389"/>
        <item x="395"/>
        <item x="306"/>
        <item x="39"/>
        <item x="47"/>
        <item x="16"/>
        <item x="334"/>
        <item x="241"/>
        <item x="136"/>
        <item x="265"/>
        <item x="55"/>
        <item x="348"/>
        <item x="218"/>
        <item x="315"/>
        <item x="323"/>
        <item x="150"/>
        <item x="367"/>
        <item x="6"/>
        <item x="96"/>
        <item x="66"/>
        <item x="304"/>
        <item x="31"/>
        <item x="332"/>
        <item x="393"/>
        <item x="5"/>
        <item x="161"/>
        <item x="311"/>
        <item x="49"/>
        <item x="25"/>
        <item x="123"/>
        <item x="380"/>
        <item x="209"/>
        <item x="282"/>
        <item x="271"/>
        <item x="80"/>
        <item x="226"/>
        <item x="371"/>
        <item x="370"/>
        <item x="188"/>
        <item x="223"/>
        <item x="145"/>
        <item x="187"/>
        <item x="341"/>
        <item x="270"/>
        <item x="329"/>
        <item x="82"/>
        <item x="40"/>
        <item x="300"/>
        <item x="32"/>
        <item x="342"/>
        <item x="189"/>
        <item x="252"/>
        <item x="139"/>
        <item x="365"/>
        <item x="63"/>
        <item x="101"/>
        <item x="102"/>
        <item x="185"/>
        <item x="350"/>
        <item x="98"/>
        <item x="148"/>
        <item x="36"/>
        <item x="251"/>
        <item x="68"/>
        <item x="335"/>
        <item x="366"/>
        <item x="208"/>
        <item x="346"/>
        <item x="30"/>
        <item x="41"/>
        <item x="44"/>
        <item x="347"/>
        <item x="147"/>
        <item x="168"/>
        <item x="110"/>
        <item x="126"/>
        <item x="10"/>
        <item x="33"/>
        <item x="175"/>
        <item x="107"/>
        <item x="392"/>
        <item x="169"/>
        <item x="120"/>
        <item x="27"/>
        <item x="156"/>
        <item x="97"/>
        <item x="328"/>
        <item x="48"/>
        <item x="62"/>
        <item x="23"/>
        <item x="235"/>
        <item x="18"/>
        <item x="322"/>
        <item x="60"/>
        <item x="352"/>
        <item x="293"/>
        <item x="215"/>
        <item x="221"/>
        <item x="299"/>
        <item x="95"/>
        <item x="109"/>
        <item x="166"/>
        <item x="201"/>
        <item x="93"/>
        <item x="198"/>
        <item x="333"/>
        <item x="199"/>
        <item x="394"/>
        <item x="88"/>
        <item x="373"/>
        <item x="89"/>
        <item x="280"/>
        <item x="15"/>
        <item x="204"/>
        <item x="375"/>
        <item x="67"/>
        <item x="396"/>
        <item x="250"/>
        <item x="77"/>
        <item x="186"/>
        <item x="246"/>
        <item x="363"/>
        <item x="234"/>
        <item x="266"/>
        <item x="384"/>
        <item x="149"/>
        <item x="172"/>
        <item x="99"/>
        <item x="377"/>
        <item x="192"/>
        <item x="305"/>
        <item x="207"/>
        <item x="177"/>
        <item x="160"/>
        <item x="360"/>
        <item x="152"/>
        <item x="268"/>
        <item x="243"/>
        <item x="173"/>
        <item x="159"/>
        <item x="134"/>
        <item x="71"/>
        <item x="379"/>
        <item x="125"/>
        <item x="240"/>
        <item x="73"/>
        <item x="21"/>
        <item x="220"/>
        <item x="331"/>
        <item x="43"/>
        <item x="206"/>
        <item x="310"/>
        <item x="138"/>
        <item x="22"/>
        <item x="381"/>
        <item x="38"/>
        <item x="324"/>
        <item x="28"/>
        <item x="307"/>
        <item x="50"/>
        <item x="7"/>
        <item x="287"/>
        <item x="327"/>
        <item x="171"/>
        <item x="58"/>
        <item x="178"/>
        <item x="285"/>
        <item x="391"/>
        <item x="345"/>
        <item x="267"/>
        <item x="343"/>
        <item x="181"/>
        <item x="261"/>
        <item x="46"/>
        <item x="390"/>
        <item x="302"/>
        <item x="385"/>
        <item x="262"/>
        <item x="361"/>
        <item x="210"/>
        <item x="338"/>
        <item x="372"/>
        <item x="84"/>
        <item x="355"/>
        <item x="42"/>
        <item x="288"/>
        <item x="276"/>
        <item x="197"/>
        <item x="176"/>
        <item x="279"/>
        <item x="116"/>
        <item x="167"/>
        <item x="19"/>
        <item x="76"/>
        <item x="154"/>
        <item x="362"/>
        <item x="53"/>
        <item x="64"/>
        <item x="85"/>
        <item x="325"/>
        <item x="337"/>
        <item x="11"/>
        <item x="65"/>
        <item x="183"/>
        <item x="339"/>
        <item x="319"/>
        <item x="164"/>
        <item x="359"/>
        <item x="227"/>
        <item x="349"/>
        <item x="115"/>
        <item x="253"/>
        <item x="2"/>
        <item x="277"/>
        <item x="129"/>
        <item x="174"/>
        <item x="81"/>
        <item x="259"/>
        <item x="196"/>
        <item x="70"/>
        <item x="281"/>
        <item x="17"/>
        <item x="56"/>
        <item x="256"/>
        <item x="34"/>
        <item x="374"/>
        <item x="193"/>
        <item x="133"/>
        <item x="286"/>
        <item x="245"/>
        <item x="143"/>
        <item x="69"/>
        <item x="184"/>
        <item x="26"/>
        <item x="74"/>
        <item x="236"/>
        <item x="386"/>
        <item x="353"/>
        <item x="131"/>
        <item x="260"/>
        <item x="309"/>
        <item x="358"/>
        <item x="14"/>
        <item x="274"/>
        <item x="356"/>
        <item x="180"/>
        <item x="59"/>
        <item x="228"/>
        <item x="104"/>
        <item x="91"/>
        <item x="163"/>
        <item x="146"/>
        <item x="100"/>
        <item x="364"/>
        <item x="190"/>
        <item x="289"/>
        <item x="233"/>
        <item x="9"/>
        <item t="default"/>
      </items>
    </pivotField>
    <pivotField axis="axisPage" compact="0" multipleItemSelectionAllowed="1" showAll="0">
      <items count="4">
        <item x="0"/>
        <item h="1" x="1"/>
        <item h="1" x="2"/>
        <item t="default"/>
      </items>
    </pivotField>
    <pivotField axis="axisPage" compact="0" multipleItemSelectionAllowed="1" showAll="0">
      <items count="2">
        <item x="0"/>
        <item t="default"/>
      </items>
    </pivotField>
    <pivotField axis="axisRow" compact="0" multipleItemSelectionAllowed="1" showAll="0">
      <items count="190">
        <item x="59"/>
        <item x="166"/>
        <item x="112"/>
        <item x="125"/>
        <item x="81"/>
        <item x="82"/>
        <item x="153"/>
        <item x="118"/>
        <item x="109"/>
        <item x="34"/>
        <item x="89"/>
        <item x="185"/>
        <item x="186"/>
        <item x="78"/>
        <item x="41"/>
        <item x="172"/>
        <item x="151"/>
        <item x="71"/>
        <item x="39"/>
        <item x="184"/>
        <item x="140"/>
        <item x="105"/>
        <item x="51"/>
        <item x="143"/>
        <item x="72"/>
        <item x="35"/>
        <item x="142"/>
        <item x="22"/>
        <item x="74"/>
        <item x="138"/>
        <item x="77"/>
        <item x="29"/>
        <item x="38"/>
        <item x="3"/>
        <item x="116"/>
        <item x="150"/>
        <item x="61"/>
        <item x="130"/>
        <item x="27"/>
        <item x="60"/>
        <item x="96"/>
        <item x="66"/>
        <item x="18"/>
        <item x="65"/>
        <item x="28"/>
        <item x="16"/>
        <item x="188"/>
        <item x="50"/>
        <item x="156"/>
        <item x="148"/>
        <item x="54"/>
        <item x="168"/>
        <item x="115"/>
        <item x="159"/>
        <item x="2"/>
        <item x="5"/>
        <item x="47"/>
        <item x="9"/>
        <item x="164"/>
        <item x="107"/>
        <item x="23"/>
        <item x="119"/>
        <item x="55"/>
        <item x="120"/>
        <item x="124"/>
        <item x="129"/>
        <item x="83"/>
        <item x="179"/>
        <item x="57"/>
        <item x="92"/>
        <item x="0"/>
        <item x="187"/>
        <item x="86"/>
        <item x="146"/>
        <item x="12"/>
        <item x="101"/>
        <item x="114"/>
        <item x="44"/>
        <item x="75"/>
        <item x="25"/>
        <item x="108"/>
        <item x="177"/>
        <item x="154"/>
        <item x="121"/>
        <item x="69"/>
        <item x="80"/>
        <item x="152"/>
        <item x="128"/>
        <item x="180"/>
        <item x="98"/>
        <item x="182"/>
        <item x="104"/>
        <item x="88"/>
        <item x="161"/>
        <item x="113"/>
        <item x="85"/>
        <item x="160"/>
        <item x="1"/>
        <item x="103"/>
        <item x="90"/>
        <item x="6"/>
        <item x="91"/>
        <item x="126"/>
        <item x="64"/>
        <item x="15"/>
        <item x="26"/>
        <item x="123"/>
        <item x="100"/>
        <item x="158"/>
        <item x="31"/>
        <item x="133"/>
        <item x="53"/>
        <item x="122"/>
        <item x="73"/>
        <item x="145"/>
        <item x="87"/>
        <item x="174"/>
        <item x="14"/>
        <item x="19"/>
        <item x="163"/>
        <item x="106"/>
        <item x="20"/>
        <item x="46"/>
        <item x="110"/>
        <item x="165"/>
        <item x="147"/>
        <item x="175"/>
        <item x="155"/>
        <item x="11"/>
        <item x="36"/>
        <item x="144"/>
        <item x="111"/>
        <item x="117"/>
        <item x="45"/>
        <item x="95"/>
        <item x="97"/>
        <item x="10"/>
        <item x="42"/>
        <item x="135"/>
        <item x="32"/>
        <item x="94"/>
        <item x="56"/>
        <item x="181"/>
        <item x="13"/>
        <item x="102"/>
        <item x="169"/>
        <item x="30"/>
        <item x="134"/>
        <item x="43"/>
        <item x="171"/>
        <item x="63"/>
        <item x="33"/>
        <item x="178"/>
        <item x="84"/>
        <item x="127"/>
        <item x="162"/>
        <item x="52"/>
        <item x="70"/>
        <item x="8"/>
        <item x="49"/>
        <item x="157"/>
        <item x="68"/>
        <item x="48"/>
        <item x="4"/>
        <item x="136"/>
        <item x="24"/>
        <item x="76"/>
        <item x="67"/>
        <item x="79"/>
        <item x="167"/>
        <item x="170"/>
        <item x="149"/>
        <item x="21"/>
        <item x="93"/>
        <item x="139"/>
        <item x="37"/>
        <item x="132"/>
        <item x="137"/>
        <item x="173"/>
        <item x="131"/>
        <item x="99"/>
        <item x="176"/>
        <item x="141"/>
        <item x="7"/>
        <item x="58"/>
        <item x="17"/>
        <item x="62"/>
        <item x="40"/>
        <item x="183"/>
        <item t="default"/>
      </items>
    </pivotField>
    <pivotField axis="axisRow" compact="0" multipleItemSelectionAllowed="1" showAll="0">
      <items count="44">
        <item x="19"/>
        <item x="16"/>
        <item x="36"/>
        <item x="1"/>
        <item x="22"/>
        <item x="29"/>
        <item x="13"/>
        <item x="40"/>
        <item x="2"/>
        <item x="32"/>
        <item x="10"/>
        <item x="14"/>
        <item x="23"/>
        <item x="0"/>
        <item x="28"/>
        <item x="42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24"/>
        <item x="26"/>
        <item x="21"/>
        <item x="9"/>
        <item x="34"/>
        <item x="20"/>
        <item x="18"/>
        <item x="5"/>
        <item x="7"/>
        <item x="41"/>
        <item x="17"/>
        <item x="4"/>
        <item x="6"/>
        <item t="default"/>
      </items>
    </pivotField>
    <pivotField axis="axisRow" compact="0" multipleItemSelectionAllowed="1" showAll="0">
      <items count="242">
        <item x="128"/>
        <item x="111"/>
        <item x="117"/>
        <item x="122"/>
        <item x="208"/>
        <item x="238"/>
        <item x="113"/>
        <item x="211"/>
        <item x="69"/>
        <item x="204"/>
        <item x="170"/>
        <item x="73"/>
        <item x="98"/>
        <item x="103"/>
        <item x="92"/>
        <item x="100"/>
        <item x="206"/>
        <item x="29"/>
        <item x="164"/>
        <item x="23"/>
        <item x="45"/>
        <item x="184"/>
        <item x="131"/>
        <item x="187"/>
        <item x="140"/>
        <item x="24"/>
        <item x="135"/>
        <item x="144"/>
        <item x="207"/>
        <item x="181"/>
        <item x="74"/>
        <item x="63"/>
        <item x="11"/>
        <item x="105"/>
        <item x="49"/>
        <item x="21"/>
        <item x="225"/>
        <item x="233"/>
        <item x="209"/>
        <item x="28"/>
        <item x="101"/>
        <item x="212"/>
        <item x="180"/>
        <item x="195"/>
        <item x="220"/>
        <item x="179"/>
        <item x="182"/>
        <item x="91"/>
        <item x="35"/>
        <item x="234"/>
        <item x="4"/>
        <item x="132"/>
        <item x="43"/>
        <item x="124"/>
        <item x="222"/>
        <item x="196"/>
        <item x="37"/>
        <item x="148"/>
        <item x="166"/>
        <item x="112"/>
        <item x="183"/>
        <item x="133"/>
        <item x="18"/>
        <item x="186"/>
        <item x="118"/>
        <item x="123"/>
        <item x="2"/>
        <item x="96"/>
        <item x="219"/>
        <item x="85"/>
        <item x="104"/>
        <item x="152"/>
        <item x="33"/>
        <item x="153"/>
        <item x="78"/>
        <item x="239"/>
        <item x="108"/>
        <item x="48"/>
        <item x="31"/>
        <item x="84"/>
        <item x="129"/>
        <item x="175"/>
        <item x="126"/>
        <item x="202"/>
        <item x="0"/>
        <item x="82"/>
        <item x="55"/>
        <item x="163"/>
        <item x="47"/>
        <item x="213"/>
        <item x="203"/>
        <item x="177"/>
        <item x="81"/>
        <item x="75"/>
        <item x="72"/>
        <item x="93"/>
        <item x="228"/>
        <item x="157"/>
        <item x="22"/>
        <item x="134"/>
        <item x="229"/>
        <item x="165"/>
        <item x="99"/>
        <item x="190"/>
        <item x="20"/>
        <item x="130"/>
        <item x="185"/>
        <item x="83"/>
        <item x="151"/>
        <item x="169"/>
        <item x="80"/>
        <item x="30"/>
        <item x="193"/>
        <item x="46"/>
        <item x="223"/>
        <item x="56"/>
        <item x="201"/>
        <item x="7"/>
        <item x="156"/>
        <item x="240"/>
        <item x="191"/>
        <item x="87"/>
        <item x="41"/>
        <item x="19"/>
        <item x="39"/>
        <item x="38"/>
        <item x="150"/>
        <item x="138"/>
        <item x="235"/>
        <item x="189"/>
        <item x="44"/>
        <item x="173"/>
        <item x="17"/>
        <item x="26"/>
        <item x="36"/>
        <item x="155"/>
        <item x="120"/>
        <item x="50"/>
        <item x="116"/>
        <item x="67"/>
        <item x="227"/>
        <item x="53"/>
        <item x="149"/>
        <item x="226"/>
        <item x="10"/>
        <item x="198"/>
        <item x="192"/>
        <item x="68"/>
        <item x="145"/>
        <item x="61"/>
        <item x="136"/>
        <item x="210"/>
        <item x="70"/>
        <item x="15"/>
        <item x="176"/>
        <item x="162"/>
        <item x="77"/>
        <item x="178"/>
        <item x="174"/>
        <item x="6"/>
        <item x="230"/>
        <item x="66"/>
        <item x="16"/>
        <item x="32"/>
        <item x="14"/>
        <item x="143"/>
        <item x="89"/>
        <item x="161"/>
        <item x="65"/>
        <item x="114"/>
        <item x="217"/>
        <item x="110"/>
        <item x="139"/>
        <item x="102"/>
        <item x="42"/>
        <item x="127"/>
        <item x="147"/>
        <item x="76"/>
        <item x="97"/>
        <item x="109"/>
        <item x="12"/>
        <item x="8"/>
        <item x="51"/>
        <item x="154"/>
        <item x="27"/>
        <item x="57"/>
        <item x="237"/>
        <item x="171"/>
        <item x="115"/>
        <item x="214"/>
        <item x="231"/>
        <item x="64"/>
        <item x="121"/>
        <item x="25"/>
        <item x="141"/>
        <item x="3"/>
        <item x="1"/>
        <item x="62"/>
        <item x="13"/>
        <item x="95"/>
        <item x="216"/>
        <item x="79"/>
        <item x="106"/>
        <item x="54"/>
        <item x="142"/>
        <item x="88"/>
        <item x="218"/>
        <item x="188"/>
        <item x="107"/>
        <item x="71"/>
        <item x="215"/>
        <item x="197"/>
        <item x="221"/>
        <item x="146"/>
        <item x="125"/>
        <item x="168"/>
        <item x="200"/>
        <item x="158"/>
        <item x="194"/>
        <item x="205"/>
        <item x="9"/>
        <item x="94"/>
        <item x="34"/>
        <item x="90"/>
        <item x="137"/>
        <item x="167"/>
        <item x="86"/>
        <item x="58"/>
        <item x="52"/>
        <item x="40"/>
        <item x="160"/>
        <item x="232"/>
        <item x="199"/>
        <item x="5"/>
        <item x="59"/>
        <item x="60"/>
        <item x="119"/>
        <item x="159"/>
        <item x="224"/>
        <item x="172"/>
        <item x="236"/>
        <item t="default"/>
      </items>
    </pivotField>
    <pivotField axis="axisPage" compact="0" multipleItemSelectionAllowed="1" showAll="0">
      <items count="5">
        <item x="2"/>
        <item x="3"/>
        <item x="0"/>
        <item x="1"/>
        <item t="default"/>
      </items>
    </pivotField>
    <pivotField compact="0" showAll="0">
      <items count="464">
        <item x="0"/>
        <item x="151"/>
        <item x="88"/>
        <item x="203"/>
        <item x="389"/>
        <item x="461"/>
        <item x="292"/>
        <item x="449"/>
        <item x="13"/>
        <item x="183"/>
        <item x="198"/>
        <item x="32"/>
        <item x="227"/>
        <item x="350"/>
        <item x="39"/>
        <item x="27"/>
        <item x="281"/>
        <item x="269"/>
        <item x="238"/>
        <item x="199"/>
        <item x="327"/>
        <item x="140"/>
        <item x="337"/>
        <item x="11"/>
        <item x="108"/>
        <item x="414"/>
        <item x="225"/>
        <item x="192"/>
        <item x="324"/>
        <item x="251"/>
        <item x="59"/>
        <item x="417"/>
        <item x="331"/>
        <item x="81"/>
        <item x="263"/>
        <item x="103"/>
        <item x="178"/>
        <item x="301"/>
        <item x="201"/>
        <item x="194"/>
        <item x="264"/>
        <item x="306"/>
        <item x="193"/>
        <item x="228"/>
        <item x="67"/>
        <item x="271"/>
        <item x="45"/>
        <item x="272"/>
        <item x="341"/>
        <item x="411"/>
        <item x="220"/>
        <item x="376"/>
        <item x="450"/>
        <item x="3"/>
        <item x="137"/>
        <item x="424"/>
        <item x="136"/>
        <item x="53"/>
        <item x="278"/>
        <item x="403"/>
        <item x="143"/>
        <item x="58"/>
        <item x="427"/>
        <item x="302"/>
        <item x="111"/>
        <item x="132"/>
        <item x="285"/>
        <item x="202"/>
        <item x="96"/>
        <item x="239"/>
        <item x="284"/>
        <item x="34"/>
        <item x="184"/>
        <item x="295"/>
        <item x="402"/>
        <item x="261"/>
        <item x="358"/>
        <item x="433"/>
        <item x="371"/>
        <item x="293"/>
        <item x="338"/>
        <item x="129"/>
        <item x="406"/>
        <item x="323"/>
        <item x="182"/>
        <item x="64"/>
        <item x="460"/>
        <item x="305"/>
        <item x="2"/>
        <item x="162"/>
        <item x="317"/>
        <item x="391"/>
        <item x="196"/>
        <item x="105"/>
        <item x="56"/>
        <item x="215"/>
        <item x="401"/>
        <item x="131"/>
        <item x="313"/>
        <item x="296"/>
        <item x="125"/>
        <item x="425"/>
        <item x="94"/>
        <item x="60"/>
        <item x="158"/>
        <item x="69"/>
        <item x="47"/>
        <item x="339"/>
        <item x="159"/>
        <item x="288"/>
        <item x="79"/>
        <item x="66"/>
        <item x="152"/>
        <item x="299"/>
        <item x="233"/>
        <item x="265"/>
        <item x="35"/>
        <item x="113"/>
        <item x="6"/>
        <item x="280"/>
        <item x="276"/>
        <item x="200"/>
        <item x="80"/>
        <item x="95"/>
        <item x="244"/>
        <item x="174"/>
        <item x="287"/>
        <item x="254"/>
        <item x="415"/>
        <item x="149"/>
        <item x="435"/>
        <item x="10"/>
        <item x="186"/>
        <item x="54"/>
        <item x="195"/>
        <item x="394"/>
        <item x="65"/>
        <item x="102"/>
        <item x="375"/>
        <item x="428"/>
        <item x="71"/>
        <item x="180"/>
        <item x="219"/>
        <item x="439"/>
        <item x="342"/>
        <item x="82"/>
        <item x="286"/>
        <item x="404"/>
        <item x="36"/>
        <item x="360"/>
        <item x="28"/>
        <item x="135"/>
        <item x="351"/>
        <item x="208"/>
        <item x="9"/>
        <item x="459"/>
        <item x="343"/>
        <item x="139"/>
        <item x="248"/>
        <item x="326"/>
        <item x="173"/>
        <item x="242"/>
        <item x="117"/>
        <item x="133"/>
        <item x="221"/>
        <item x="150"/>
        <item x="253"/>
        <item x="177"/>
        <item x="77"/>
        <item x="355"/>
        <item x="90"/>
        <item x="164"/>
        <item x="42"/>
        <item x="330"/>
        <item x="165"/>
        <item x="456"/>
        <item x="407"/>
        <item x="430"/>
        <item x="92"/>
        <item x="237"/>
        <item x="367"/>
        <item x="335"/>
        <item x="266"/>
        <item x="453"/>
        <item x="189"/>
        <item x="127"/>
        <item x="258"/>
        <item x="325"/>
        <item x="352"/>
        <item x="134"/>
        <item x="379"/>
        <item x="328"/>
        <item x="356"/>
        <item x="332"/>
        <item x="12"/>
        <item x="303"/>
        <item x="218"/>
        <item x="104"/>
        <item x="46"/>
        <item x="399"/>
        <item x="458"/>
        <item x="85"/>
        <item x="146"/>
        <item x="156"/>
        <item x="270"/>
        <item x="412"/>
        <item x="377"/>
        <item x="262"/>
        <item x="204"/>
        <item x="154"/>
        <item x="231"/>
        <item x="217"/>
        <item x="448"/>
        <item x="61"/>
        <item x="289"/>
        <item x="147"/>
        <item x="300"/>
        <item x="446"/>
        <item x="315"/>
        <item x="57"/>
        <item x="5"/>
        <item x="434"/>
        <item x="372"/>
        <item x="366"/>
        <item x="418"/>
        <item x="167"/>
        <item x="373"/>
        <item x="76"/>
        <item x="416"/>
        <item x="455"/>
        <item x="33"/>
        <item x="23"/>
        <item x="168"/>
        <item x="232"/>
        <item x="187"/>
        <item x="142"/>
        <item x="30"/>
        <item x="385"/>
        <item x="44"/>
        <item x="124"/>
        <item x="329"/>
        <item x="37"/>
        <item x="383"/>
        <item x="308"/>
        <item x="298"/>
        <item x="408"/>
        <item x="216"/>
        <item x="89"/>
        <item x="75"/>
        <item x="422"/>
        <item x="16"/>
        <item x="429"/>
        <item x="441"/>
        <item x="419"/>
        <item x="24"/>
        <item x="148"/>
        <item x="101"/>
        <item x="55"/>
        <item x="141"/>
        <item x="349"/>
        <item x="224"/>
        <item x="128"/>
        <item x="277"/>
        <item x="245"/>
        <item x="118"/>
        <item x="240"/>
        <item x="1"/>
        <item x="444"/>
        <item x="386"/>
        <item x="153"/>
        <item x="243"/>
        <item x="334"/>
        <item x="409"/>
        <item x="72"/>
        <item x="312"/>
        <item x="210"/>
        <item x="410"/>
        <item x="364"/>
        <item x="321"/>
        <item x="100"/>
        <item x="365"/>
        <item x="344"/>
        <item x="176"/>
        <item x="336"/>
        <item x="14"/>
        <item x="397"/>
        <item x="346"/>
        <item x="398"/>
        <item x="126"/>
        <item x="29"/>
        <item x="78"/>
        <item x="123"/>
        <item x="432"/>
        <item x="361"/>
        <item x="431"/>
        <item x="259"/>
        <item x="423"/>
        <item x="353"/>
        <item x="381"/>
        <item x="396"/>
        <item x="370"/>
        <item x="297"/>
        <item x="63"/>
        <item x="275"/>
        <item x="172"/>
        <item x="70"/>
        <item x="309"/>
        <item x="155"/>
        <item x="130"/>
        <item x="445"/>
        <item x="395"/>
        <item x="191"/>
        <item x="384"/>
        <item x="4"/>
        <item x="319"/>
        <item x="106"/>
        <item x="122"/>
        <item x="93"/>
        <item x="73"/>
        <item x="388"/>
        <item x="157"/>
        <item x="43"/>
        <item x="48"/>
        <item x="107"/>
        <item x="320"/>
        <item x="393"/>
        <item x="368"/>
        <item x="345"/>
        <item x="179"/>
        <item x="279"/>
        <item x="340"/>
        <item x="49"/>
        <item x="205"/>
        <item x="304"/>
        <item x="426"/>
        <item x="400"/>
        <item x="413"/>
        <item x="369"/>
        <item x="247"/>
        <item x="109"/>
        <item x="31"/>
        <item x="160"/>
        <item x="421"/>
        <item x="8"/>
        <item x="273"/>
        <item x="25"/>
        <item x="98"/>
        <item x="310"/>
        <item x="169"/>
        <item x="110"/>
        <item x="374"/>
        <item x="230"/>
        <item x="87"/>
        <item x="91"/>
        <item x="452"/>
        <item x="257"/>
        <item x="282"/>
        <item x="171"/>
        <item x="21"/>
        <item x="241"/>
        <item x="213"/>
        <item x="267"/>
        <item x="447"/>
        <item x="382"/>
        <item x="318"/>
        <item x="378"/>
        <item x="206"/>
        <item x="249"/>
        <item x="120"/>
        <item x="19"/>
        <item x="188"/>
        <item x="41"/>
        <item x="83"/>
        <item x="18"/>
        <item x="38"/>
        <item x="119"/>
        <item x="7"/>
        <item x="226"/>
        <item x="362"/>
        <item x="440"/>
        <item x="170"/>
        <item x="255"/>
        <item x="283"/>
        <item x="250"/>
        <item x="307"/>
        <item x="175"/>
        <item x="20"/>
        <item x="112"/>
        <item x="359"/>
        <item x="52"/>
        <item x="380"/>
        <item x="214"/>
        <item x="99"/>
        <item x="311"/>
        <item x="234"/>
        <item x="209"/>
        <item x="236"/>
        <item x="50"/>
        <item x="363"/>
        <item x="197"/>
        <item x="40"/>
        <item x="22"/>
        <item x="294"/>
        <item x="86"/>
        <item x="347"/>
        <item x="392"/>
        <item x="268"/>
        <item x="457"/>
        <item x="420"/>
        <item x="462"/>
        <item x="348"/>
        <item x="51"/>
        <item x="121"/>
        <item x="74"/>
        <item x="274"/>
        <item x="291"/>
        <item x="181"/>
        <item x="116"/>
        <item x="26"/>
        <item x="161"/>
        <item x="436"/>
        <item x="316"/>
        <item x="222"/>
        <item x="185"/>
        <item x="114"/>
        <item x="163"/>
        <item x="190"/>
        <item x="290"/>
        <item x="314"/>
        <item x="260"/>
        <item x="207"/>
        <item x="68"/>
        <item x="212"/>
        <item x="229"/>
        <item x="437"/>
        <item x="211"/>
        <item x="256"/>
        <item x="115"/>
        <item x="390"/>
        <item x="333"/>
        <item x="357"/>
        <item x="443"/>
        <item x="97"/>
        <item x="438"/>
        <item x="235"/>
        <item x="62"/>
        <item x="354"/>
        <item x="138"/>
        <item x="246"/>
        <item x="405"/>
        <item x="166"/>
        <item x="84"/>
        <item x="223"/>
        <item x="144"/>
        <item x="252"/>
        <item x="322"/>
        <item x="454"/>
        <item x="17"/>
        <item x="442"/>
        <item x="451"/>
        <item x="387"/>
        <item x="145"/>
        <item x="15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18">
        <item x="12"/>
        <item x="6"/>
        <item x="8"/>
        <item x="5"/>
        <item x="0"/>
        <item x="9"/>
        <item x="16"/>
        <item x="11"/>
        <item x="13"/>
        <item x="3"/>
        <item x="1"/>
        <item x="14"/>
        <item x="4"/>
        <item x="10"/>
        <item x="7"/>
        <item x="15"/>
        <item x="2"/>
        <item t="default"/>
      </items>
    </pivotField>
    <pivotField compact="0" showAll="0">
      <items count="462">
        <item x="297"/>
        <item x="16"/>
        <item x="35"/>
        <item x="284"/>
        <item x="169"/>
        <item x="277"/>
        <item x="200"/>
        <item x="45"/>
        <item x="144"/>
        <item x="81"/>
        <item x="327"/>
        <item x="397"/>
        <item x="371"/>
        <item x="266"/>
        <item x="378"/>
        <item x="414"/>
        <item x="454"/>
        <item x="170"/>
        <item x="306"/>
        <item x="255"/>
        <item x="282"/>
        <item x="79"/>
        <item x="318"/>
        <item x="352"/>
        <item x="368"/>
        <item x="121"/>
        <item x="19"/>
        <item x="348"/>
        <item x="24"/>
        <item x="128"/>
        <item x="240"/>
        <item x="245"/>
        <item x="210"/>
        <item x="193"/>
        <item x="432"/>
        <item x="180"/>
        <item x="123"/>
        <item x="380"/>
        <item x="165"/>
        <item x="258"/>
        <item x="63"/>
        <item x="379"/>
        <item x="211"/>
        <item x="58"/>
        <item x="138"/>
        <item x="145"/>
        <item x="85"/>
        <item x="89"/>
        <item x="385"/>
        <item x="243"/>
        <item x="320"/>
        <item x="363"/>
        <item x="364"/>
        <item x="442"/>
        <item x="333"/>
        <item x="101"/>
        <item x="311"/>
        <item x="73"/>
        <item x="153"/>
        <item x="30"/>
        <item x="334"/>
        <item x="61"/>
        <item x="407"/>
        <item x="288"/>
        <item x="173"/>
        <item x="48"/>
        <item x="86"/>
        <item x="237"/>
        <item x="446"/>
        <item x="119"/>
        <item x="215"/>
        <item x="338"/>
        <item x="70"/>
        <item x="152"/>
        <item x="353"/>
        <item x="313"/>
        <item x="265"/>
        <item x="423"/>
        <item x="60"/>
        <item x="399"/>
        <item x="126"/>
        <item x="178"/>
        <item x="413"/>
        <item x="78"/>
        <item x="444"/>
        <item x="91"/>
        <item x="374"/>
        <item x="150"/>
        <item x="298"/>
        <item x="350"/>
        <item x="354"/>
        <item x="139"/>
        <item x="95"/>
        <item x="131"/>
        <item x="2"/>
        <item x="177"/>
        <item x="106"/>
        <item x="291"/>
        <item x="203"/>
        <item x="0"/>
        <item x="459"/>
        <item x="387"/>
        <item x="328"/>
        <item x="190"/>
        <item x="222"/>
        <item x="324"/>
        <item x="299"/>
        <item x="204"/>
        <item x="232"/>
        <item x="262"/>
        <item x="309"/>
        <item x="304"/>
        <item x="196"/>
        <item x="316"/>
        <item x="116"/>
        <item x="246"/>
        <item x="207"/>
        <item x="332"/>
        <item x="436"/>
        <item x="217"/>
        <item x="136"/>
        <item x="23"/>
        <item x="408"/>
        <item x="184"/>
        <item x="164"/>
        <item x="289"/>
        <item x="409"/>
        <item x="375"/>
        <item x="261"/>
        <item x="300"/>
        <item x="448"/>
        <item x="92"/>
        <item x="373"/>
        <item x="400"/>
        <item x="137"/>
        <item x="186"/>
        <item x="325"/>
        <item x="359"/>
        <item x="457"/>
        <item x="140"/>
        <item x="14"/>
        <item x="205"/>
        <item x="33"/>
        <item x="273"/>
        <item x="112"/>
        <item x="272"/>
        <item x="97"/>
        <item x="458"/>
        <item x="431"/>
        <item x="18"/>
        <item x="202"/>
        <item x="422"/>
        <item x="34"/>
        <item x="3"/>
        <item x="226"/>
        <item x="41"/>
        <item x="377"/>
        <item x="340"/>
        <item x="201"/>
        <item x="132"/>
        <item x="322"/>
        <item x="234"/>
        <item x="185"/>
        <item x="114"/>
        <item x="96"/>
        <item x="233"/>
        <item x="276"/>
        <item x="337"/>
        <item x="220"/>
        <item x="135"/>
        <item x="450"/>
        <item x="47"/>
        <item x="355"/>
        <item x="376"/>
        <item x="213"/>
        <item x="5"/>
        <item x="416"/>
        <item x="111"/>
        <item x="8"/>
        <item x="419"/>
        <item x="254"/>
        <item x="381"/>
        <item x="438"/>
        <item x="44"/>
        <item x="425"/>
        <item x="134"/>
        <item x="57"/>
        <item x="314"/>
        <item x="366"/>
        <item x="105"/>
        <item x="428"/>
        <item x="187"/>
        <item x="351"/>
        <item x="302"/>
        <item x="127"/>
        <item x="331"/>
        <item x="15"/>
        <item x="194"/>
        <item x="349"/>
        <item x="225"/>
        <item x="59"/>
        <item x="11"/>
        <item x="192"/>
        <item x="198"/>
        <item x="109"/>
        <item x="104"/>
        <item x="263"/>
        <item x="62"/>
        <item x="280"/>
        <item x="27"/>
        <item x="281"/>
        <item x="21"/>
        <item x="329"/>
        <item x="315"/>
        <item x="32"/>
        <item x="159"/>
        <item x="6"/>
        <item x="25"/>
        <item x="415"/>
        <item x="323"/>
        <item x="199"/>
        <item x="238"/>
        <item x="326"/>
        <item x="183"/>
        <item x="162"/>
        <item x="56"/>
        <item x="287"/>
        <item x="257"/>
        <item x="239"/>
        <item x="129"/>
        <item x="301"/>
        <item x="65"/>
        <item x="28"/>
        <item x="54"/>
        <item x="356"/>
        <item x="252"/>
        <item x="142"/>
        <item x="293"/>
        <item x="274"/>
        <item x="22"/>
        <item x="209"/>
        <item x="189"/>
        <item x="445"/>
        <item x="321"/>
        <item x="37"/>
        <item x="286"/>
        <item x="80"/>
        <item x="181"/>
        <item x="312"/>
        <item x="347"/>
        <item x="295"/>
        <item x="365"/>
        <item x="417"/>
        <item x="75"/>
        <item x="389"/>
        <item x="188"/>
        <item x="163"/>
        <item x="115"/>
        <item x="452"/>
        <item x="235"/>
        <item x="330"/>
        <item x="357"/>
        <item x="372"/>
        <item x="122"/>
        <item x="403"/>
        <item x="50"/>
        <item x="455"/>
        <item x="310"/>
        <item x="52"/>
        <item x="40"/>
        <item x="362"/>
        <item x="437"/>
        <item x="404"/>
        <item x="271"/>
        <item x="292"/>
        <item x="53"/>
        <item x="307"/>
        <item x="250"/>
        <item x="264"/>
        <item x="283"/>
        <item x="434"/>
        <item x="390"/>
        <item x="460"/>
        <item x="358"/>
        <item x="100"/>
        <item x="197"/>
        <item x="51"/>
        <item x="396"/>
        <item x="117"/>
        <item x="341"/>
        <item x="256"/>
        <item x="223"/>
        <item x="440"/>
        <item x="290"/>
        <item x="72"/>
        <item x="253"/>
        <item x="149"/>
        <item x="10"/>
        <item x="342"/>
        <item x="392"/>
        <item x="221"/>
        <item x="285"/>
        <item x="248"/>
        <item x="433"/>
        <item x="9"/>
        <item x="66"/>
        <item x="195"/>
        <item x="133"/>
        <item x="98"/>
        <item x="166"/>
        <item x="251"/>
        <item x="39"/>
        <item x="158"/>
        <item x="412"/>
        <item x="269"/>
        <item x="141"/>
        <item x="148"/>
        <item x="102"/>
        <item x="55"/>
        <item x="447"/>
        <item x="82"/>
        <item x="229"/>
        <item x="17"/>
        <item x="439"/>
        <item x="427"/>
        <item x="384"/>
        <item x="247"/>
        <item x="88"/>
        <item x="69"/>
        <item x="418"/>
        <item x="90"/>
        <item x="435"/>
        <item x="388"/>
        <item x="124"/>
        <item x="208"/>
        <item x="231"/>
        <item x="270"/>
        <item x="36"/>
        <item x="93"/>
        <item x="260"/>
        <item x="118"/>
        <item x="346"/>
        <item x="421"/>
        <item x="317"/>
        <item x="420"/>
        <item x="13"/>
        <item x="219"/>
        <item x="125"/>
        <item x="393"/>
        <item x="113"/>
        <item x="206"/>
        <item x="120"/>
        <item x="227"/>
        <item x="38"/>
        <item x="236"/>
        <item x="87"/>
        <item x="83"/>
        <item x="103"/>
        <item x="244"/>
        <item x="67"/>
        <item x="151"/>
        <item x="1"/>
        <item x="68"/>
        <item x="305"/>
        <item x="336"/>
        <item x="29"/>
        <item x="161"/>
        <item x="175"/>
        <item x="214"/>
        <item x="367"/>
        <item x="443"/>
        <item x="71"/>
        <item x="430"/>
        <item x="94"/>
        <item x="160"/>
        <item x="212"/>
        <item x="402"/>
        <item x="76"/>
        <item x="174"/>
        <item x="361"/>
        <item x="401"/>
        <item x="224"/>
        <item x="426"/>
        <item x="230"/>
        <item x="146"/>
        <item x="216"/>
        <item x="7"/>
        <item x="171"/>
        <item x="451"/>
        <item x="31"/>
        <item x="143"/>
        <item x="294"/>
        <item x="228"/>
        <item x="370"/>
        <item x="84"/>
        <item x="241"/>
        <item x="99"/>
        <item x="267"/>
        <item x="382"/>
        <item x="303"/>
        <item x="449"/>
        <item x="249"/>
        <item x="46"/>
        <item x="279"/>
        <item x="147"/>
        <item x="168"/>
        <item x="42"/>
        <item x="49"/>
        <item x="268"/>
        <item x="20"/>
        <item x="26"/>
        <item x="218"/>
        <item x="182"/>
        <item x="406"/>
        <item x="441"/>
        <item x="12"/>
        <item x="167"/>
        <item x="156"/>
        <item x="410"/>
        <item x="383"/>
        <item x="456"/>
        <item x="453"/>
        <item x="77"/>
        <item x="154"/>
        <item x="394"/>
        <item x="110"/>
        <item x="411"/>
        <item x="360"/>
        <item x="335"/>
        <item x="398"/>
        <item x="191"/>
        <item x="176"/>
        <item x="369"/>
        <item x="74"/>
        <item x="386"/>
        <item x="155"/>
        <item x="278"/>
        <item x="64"/>
        <item x="108"/>
        <item x="157"/>
        <item x="308"/>
        <item x="4"/>
        <item x="344"/>
        <item x="259"/>
        <item x="172"/>
        <item x="391"/>
        <item x="179"/>
        <item x="275"/>
        <item x="345"/>
        <item x="43"/>
        <item x="429"/>
        <item x="343"/>
        <item x="395"/>
        <item x="424"/>
        <item x="339"/>
        <item x="296"/>
        <item x="130"/>
        <item x="319"/>
        <item x="107"/>
        <item x="242"/>
        <item x="405"/>
        <item t="default"/>
      </items>
    </pivotField>
    <pivotField dataField="1" compact="0" showAll="0">
      <items count="503">
        <item x="434"/>
        <item x="439"/>
        <item x="34"/>
        <item x="117"/>
        <item x="126"/>
        <item x="105"/>
        <item x="61"/>
        <item x="165"/>
        <item x="300"/>
        <item x="222"/>
        <item x="492"/>
        <item x="381"/>
        <item x="194"/>
        <item x="94"/>
        <item x="84"/>
        <item x="267"/>
        <item x="437"/>
        <item x="252"/>
        <item x="499"/>
        <item x="399"/>
        <item x="430"/>
        <item x="31"/>
        <item x="146"/>
        <item x="204"/>
        <item x="189"/>
        <item x="137"/>
        <item x="148"/>
        <item x="375"/>
        <item x="361"/>
        <item x="104"/>
        <item x="45"/>
        <item x="180"/>
        <item x="388"/>
        <item x="211"/>
        <item x="75"/>
        <item x="420"/>
        <item x="458"/>
        <item x="428"/>
        <item x="284"/>
        <item x="73"/>
        <item x="186"/>
        <item x="152"/>
        <item x="450"/>
        <item x="224"/>
        <item x="87"/>
        <item x="379"/>
        <item x="92"/>
        <item x="122"/>
        <item x="113"/>
        <item x="147"/>
        <item x="477"/>
        <item x="438"/>
        <item x="214"/>
        <item x="158"/>
        <item x="480"/>
        <item x="491"/>
        <item x="269"/>
        <item x="9"/>
        <item x="160"/>
        <item x="272"/>
        <item x="66"/>
        <item x="404"/>
        <item x="210"/>
        <item x="181"/>
        <item x="262"/>
        <item x="479"/>
        <item x="173"/>
        <item x="368"/>
        <item x="431"/>
        <item x="135"/>
        <item x="79"/>
        <item x="316"/>
        <item x="352"/>
        <item x="443"/>
        <item x="311"/>
        <item x="405"/>
        <item x="109"/>
        <item x="445"/>
        <item x="294"/>
        <item x="237"/>
        <item x="247"/>
        <item x="340"/>
        <item x="359"/>
        <item x="264"/>
        <item x="13"/>
        <item x="327"/>
        <item x="459"/>
        <item x="329"/>
        <item x="115"/>
        <item x="416"/>
        <item x="193"/>
        <item x="338"/>
        <item x="168"/>
        <item x="44"/>
        <item x="251"/>
        <item x="335"/>
        <item x="391"/>
        <item x="394"/>
        <item x="456"/>
        <item x="27"/>
        <item x="121"/>
        <item x="91"/>
        <item x="301"/>
        <item x="495"/>
        <item x="415"/>
        <item x="1"/>
        <item x="442"/>
        <item x="209"/>
        <item x="287"/>
        <item x="37"/>
        <item x="308"/>
        <item x="138"/>
        <item x="275"/>
        <item x="25"/>
        <item x="4"/>
        <item x="401"/>
        <item x="461"/>
        <item x="221"/>
        <item x="382"/>
        <item x="144"/>
        <item x="235"/>
        <item x="419"/>
        <item x="348"/>
        <item x="393"/>
        <item x="323"/>
        <item x="149"/>
        <item x="277"/>
        <item x="343"/>
        <item x="487"/>
        <item x="226"/>
        <item x="107"/>
        <item x="281"/>
        <item x="279"/>
        <item x="32"/>
        <item x="130"/>
        <item x="35"/>
        <item x="496"/>
        <item x="249"/>
        <item x="10"/>
        <item x="298"/>
        <item x="315"/>
        <item x="41"/>
        <item x="64"/>
        <item x="43"/>
        <item x="353"/>
        <item x="116"/>
        <item x="156"/>
        <item x="101"/>
        <item x="80"/>
        <item x="369"/>
        <item x="95"/>
        <item x="429"/>
        <item x="475"/>
        <item x="229"/>
        <item x="356"/>
        <item x="471"/>
        <item x="220"/>
        <item x="336"/>
        <item x="457"/>
        <item x="157"/>
        <item x="166"/>
        <item x="201"/>
        <item x="470"/>
        <item x="102"/>
        <item x="295"/>
        <item x="49"/>
        <item x="464"/>
        <item x="297"/>
        <item x="313"/>
        <item x="334"/>
        <item x="85"/>
        <item x="423"/>
        <item x="110"/>
        <item x="134"/>
        <item x="424"/>
        <item x="484"/>
        <item x="78"/>
        <item x="77"/>
        <item x="15"/>
        <item x="426"/>
        <item x="212"/>
        <item x="296"/>
        <item x="390"/>
        <item x="392"/>
        <item x="286"/>
        <item x="191"/>
        <item x="346"/>
        <item x="132"/>
        <item x="344"/>
        <item x="435"/>
        <item x="385"/>
        <item x="246"/>
        <item x="397"/>
        <item x="365"/>
        <item x="98"/>
        <item x="366"/>
        <item x="273"/>
        <item x="175"/>
        <item x="172"/>
        <item x="154"/>
        <item x="231"/>
        <item x="472"/>
        <item x="463"/>
        <item x="123"/>
        <item x="89"/>
        <item x="371"/>
        <item x="396"/>
        <item x="24"/>
        <item x="174"/>
        <item x="378"/>
        <item x="497"/>
        <item x="55"/>
        <item x="208"/>
        <item x="271"/>
        <item x="243"/>
        <item x="362"/>
        <item x="162"/>
        <item x="53"/>
        <item x="250"/>
        <item x="236"/>
        <item x="358"/>
        <item x="490"/>
        <item x="446"/>
        <item x="377"/>
        <item x="451"/>
        <item x="383"/>
        <item x="23"/>
        <item x="417"/>
        <item x="136"/>
        <item x="322"/>
        <item x="21"/>
        <item x="414"/>
        <item x="93"/>
        <item x="409"/>
        <item x="403"/>
        <item x="58"/>
        <item x="233"/>
        <item x="151"/>
        <item x="3"/>
        <item x="373"/>
        <item x="170"/>
        <item x="326"/>
        <item x="481"/>
        <item x="161"/>
        <item x="367"/>
        <item x="47"/>
        <item x="258"/>
        <item x="360"/>
        <item x="81"/>
        <item x="76"/>
        <item x="228"/>
        <item x="205"/>
        <item x="8"/>
        <item x="183"/>
        <item x="330"/>
        <item x="242"/>
        <item x="337"/>
        <item x="72"/>
        <item x="195"/>
        <item x="318"/>
        <item x="63"/>
        <item x="370"/>
        <item x="299"/>
        <item x="197"/>
        <item x="48"/>
        <item x="97"/>
        <item x="364"/>
        <item x="389"/>
        <item x="6"/>
        <item x="257"/>
        <item x="185"/>
        <item x="171"/>
        <item x="260"/>
        <item x="11"/>
        <item x="255"/>
        <item x="51"/>
        <item x="169"/>
        <item x="30"/>
        <item x="54"/>
        <item x="263"/>
        <item x="19"/>
        <item x="478"/>
        <item x="120"/>
        <item x="332"/>
        <item x="114"/>
        <item x="62"/>
        <item x="65"/>
        <item x="372"/>
        <item x="395"/>
        <item x="100"/>
        <item x="261"/>
        <item x="412"/>
        <item x="462"/>
        <item x="139"/>
        <item x="482"/>
        <item x="150"/>
        <item x="476"/>
        <item x="254"/>
        <item x="103"/>
        <item x="69"/>
        <item x="216"/>
        <item x="20"/>
        <item x="207"/>
        <item x="178"/>
        <item x="452"/>
        <item x="46"/>
        <item x="274"/>
        <item x="82"/>
        <item x="289"/>
        <item x="141"/>
        <item x="410"/>
        <item x="493"/>
        <item x="498"/>
        <item x="317"/>
        <item x="402"/>
        <item x="200"/>
        <item x="305"/>
        <item x="218"/>
        <item x="339"/>
        <item x="17"/>
        <item x="290"/>
        <item x="449"/>
        <item x="374"/>
        <item x="219"/>
        <item x="270"/>
        <item x="312"/>
        <item x="223"/>
        <item x="432"/>
        <item x="486"/>
        <item x="198"/>
        <item x="321"/>
        <item x="283"/>
        <item x="354"/>
        <item x="142"/>
        <item x="494"/>
        <item x="177"/>
        <item x="128"/>
        <item x="266"/>
        <item x="350"/>
        <item x="265"/>
        <item x="319"/>
        <item x="18"/>
        <item x="411"/>
        <item x="398"/>
        <item x="453"/>
        <item x="238"/>
        <item x="454"/>
        <item x="400"/>
        <item x="57"/>
        <item x="71"/>
        <item x="42"/>
        <item x="489"/>
        <item x="418"/>
        <item x="256"/>
        <item x="433"/>
        <item x="106"/>
        <item x="306"/>
        <item x="425"/>
        <item x="88"/>
        <item x="460"/>
        <item x="140"/>
        <item x="176"/>
        <item x="324"/>
        <item x="376"/>
        <item x="347"/>
        <item x="187"/>
        <item x="217"/>
        <item x="232"/>
        <item x="380"/>
        <item x="304"/>
        <item x="386"/>
        <item x="182"/>
        <item x="307"/>
        <item x="38"/>
        <item x="427"/>
        <item x="203"/>
        <item x="192"/>
        <item x="36"/>
        <item x="26"/>
        <item x="285"/>
        <item x="309"/>
        <item x="125"/>
        <item x="227"/>
        <item x="22"/>
        <item x="28"/>
        <item x="96"/>
        <item x="133"/>
        <item x="39"/>
        <item x="108"/>
        <item x="50"/>
        <item x="363"/>
        <item x="325"/>
        <item x="276"/>
        <item x="167"/>
        <item x="244"/>
        <item x="143"/>
        <item x="129"/>
        <item x="202"/>
        <item x="0"/>
        <item x="314"/>
        <item x="355"/>
        <item x="196"/>
        <item x="145"/>
        <item x="466"/>
        <item x="468"/>
        <item x="131"/>
        <item x="483"/>
        <item x="40"/>
        <item x="341"/>
        <item x="112"/>
        <item x="387"/>
        <item x="407"/>
        <item x="406"/>
        <item x="119"/>
        <item x="282"/>
        <item x="52"/>
        <item x="206"/>
        <item x="467"/>
        <item x="349"/>
        <item x="357"/>
        <item x="469"/>
        <item x="268"/>
        <item x="310"/>
        <item x="253"/>
        <item x="163"/>
        <item x="288"/>
        <item x="240"/>
        <item x="333"/>
        <item x="179"/>
        <item x="70"/>
        <item x="153"/>
        <item x="278"/>
        <item x="421"/>
        <item x="83"/>
        <item x="500"/>
        <item x="5"/>
        <item x="474"/>
        <item x="99"/>
        <item x="215"/>
        <item x="74"/>
        <item x="293"/>
        <item x="239"/>
        <item x="259"/>
        <item x="488"/>
        <item x="303"/>
        <item x="164"/>
        <item x="448"/>
        <item x="86"/>
        <item x="422"/>
        <item x="440"/>
        <item x="345"/>
        <item x="485"/>
        <item x="328"/>
        <item x="436"/>
        <item x="59"/>
        <item x="60"/>
        <item x="473"/>
        <item x="342"/>
        <item x="241"/>
        <item x="155"/>
        <item x="7"/>
        <item x="68"/>
        <item x="230"/>
        <item x="465"/>
        <item x="291"/>
        <item x="188"/>
        <item x="124"/>
        <item x="199"/>
        <item x="56"/>
        <item x="33"/>
        <item x="67"/>
        <item x="413"/>
        <item x="184"/>
        <item x="90"/>
        <item x="2"/>
        <item x="234"/>
        <item x="292"/>
        <item x="190"/>
        <item x="127"/>
        <item x="12"/>
        <item x="280"/>
        <item x="16"/>
        <item x="29"/>
        <item x="245"/>
        <item x="384"/>
        <item x="441"/>
        <item x="408"/>
        <item x="331"/>
        <item x="248"/>
        <item x="351"/>
        <item x="159"/>
        <item x="455"/>
        <item x="320"/>
        <item x="111"/>
        <item x="447"/>
        <item x="444"/>
        <item x="213"/>
        <item x="225"/>
        <item x="118"/>
        <item x="14"/>
        <item x="302"/>
        <item x="501"/>
        <item t="default"/>
      </items>
    </pivotField>
    <pivotField compact="0" showAll="0">
      <items count="16">
        <item x="8"/>
        <item x="0"/>
        <item x="3"/>
        <item x="6"/>
        <item x="1"/>
        <item x="4"/>
        <item x="2"/>
        <item x="7"/>
        <item x="5"/>
        <item x="11"/>
        <item x="10"/>
        <item x="12"/>
        <item x="13"/>
        <item x="9"/>
        <item x="14"/>
        <item t="default"/>
      </items>
    </pivotField>
    <pivotField compact="0" showAll="0">
      <items count="13">
        <item x="0"/>
        <item x="9"/>
        <item x="2"/>
        <item x="4"/>
        <item x="10"/>
        <item x="8"/>
        <item x="1"/>
        <item x="5"/>
        <item x="6"/>
        <item x="7"/>
        <item x="3"/>
        <item x="11"/>
        <item t="default"/>
      </items>
    </pivotField>
    <pivotField compact="0" showAll="0">
      <items count="517">
        <item x="310"/>
        <item x="14"/>
        <item x="395"/>
        <item x="119"/>
        <item x="61"/>
        <item x="2"/>
        <item x="171"/>
        <item x="210"/>
        <item x="166"/>
        <item x="83"/>
        <item x="497"/>
        <item x="434"/>
        <item x="98"/>
        <item x="132"/>
        <item x="342"/>
        <item x="97"/>
        <item x="170"/>
        <item x="249"/>
        <item x="195"/>
        <item x="136"/>
        <item x="82"/>
        <item x="6"/>
        <item x="58"/>
        <item x="33"/>
        <item x="109"/>
        <item x="207"/>
        <item x="225"/>
        <item x="488"/>
        <item x="378"/>
        <item x="204"/>
        <item x="244"/>
        <item x="149"/>
        <item x="480"/>
        <item x="496"/>
        <item x="492"/>
        <item x="284"/>
        <item x="299"/>
        <item x="39"/>
        <item x="211"/>
        <item x="394"/>
        <item x="272"/>
        <item x="337"/>
        <item x="107"/>
        <item x="348"/>
        <item x="51"/>
        <item x="206"/>
        <item x="500"/>
        <item x="355"/>
        <item x="150"/>
        <item x="175"/>
        <item x="167"/>
        <item x="268"/>
        <item x="423"/>
        <item x="28"/>
        <item x="228"/>
        <item x="279"/>
        <item x="35"/>
        <item x="305"/>
        <item x="318"/>
        <item x="287"/>
        <item x="435"/>
        <item x="108"/>
        <item x="236"/>
        <item x="501"/>
        <item x="64"/>
        <item x="84"/>
        <item x="495"/>
        <item x="336"/>
        <item x="63"/>
        <item x="60"/>
        <item x="116"/>
        <item x="212"/>
        <item x="124"/>
        <item x="308"/>
        <item x="239"/>
        <item x="416"/>
        <item x="164"/>
        <item x="159"/>
        <item x="506"/>
        <item x="118"/>
        <item x="400"/>
        <item x="493"/>
        <item x="45"/>
        <item x="197"/>
        <item x="129"/>
        <item x="513"/>
        <item x="274"/>
        <item x="95"/>
        <item x="155"/>
        <item x="34"/>
        <item x="453"/>
        <item x="62"/>
        <item x="11"/>
        <item x="447"/>
        <item x="253"/>
        <item x="390"/>
        <item x="123"/>
        <item x="172"/>
        <item x="194"/>
        <item x="222"/>
        <item x="232"/>
        <item x="230"/>
        <item x="451"/>
        <item x="338"/>
        <item x="106"/>
        <item x="148"/>
        <item x="271"/>
        <item x="154"/>
        <item x="269"/>
        <item x="93"/>
        <item x="259"/>
        <item x="386"/>
        <item x="392"/>
        <item x="77"/>
        <item x="202"/>
        <item x="85"/>
        <item x="243"/>
        <item x="265"/>
        <item x="380"/>
        <item x="151"/>
        <item x="219"/>
        <item x="443"/>
        <item x="407"/>
        <item x="485"/>
        <item x="306"/>
        <item x="31"/>
        <item x="74"/>
        <item x="105"/>
        <item x="86"/>
        <item x="371"/>
        <item x="218"/>
        <item x="140"/>
        <item x="411"/>
        <item x="303"/>
        <item x="472"/>
        <item x="433"/>
        <item x="158"/>
        <item x="200"/>
        <item x="153"/>
        <item x="509"/>
        <item x="67"/>
        <item x="241"/>
        <item x="285"/>
        <item x="464"/>
        <item x="9"/>
        <item x="428"/>
        <item x="255"/>
        <item x="439"/>
        <item x="452"/>
        <item x="276"/>
        <item x="377"/>
        <item x="76"/>
        <item x="478"/>
        <item x="188"/>
        <item x="437"/>
        <item x="80"/>
        <item x="152"/>
        <item x="187"/>
        <item x="138"/>
        <item x="505"/>
        <item x="441"/>
        <item x="324"/>
        <item x="157"/>
        <item x="510"/>
        <item x="292"/>
        <item x="446"/>
        <item x="369"/>
        <item x="379"/>
        <item x="245"/>
        <item x="417"/>
        <item x="257"/>
        <item x="214"/>
        <item x="88"/>
        <item x="180"/>
        <item x="494"/>
        <item x="491"/>
        <item x="114"/>
        <item x="146"/>
        <item x="141"/>
        <item x="179"/>
        <item x="319"/>
        <item x="201"/>
        <item x="353"/>
        <item x="90"/>
        <item x="19"/>
        <item x="127"/>
        <item x="374"/>
        <item x="128"/>
        <item x="429"/>
        <item x="316"/>
        <item x="37"/>
        <item x="13"/>
        <item x="344"/>
        <item x="335"/>
        <item x="473"/>
        <item x="368"/>
        <item x="406"/>
        <item x="361"/>
        <item x="309"/>
        <item x="122"/>
        <item x="110"/>
        <item x="156"/>
        <item x="312"/>
        <item x="444"/>
        <item x="459"/>
        <item x="457"/>
        <item x="23"/>
        <item x="267"/>
        <item x="10"/>
        <item x="413"/>
        <item x="475"/>
        <item x="330"/>
        <item x="283"/>
        <item x="393"/>
        <item x="397"/>
        <item x="302"/>
        <item x="234"/>
        <item x="484"/>
        <item x="349"/>
        <item x="229"/>
        <item x="4"/>
        <item x="456"/>
        <item x="347"/>
        <item x="101"/>
        <item x="357"/>
        <item x="403"/>
        <item x="405"/>
        <item x="466"/>
        <item x="289"/>
        <item x="254"/>
        <item x="295"/>
        <item x="27"/>
        <item x="367"/>
        <item x="44"/>
        <item x="25"/>
        <item x="331"/>
        <item x="102"/>
        <item x="217"/>
        <item x="43"/>
        <item x="133"/>
        <item x="470"/>
        <item x="92"/>
        <item x="96"/>
        <item x="41"/>
        <item x="1"/>
        <item x="343"/>
        <item x="117"/>
        <item x="323"/>
        <item x="209"/>
        <item x="215"/>
        <item x="250"/>
        <item x="365"/>
        <item x="436"/>
        <item x="173"/>
        <item x="432"/>
        <item x="402"/>
        <item x="22"/>
        <item x="334"/>
        <item x="298"/>
        <item x="384"/>
        <item x="476"/>
        <item x="144"/>
        <item x="264"/>
        <item x="304"/>
        <item x="32"/>
        <item x="169"/>
        <item x="321"/>
        <item x="471"/>
        <item x="103"/>
        <item x="223"/>
        <item x="421"/>
        <item x="352"/>
        <item x="111"/>
        <item x="177"/>
        <item x="20"/>
        <item x="65"/>
        <item x="99"/>
        <item x="79"/>
        <item x="182"/>
        <item x="333"/>
        <item x="181"/>
        <item x="81"/>
        <item x="294"/>
        <item x="362"/>
        <item x="498"/>
        <item x="162"/>
        <item x="15"/>
        <item x="8"/>
        <item x="404"/>
        <item x="345"/>
        <item x="66"/>
        <item x="237"/>
        <item x="163"/>
        <item x="489"/>
        <item x="54"/>
        <item x="442"/>
        <item x="192"/>
        <item x="160"/>
        <item x="460"/>
        <item x="199"/>
        <item x="382"/>
        <item x="50"/>
        <item x="240"/>
        <item x="94"/>
        <item x="281"/>
        <item x="419"/>
        <item x="504"/>
        <item x="137"/>
        <item x="70"/>
        <item x="427"/>
        <item x="224"/>
        <item x="7"/>
        <item x="78"/>
        <item x="477"/>
        <item x="42"/>
        <item x="251"/>
        <item x="3"/>
        <item x="372"/>
        <item x="56"/>
        <item x="313"/>
        <item x="388"/>
        <item x="190"/>
        <item x="220"/>
        <item x="410"/>
        <item x="430"/>
        <item x="203"/>
        <item x="135"/>
        <item x="252"/>
        <item x="278"/>
        <item x="277"/>
        <item x="381"/>
        <item x="18"/>
        <item x="307"/>
        <item x="258"/>
        <item x="449"/>
        <item x="375"/>
        <item x="409"/>
        <item x="396"/>
        <item x="315"/>
        <item x="486"/>
        <item x="52"/>
        <item x="364"/>
        <item x="72"/>
        <item x="273"/>
        <item x="47"/>
        <item x="24"/>
        <item x="59"/>
        <item x="301"/>
        <item x="408"/>
        <item x="389"/>
        <item x="511"/>
        <item x="422"/>
        <item x="216"/>
        <item x="326"/>
        <item x="21"/>
        <item x="69"/>
        <item x="418"/>
        <item x="465"/>
        <item x="139"/>
        <item x="178"/>
        <item x="235"/>
        <item x="329"/>
        <item x="270"/>
        <item x="143"/>
        <item x="415"/>
        <item x="115"/>
        <item x="48"/>
        <item x="49"/>
        <item x="55"/>
        <item x="89"/>
        <item x="401"/>
        <item x="350"/>
        <item x="383"/>
        <item x="145"/>
        <item x="325"/>
        <item x="370"/>
        <item x="205"/>
        <item x="314"/>
        <item x="168"/>
        <item x="176"/>
        <item x="185"/>
        <item x="104"/>
        <item x="73"/>
        <item x="490"/>
        <item x="213"/>
        <item x="339"/>
        <item x="467"/>
        <item x="512"/>
        <item x="483"/>
        <item x="174"/>
        <item x="346"/>
        <item x="113"/>
        <item x="282"/>
        <item x="445"/>
        <item x="120"/>
        <item x="341"/>
        <item x="193"/>
        <item x="165"/>
        <item x="514"/>
        <item x="40"/>
        <item x="262"/>
        <item x="358"/>
        <item x="425"/>
        <item x="121"/>
        <item x="17"/>
        <item x="30"/>
        <item x="317"/>
        <item x="208"/>
        <item x="142"/>
        <item x="183"/>
        <item x="248"/>
        <item x="186"/>
        <item x="487"/>
        <item x="463"/>
        <item x="227"/>
        <item x="231"/>
        <item x="46"/>
        <item x="391"/>
        <item x="354"/>
        <item x="246"/>
        <item x="275"/>
        <item x="499"/>
        <item x="0"/>
        <item x="412"/>
        <item x="238"/>
        <item x="507"/>
        <item x="198"/>
        <item x="286"/>
        <item x="438"/>
        <item x="100"/>
        <item x="261"/>
        <item x="297"/>
        <item x="468"/>
        <item x="260"/>
        <item x="131"/>
        <item x="503"/>
        <item x="385"/>
        <item x="387"/>
        <item x="424"/>
        <item x="75"/>
        <item x="226"/>
        <item x="414"/>
        <item x="130"/>
        <item x="26"/>
        <item x="320"/>
        <item x="266"/>
        <item x="440"/>
        <item x="291"/>
        <item x="431"/>
        <item x="36"/>
        <item x="293"/>
        <item x="189"/>
        <item x="38"/>
        <item x="363"/>
        <item x="399"/>
        <item x="184"/>
        <item x="508"/>
        <item x="398"/>
        <item x="53"/>
        <item x="359"/>
        <item x="373"/>
        <item x="454"/>
        <item x="327"/>
        <item x="263"/>
        <item x="134"/>
        <item x="147"/>
        <item x="474"/>
        <item x="482"/>
        <item x="332"/>
        <item x="360"/>
        <item x="290"/>
        <item x="280"/>
        <item x="356"/>
        <item x="376"/>
        <item x="462"/>
        <item x="126"/>
        <item x="450"/>
        <item x="502"/>
        <item x="366"/>
        <item x="71"/>
        <item x="481"/>
        <item x="322"/>
        <item x="29"/>
        <item x="91"/>
        <item x="16"/>
        <item x="300"/>
        <item x="87"/>
        <item x="455"/>
        <item x="5"/>
        <item x="479"/>
        <item x="311"/>
        <item x="57"/>
        <item x="161"/>
        <item x="296"/>
        <item x="351"/>
        <item x="247"/>
        <item x="196"/>
        <item x="125"/>
        <item x="68"/>
        <item x="191"/>
        <item x="328"/>
        <item x="12"/>
        <item x="288"/>
        <item x="242"/>
        <item x="426"/>
        <item x="256"/>
        <item x="420"/>
        <item x="221"/>
        <item x="469"/>
        <item x="340"/>
        <item x="112"/>
        <item x="448"/>
        <item x="461"/>
        <item x="458"/>
        <item x="233"/>
        <item x="515"/>
        <item t="default"/>
      </items>
    </pivotField>
    <pivotField compact="0" showAll="0">
      <items count="517">
        <item x="253"/>
        <item x="390"/>
        <item x="123"/>
        <item x="172"/>
        <item x="194"/>
        <item x="222"/>
        <item x="232"/>
        <item x="230"/>
        <item x="447"/>
        <item x="451"/>
        <item x="338"/>
        <item x="106"/>
        <item x="148"/>
        <item x="271"/>
        <item x="11"/>
        <item x="154"/>
        <item x="269"/>
        <item x="93"/>
        <item x="259"/>
        <item x="386"/>
        <item x="392"/>
        <item x="77"/>
        <item x="202"/>
        <item x="85"/>
        <item x="243"/>
        <item x="265"/>
        <item x="380"/>
        <item x="151"/>
        <item x="219"/>
        <item x="443"/>
        <item x="407"/>
        <item x="485"/>
        <item x="306"/>
        <item x="31"/>
        <item x="74"/>
        <item x="105"/>
        <item x="62"/>
        <item x="86"/>
        <item x="371"/>
        <item x="453"/>
        <item x="218"/>
        <item x="34"/>
        <item x="140"/>
        <item x="411"/>
        <item x="303"/>
        <item x="472"/>
        <item x="433"/>
        <item x="155"/>
        <item x="95"/>
        <item x="158"/>
        <item x="200"/>
        <item x="153"/>
        <item x="509"/>
        <item x="67"/>
        <item x="241"/>
        <item x="285"/>
        <item x="464"/>
        <item x="9"/>
        <item x="428"/>
        <item x="255"/>
        <item x="439"/>
        <item x="452"/>
        <item x="274"/>
        <item x="276"/>
        <item x="377"/>
        <item x="76"/>
        <item x="478"/>
        <item x="188"/>
        <item x="437"/>
        <item x="80"/>
        <item x="152"/>
        <item x="187"/>
        <item x="138"/>
        <item x="505"/>
        <item x="513"/>
        <item x="441"/>
        <item x="324"/>
        <item x="157"/>
        <item x="510"/>
        <item x="292"/>
        <item x="446"/>
        <item x="369"/>
        <item x="379"/>
        <item x="245"/>
        <item x="417"/>
        <item x="257"/>
        <item x="214"/>
        <item x="129"/>
        <item x="88"/>
        <item x="180"/>
        <item x="494"/>
        <item x="491"/>
        <item x="114"/>
        <item x="146"/>
        <item x="141"/>
        <item x="179"/>
        <item x="319"/>
        <item x="201"/>
        <item x="353"/>
        <item x="197"/>
        <item x="90"/>
        <item x="45"/>
        <item x="493"/>
        <item x="19"/>
        <item x="127"/>
        <item x="374"/>
        <item x="128"/>
        <item x="429"/>
        <item x="400"/>
        <item x="316"/>
        <item x="37"/>
        <item x="13"/>
        <item x="344"/>
        <item x="335"/>
        <item x="473"/>
        <item x="368"/>
        <item x="118"/>
        <item x="506"/>
        <item x="406"/>
        <item x="361"/>
        <item x="309"/>
        <item x="122"/>
        <item x="110"/>
        <item x="156"/>
        <item x="312"/>
        <item x="444"/>
        <item x="159"/>
        <item x="459"/>
        <item x="457"/>
        <item x="23"/>
        <item x="267"/>
        <item x="10"/>
        <item x="413"/>
        <item x="475"/>
        <item x="330"/>
        <item x="283"/>
        <item x="393"/>
        <item x="397"/>
        <item x="302"/>
        <item x="234"/>
        <item x="484"/>
        <item x="349"/>
        <item x="229"/>
        <item x="4"/>
        <item x="456"/>
        <item x="347"/>
        <item x="164"/>
        <item x="101"/>
        <item x="357"/>
        <item x="403"/>
        <item x="405"/>
        <item x="466"/>
        <item x="289"/>
        <item x="254"/>
        <item x="295"/>
        <item x="27"/>
        <item x="367"/>
        <item x="44"/>
        <item x="25"/>
        <item x="331"/>
        <item x="102"/>
        <item x="416"/>
        <item x="217"/>
        <item x="43"/>
        <item x="133"/>
        <item x="470"/>
        <item x="92"/>
        <item x="96"/>
        <item x="41"/>
        <item x="1"/>
        <item x="343"/>
        <item x="117"/>
        <item x="323"/>
        <item x="209"/>
        <item x="215"/>
        <item x="250"/>
        <item x="239"/>
        <item x="365"/>
        <item x="308"/>
        <item x="124"/>
        <item x="436"/>
        <item x="173"/>
        <item x="212"/>
        <item x="432"/>
        <item x="402"/>
        <item x="22"/>
        <item x="116"/>
        <item x="334"/>
        <item x="298"/>
        <item x="384"/>
        <item x="60"/>
        <item x="476"/>
        <item x="144"/>
        <item x="264"/>
        <item x="304"/>
        <item x="32"/>
        <item x="169"/>
        <item x="321"/>
        <item x="471"/>
        <item x="103"/>
        <item x="223"/>
        <item x="421"/>
        <item x="352"/>
        <item x="63"/>
        <item x="111"/>
        <item x="177"/>
        <item x="20"/>
        <item x="65"/>
        <item x="99"/>
        <item x="79"/>
        <item x="182"/>
        <item x="333"/>
        <item x="181"/>
        <item x="81"/>
        <item x="294"/>
        <item x="362"/>
        <item x="498"/>
        <item x="162"/>
        <item x="15"/>
        <item x="8"/>
        <item x="404"/>
        <item x="345"/>
        <item x="66"/>
        <item x="237"/>
        <item x="163"/>
        <item x="489"/>
        <item x="54"/>
        <item x="442"/>
        <item x="336"/>
        <item x="192"/>
        <item x="495"/>
        <item x="160"/>
        <item x="84"/>
        <item x="460"/>
        <item x="199"/>
        <item x="382"/>
        <item x="50"/>
        <item x="240"/>
        <item x="64"/>
        <item x="94"/>
        <item x="281"/>
        <item x="419"/>
        <item x="504"/>
        <item x="501"/>
        <item x="236"/>
        <item x="108"/>
        <item x="137"/>
        <item x="70"/>
        <item x="435"/>
        <item x="427"/>
        <item x="224"/>
        <item x="7"/>
        <item x="78"/>
        <item x="477"/>
        <item x="287"/>
        <item x="42"/>
        <item x="318"/>
        <item x="251"/>
        <item x="3"/>
        <item x="305"/>
        <item x="35"/>
        <item x="372"/>
        <item x="56"/>
        <item x="313"/>
        <item x="388"/>
        <item x="190"/>
        <item x="279"/>
        <item x="220"/>
        <item x="410"/>
        <item x="228"/>
        <item x="430"/>
        <item x="28"/>
        <item x="203"/>
        <item x="135"/>
        <item x="252"/>
        <item x="278"/>
        <item x="277"/>
        <item x="381"/>
        <item x="18"/>
        <item x="307"/>
        <item x="258"/>
        <item x="449"/>
        <item x="375"/>
        <item x="409"/>
        <item x="396"/>
        <item x="315"/>
        <item x="486"/>
        <item x="52"/>
        <item x="364"/>
        <item x="72"/>
        <item x="273"/>
        <item x="47"/>
        <item x="24"/>
        <item x="59"/>
        <item x="301"/>
        <item x="408"/>
        <item x="423"/>
        <item x="389"/>
        <item x="511"/>
        <item x="422"/>
        <item x="216"/>
        <item x="326"/>
        <item x="21"/>
        <item x="268"/>
        <item x="69"/>
        <item x="418"/>
        <item x="167"/>
        <item x="175"/>
        <item x="465"/>
        <item x="150"/>
        <item x="139"/>
        <item x="178"/>
        <item x="235"/>
        <item x="329"/>
        <item x="270"/>
        <item x="143"/>
        <item x="355"/>
        <item x="415"/>
        <item x="115"/>
        <item x="48"/>
        <item x="49"/>
        <item x="500"/>
        <item x="55"/>
        <item x="89"/>
        <item x="401"/>
        <item x="350"/>
        <item x="383"/>
        <item x="145"/>
        <item x="206"/>
        <item x="325"/>
        <item x="370"/>
        <item x="205"/>
        <item x="314"/>
        <item x="168"/>
        <item x="176"/>
        <item x="185"/>
        <item x="104"/>
        <item x="73"/>
        <item x="490"/>
        <item x="213"/>
        <item x="339"/>
        <item x="51"/>
        <item x="348"/>
        <item x="467"/>
        <item x="512"/>
        <item x="483"/>
        <item x="174"/>
        <item x="346"/>
        <item x="113"/>
        <item x="282"/>
        <item x="107"/>
        <item x="337"/>
        <item x="445"/>
        <item x="120"/>
        <item x="341"/>
        <item x="272"/>
        <item x="193"/>
        <item x="165"/>
        <item x="514"/>
        <item x="40"/>
        <item x="262"/>
        <item x="358"/>
        <item x="425"/>
        <item x="121"/>
        <item x="17"/>
        <item x="30"/>
        <item x="317"/>
        <item x="394"/>
        <item x="211"/>
        <item x="208"/>
        <item x="142"/>
        <item x="183"/>
        <item x="248"/>
        <item x="186"/>
        <item x="487"/>
        <item x="463"/>
        <item x="227"/>
        <item x="231"/>
        <item x="46"/>
        <item x="391"/>
        <item x="354"/>
        <item x="246"/>
        <item x="275"/>
        <item x="499"/>
        <item x="0"/>
        <item x="412"/>
        <item x="238"/>
        <item x="507"/>
        <item x="198"/>
        <item x="286"/>
        <item x="438"/>
        <item x="100"/>
        <item x="261"/>
        <item x="297"/>
        <item x="468"/>
        <item x="260"/>
        <item x="131"/>
        <item x="503"/>
        <item x="39"/>
        <item x="385"/>
        <item x="299"/>
        <item x="387"/>
        <item x="424"/>
        <item x="75"/>
        <item x="226"/>
        <item x="284"/>
        <item x="414"/>
        <item x="130"/>
        <item x="26"/>
        <item x="320"/>
        <item x="266"/>
        <item x="440"/>
        <item x="291"/>
        <item x="431"/>
        <item x="36"/>
        <item x="293"/>
        <item x="189"/>
        <item x="492"/>
        <item x="496"/>
        <item x="480"/>
        <item x="38"/>
        <item x="363"/>
        <item x="399"/>
        <item x="184"/>
        <item x="508"/>
        <item x="398"/>
        <item x="149"/>
        <item x="53"/>
        <item x="244"/>
        <item x="359"/>
        <item x="373"/>
        <item x="454"/>
        <item x="327"/>
        <item x="204"/>
        <item x="263"/>
        <item x="134"/>
        <item x="378"/>
        <item x="147"/>
        <item x="474"/>
        <item x="482"/>
        <item x="332"/>
        <item x="360"/>
        <item x="290"/>
        <item x="280"/>
        <item x="356"/>
        <item x="376"/>
        <item x="462"/>
        <item x="126"/>
        <item x="488"/>
        <item x="450"/>
        <item x="225"/>
        <item x="502"/>
        <item x="207"/>
        <item x="366"/>
        <item x="109"/>
        <item x="71"/>
        <item x="481"/>
        <item x="322"/>
        <item x="29"/>
        <item x="91"/>
        <item x="33"/>
        <item x="58"/>
        <item x="16"/>
        <item x="6"/>
        <item x="300"/>
        <item x="87"/>
        <item x="82"/>
        <item x="455"/>
        <item x="136"/>
        <item x="5"/>
        <item x="195"/>
        <item x="249"/>
        <item x="479"/>
        <item x="170"/>
        <item x="97"/>
        <item x="311"/>
        <item x="57"/>
        <item x="342"/>
        <item x="161"/>
        <item x="132"/>
        <item x="296"/>
        <item x="98"/>
        <item x="351"/>
        <item x="434"/>
        <item x="247"/>
        <item x="196"/>
        <item x="125"/>
        <item x="68"/>
        <item x="191"/>
        <item x="328"/>
        <item x="12"/>
        <item x="497"/>
        <item x="83"/>
        <item x="288"/>
        <item x="242"/>
        <item x="426"/>
        <item x="166"/>
        <item x="256"/>
        <item x="210"/>
        <item x="420"/>
        <item x="171"/>
        <item x="221"/>
        <item x="469"/>
        <item x="340"/>
        <item x="2"/>
        <item x="61"/>
        <item x="119"/>
        <item x="112"/>
        <item x="448"/>
        <item x="395"/>
        <item x="461"/>
        <item x="458"/>
        <item x="233"/>
        <item x="14"/>
        <item x="310"/>
        <item x="515"/>
        <item t="default"/>
      </items>
    </pivotField>
    <pivotField compact="0" showAll="0">
      <items count="506">
        <item x="442"/>
        <item x="34"/>
        <item x="436"/>
        <item x="117"/>
        <item x="126"/>
        <item x="301"/>
        <item x="495"/>
        <item x="61"/>
        <item x="94"/>
        <item x="205"/>
        <item x="268"/>
        <item x="502"/>
        <item x="190"/>
        <item x="45"/>
        <item x="161"/>
        <item x="273"/>
        <item x="390"/>
        <item x="166"/>
        <item x="105"/>
        <item x="159"/>
        <item x="169"/>
        <item x="406"/>
        <item x="440"/>
        <item x="223"/>
        <item x="383"/>
        <item x="195"/>
        <item x="84"/>
        <item x="432"/>
        <item x="31"/>
        <item x="147"/>
        <item x="482"/>
        <item x="253"/>
        <item x="363"/>
        <item x="104"/>
        <item x="401"/>
        <item x="115"/>
        <item x="422"/>
        <item x="137"/>
        <item x="149"/>
        <item x="461"/>
        <item x="377"/>
        <item x="187"/>
        <item x="490"/>
        <item x="107"/>
        <item x="453"/>
        <item x="280"/>
        <item x="225"/>
        <item x="181"/>
        <item x="92"/>
        <item x="212"/>
        <item x="75"/>
        <item x="148"/>
        <item x="430"/>
        <item x="441"/>
        <item x="215"/>
        <item x="285"/>
        <item x="73"/>
        <item x="494"/>
        <item x="270"/>
        <item x="221"/>
        <item x="153"/>
        <item x="87"/>
        <item x="381"/>
        <item x="263"/>
        <item x="122"/>
        <item x="113"/>
        <item x="174"/>
        <item x="35"/>
        <item x="370"/>
        <item x="480"/>
        <item x="79"/>
        <item x="483"/>
        <item x="312"/>
        <item x="407"/>
        <item x="237"/>
        <item x="9"/>
        <item x="238"/>
        <item x="248"/>
        <item x="66"/>
        <item x="211"/>
        <item x="265"/>
        <item x="13"/>
        <item x="182"/>
        <item x="328"/>
        <item x="462"/>
        <item x="298"/>
        <item x="331"/>
        <item x="348"/>
        <item x="418"/>
        <item x="433"/>
        <item x="135"/>
        <item x="317"/>
        <item x="354"/>
        <item x="446"/>
        <item x="369"/>
        <item x="252"/>
        <item x="81"/>
        <item x="337"/>
        <item x="109"/>
        <item x="448"/>
        <item x="295"/>
        <item x="396"/>
        <item x="121"/>
        <item x="342"/>
        <item x="302"/>
        <item x="361"/>
        <item x="498"/>
        <item x="417"/>
        <item x="445"/>
        <item x="309"/>
        <item x="138"/>
        <item x="276"/>
        <item x="194"/>
        <item x="340"/>
        <item x="4"/>
        <item x="403"/>
        <item x="464"/>
        <item x="222"/>
        <item x="384"/>
        <item x="144"/>
        <item x="44"/>
        <item x="97"/>
        <item x="236"/>
        <item x="385"/>
        <item x="393"/>
        <item x="6"/>
        <item x="459"/>
        <item x="350"/>
        <item x="27"/>
        <item x="324"/>
        <item x="91"/>
        <item x="150"/>
        <item x="278"/>
        <item x="1"/>
        <item x="210"/>
        <item x="227"/>
        <item x="288"/>
        <item x="37"/>
        <item x="25"/>
        <item x="130"/>
        <item x="499"/>
        <item x="250"/>
        <item x="299"/>
        <item x="316"/>
        <item x="101"/>
        <item x="371"/>
        <item x="421"/>
        <item x="95"/>
        <item x="395"/>
        <item x="474"/>
        <item x="345"/>
        <item x="167"/>
        <item x="282"/>
        <item x="202"/>
        <item x="473"/>
        <item x="102"/>
        <item x="296"/>
        <item x="32"/>
        <item x="467"/>
        <item x="82"/>
        <item x="10"/>
        <item x="314"/>
        <item x="85"/>
        <item x="41"/>
        <item x="64"/>
        <item x="43"/>
        <item x="355"/>
        <item x="116"/>
        <item x="425"/>
        <item x="157"/>
        <item x="110"/>
        <item x="80"/>
        <item x="426"/>
        <item x="431"/>
        <item x="478"/>
        <item x="78"/>
        <item x="230"/>
        <item x="358"/>
        <item x="338"/>
        <item x="460"/>
        <item x="158"/>
        <item x="15"/>
        <item x="481"/>
        <item x="428"/>
        <item x="49"/>
        <item x="297"/>
        <item x="336"/>
        <item x="287"/>
        <item x="192"/>
        <item x="346"/>
        <item x="485"/>
        <item x="134"/>
        <item x="487"/>
        <item x="247"/>
        <item x="98"/>
        <item x="368"/>
        <item x="77"/>
        <item x="173"/>
        <item x="155"/>
        <item x="232"/>
        <item x="466"/>
        <item x="213"/>
        <item x="123"/>
        <item x="89"/>
        <item x="373"/>
        <item x="392"/>
        <item x="175"/>
        <item x="394"/>
        <item x="55"/>
        <item x="132"/>
        <item x="244"/>
        <item x="364"/>
        <item x="438"/>
        <item x="387"/>
        <item x="360"/>
        <item x="399"/>
        <item x="367"/>
        <item x="274"/>
        <item x="176"/>
        <item x="63"/>
        <item x="419"/>
        <item x="475"/>
        <item x="323"/>
        <item x="398"/>
        <item x="24"/>
        <item x="152"/>
        <item x="375"/>
        <item x="380"/>
        <item x="500"/>
        <item x="484"/>
        <item x="209"/>
        <item x="272"/>
        <item x="47"/>
        <item x="329"/>
        <item x="163"/>
        <item x="53"/>
        <item x="251"/>
        <item x="76"/>
        <item x="493"/>
        <item x="449"/>
        <item x="229"/>
        <item x="379"/>
        <item x="454"/>
        <item x="23"/>
        <item x="136"/>
        <item x="21"/>
        <item x="416"/>
        <item x="93"/>
        <item x="243"/>
        <item x="411"/>
        <item x="405"/>
        <item x="58"/>
        <item x="57"/>
        <item x="319"/>
        <item x="234"/>
        <item x="3"/>
        <item x="146"/>
        <item x="171"/>
        <item x="11"/>
        <item x="327"/>
        <item x="162"/>
        <item x="259"/>
        <item x="48"/>
        <item x="362"/>
        <item x="391"/>
        <item x="206"/>
        <item x="8"/>
        <item x="258"/>
        <item x="184"/>
        <item x="188"/>
        <item x="332"/>
        <item x="339"/>
        <item x="72"/>
        <item x="51"/>
        <item x="196"/>
        <item x="372"/>
        <item x="170"/>
        <item x="300"/>
        <item x="198"/>
        <item x="341"/>
        <item x="62"/>
        <item x="65"/>
        <item x="366"/>
        <item x="262"/>
        <item x="412"/>
        <item x="186"/>
        <item x="172"/>
        <item x="261"/>
        <item x="151"/>
        <item x="271"/>
        <item x="256"/>
        <item x="69"/>
        <item x="30"/>
        <item x="54"/>
        <item x="264"/>
        <item x="129"/>
        <item x="20"/>
        <item x="208"/>
        <item x="455"/>
        <item x="19"/>
        <item x="141"/>
        <item x="120"/>
        <item x="334"/>
        <item x="114"/>
        <item x="318"/>
        <item x="374"/>
        <item x="397"/>
        <item x="100"/>
        <item x="414"/>
        <item x="266"/>
        <item x="465"/>
        <item x="139"/>
        <item x="17"/>
        <item x="291"/>
        <item x="479"/>
        <item x="255"/>
        <item x="452"/>
        <item x="103"/>
        <item x="217"/>
        <item x="220"/>
        <item x="179"/>
        <item x="46"/>
        <item x="275"/>
        <item x="290"/>
        <item x="496"/>
        <item x="434"/>
        <item x="203"/>
        <item x="501"/>
        <item x="404"/>
        <item x="489"/>
        <item x="199"/>
        <item x="201"/>
        <item x="322"/>
        <item x="306"/>
        <item x="219"/>
        <item x="96"/>
        <item x="133"/>
        <item x="128"/>
        <item x="218"/>
        <item x="267"/>
        <item x="376"/>
        <item x="18"/>
        <item x="413"/>
        <item x="313"/>
        <item x="142"/>
        <item x="224"/>
        <item x="71"/>
        <item x="42"/>
        <item x="108"/>
        <item x="106"/>
        <item x="284"/>
        <item x="356"/>
        <item x="497"/>
        <item x="204"/>
        <item x="178"/>
        <item x="140"/>
        <item x="352"/>
        <item x="165"/>
        <item x="320"/>
        <item x="28"/>
        <item x="400"/>
        <item x="486"/>
        <item x="456"/>
        <item x="233"/>
        <item x="239"/>
        <item x="382"/>
        <item x="305"/>
        <item x="388"/>
        <item x="457"/>
        <item x="402"/>
        <item x="183"/>
        <item x="308"/>
        <item x="492"/>
        <item x="420"/>
        <item x="257"/>
        <item x="38"/>
        <item x="435"/>
        <item x="307"/>
        <item x="197"/>
        <item x="427"/>
        <item x="145"/>
        <item x="88"/>
        <item x="463"/>
        <item x="177"/>
        <item x="325"/>
        <item x="39"/>
        <item x="378"/>
        <item x="349"/>
        <item x="193"/>
        <item x="50"/>
        <item x="277"/>
        <item x="423"/>
        <item x="168"/>
        <item x="245"/>
        <item x="143"/>
        <item x="429"/>
        <item x="164"/>
        <item x="36"/>
        <item x="26"/>
        <item x="286"/>
        <item x="310"/>
        <item x="125"/>
        <item x="335"/>
        <item x="228"/>
        <item x="22"/>
        <item x="357"/>
        <item x="469"/>
        <item x="365"/>
        <item x="131"/>
        <item x="326"/>
        <item x="343"/>
        <item x="112"/>
        <item x="477"/>
        <item x="409"/>
        <item x="408"/>
        <item x="0"/>
        <item x="119"/>
        <item x="52"/>
        <item x="83"/>
        <item x="351"/>
        <item x="315"/>
        <item x="472"/>
        <item x="269"/>
        <item x="311"/>
        <item x="254"/>
        <item x="471"/>
        <item x="40"/>
        <item x="241"/>
        <item x="180"/>
        <item x="60"/>
        <item x="154"/>
        <item x="389"/>
        <item x="5"/>
        <item x="283"/>
        <item x="207"/>
        <item x="386"/>
        <item x="470"/>
        <item x="359"/>
        <item x="99"/>
        <item x="74"/>
        <item x="260"/>
        <item x="289"/>
        <item x="491"/>
        <item x="70"/>
        <item x="279"/>
        <item x="503"/>
        <item x="424"/>
        <item x="59"/>
        <item x="347"/>
        <item x="488"/>
        <item x="216"/>
        <item x="330"/>
        <item x="294"/>
        <item x="240"/>
        <item x="304"/>
        <item x="451"/>
        <item x="292"/>
        <item x="476"/>
        <item x="86"/>
        <item x="242"/>
        <item x="443"/>
        <item x="200"/>
        <item x="2"/>
        <item x="439"/>
        <item x="231"/>
        <item x="344"/>
        <item x="156"/>
        <item x="33"/>
        <item x="7"/>
        <item x="68"/>
        <item x="415"/>
        <item x="468"/>
        <item x="191"/>
        <item x="189"/>
        <item x="90"/>
        <item x="124"/>
        <item x="56"/>
        <item x="293"/>
        <item x="127"/>
        <item x="67"/>
        <item x="185"/>
        <item x="16"/>
        <item x="29"/>
        <item x="246"/>
        <item x="444"/>
        <item x="333"/>
        <item x="235"/>
        <item x="160"/>
        <item x="12"/>
        <item x="281"/>
        <item x="353"/>
        <item x="410"/>
        <item x="249"/>
        <item x="14"/>
        <item x="458"/>
        <item x="321"/>
        <item x="118"/>
        <item x="111"/>
        <item x="214"/>
        <item x="450"/>
        <item x="447"/>
        <item x="437"/>
        <item x="226"/>
        <item x="303"/>
        <item x="504"/>
        <item t="default"/>
      </items>
    </pivotField>
    <pivotField compact="0" showAll="0">
      <items count="3">
        <item x="1"/>
        <item x="0"/>
        <item t="default"/>
      </items>
    </pivotField>
  </pivotFields>
  <rowFields count="5">
    <field x="5"/>
    <field x="6"/>
    <field x="9"/>
    <field x="10"/>
    <field x="11"/>
  </rowFields>
  <rowItems count="1286">
    <i>
      <x/>
    </i>
    <i r="1">
      <x v="14"/>
    </i>
    <i r="2">
      <x v="106"/>
    </i>
    <i r="3">
      <x v="1"/>
    </i>
    <i r="4">
      <x v="183"/>
    </i>
    <i r="2">
      <x v="127"/>
    </i>
    <i r="3">
      <x v="23"/>
    </i>
    <i r="4">
      <x v="145"/>
    </i>
    <i>
      <x v="1"/>
    </i>
    <i r="1">
      <x v="18"/>
    </i>
    <i r="2">
      <x v="33"/>
    </i>
    <i r="3">
      <x v="29"/>
    </i>
    <i r="4">
      <x v="50"/>
    </i>
    <i>
      <x v="3"/>
    </i>
    <i r="1">
      <x v="3"/>
    </i>
    <i r="2">
      <x v="74"/>
    </i>
    <i r="3">
      <x v="37"/>
    </i>
    <i r="4">
      <x v="162"/>
    </i>
    <i>
      <x v="4"/>
    </i>
    <i r="1">
      <x v="5"/>
    </i>
    <i r="2">
      <x v="97"/>
    </i>
    <i r="3">
      <x v="3"/>
    </i>
    <i r="4">
      <x v="196"/>
    </i>
    <i r="2">
      <x v="169"/>
    </i>
    <i r="3">
      <x v="30"/>
    </i>
    <i r="4">
      <x v="89"/>
    </i>
    <i>
      <x v="7"/>
    </i>
    <i r="1">
      <x v="29"/>
    </i>
    <i r="2">
      <x v="98"/>
    </i>
    <i r="3">
      <x v="13"/>
    </i>
    <i r="4">
      <x v="81"/>
    </i>
    <i>
      <x v="8"/>
    </i>
    <i r="1">
      <x v="11"/>
    </i>
    <i r="2">
      <x v="183"/>
    </i>
    <i r="3">
      <x v="38"/>
    </i>
    <i r="4">
      <x v="181"/>
    </i>
    <i>
      <x v="9"/>
    </i>
    <i r="1">
      <x v="15"/>
    </i>
    <i r="2">
      <x v="28"/>
    </i>
    <i r="3">
      <x v="30"/>
    </i>
    <i r="4">
      <x v="95"/>
    </i>
    <i>
      <x v="12"/>
    </i>
    <i r="1">
      <x v="23"/>
    </i>
    <i r="2">
      <x v="74"/>
    </i>
    <i r="3">
      <x v="37"/>
    </i>
    <i r="4">
      <x v="161"/>
    </i>
    <i>
      <x v="14"/>
    </i>
    <i r="1">
      <x v="30"/>
    </i>
    <i r="2">
      <x v="46"/>
    </i>
    <i r="3">
      <x v="42"/>
    </i>
    <i r="4">
      <x v="119"/>
    </i>
    <i r="2">
      <x v="173"/>
    </i>
    <i r="3">
      <x v="1"/>
    </i>
    <i r="4">
      <x v="188"/>
    </i>
    <i>
      <x v="17"/>
    </i>
    <i r="1">
      <x v="8"/>
    </i>
    <i r="2">
      <x v="17"/>
    </i>
    <i r="3">
      <x v="3"/>
    </i>
    <i r="4">
      <x v="223"/>
    </i>
    <i r="2">
      <x v="98"/>
    </i>
    <i r="3">
      <x v="13"/>
    </i>
    <i r="4">
      <x v="81"/>
    </i>
    <i>
      <x v="20"/>
    </i>
    <i r="1">
      <x v="32"/>
    </i>
    <i r="2">
      <x v="41"/>
    </i>
    <i r="3">
      <x v="18"/>
    </i>
    <i r="4">
      <x v="107"/>
    </i>
    <i r="2">
      <x v="187"/>
    </i>
    <i r="3">
      <x v="29"/>
    </i>
    <i r="4">
      <x v="53"/>
    </i>
    <i>
      <x v="21"/>
    </i>
    <i r="1">
      <x v="33"/>
    </i>
    <i r="2">
      <x v="146"/>
    </i>
    <i r="3">
      <x v="28"/>
    </i>
    <i r="4">
      <x v="27"/>
    </i>
    <i>
      <x v="23"/>
    </i>
    <i r="1">
      <x v="31"/>
    </i>
    <i r="2">
      <x v="130"/>
    </i>
    <i r="3">
      <x v="8"/>
    </i>
    <i r="4">
      <x v="60"/>
    </i>
    <i>
      <x v="25"/>
    </i>
    <i r="1">
      <x v="20"/>
    </i>
    <i r="2">
      <x v="97"/>
    </i>
    <i r="3">
      <x v="3"/>
    </i>
    <i r="4">
      <x v="193"/>
    </i>
    <i r="2">
      <x v="136"/>
    </i>
    <i r="3">
      <x v="33"/>
    </i>
    <i r="4">
      <x v="31"/>
    </i>
    <i>
      <x v="30"/>
    </i>
    <i r="1">
      <x v="10"/>
    </i>
    <i r="2">
      <x v="167"/>
    </i>
    <i r="3">
      <x v="8"/>
    </i>
    <i r="4">
      <x v="69"/>
    </i>
    <i>
      <x v="33"/>
    </i>
    <i r="1">
      <x v="24"/>
    </i>
    <i r="2">
      <x v="27"/>
    </i>
    <i r="3">
      <x v="10"/>
    </i>
    <i r="4">
      <x v="135"/>
    </i>
    <i r="2">
      <x v="163"/>
    </i>
    <i r="3">
      <x v="41"/>
    </i>
    <i r="4">
      <x v="235"/>
    </i>
    <i>
      <x v="36"/>
    </i>
    <i r="1">
      <x v="42"/>
    </i>
    <i r="2">
      <x v="158"/>
    </i>
    <i r="3">
      <x v="3"/>
    </i>
    <i r="4">
      <x v="221"/>
    </i>
    <i>
      <x v="37"/>
    </i>
    <i r="1">
      <x v="45"/>
    </i>
    <i r="2">
      <x v="64"/>
    </i>
    <i r="3">
      <x v="42"/>
    </i>
    <i r="4">
      <x v="118"/>
    </i>
    <i>
      <x v="38"/>
    </i>
    <i r="1">
      <x v="50"/>
    </i>
    <i r="2">
      <x v="91"/>
    </i>
    <i r="3">
      <x v="17"/>
    </i>
    <i r="4">
      <x/>
    </i>
    <i r="2">
      <x v="107"/>
    </i>
    <i r="3">
      <x v="8"/>
    </i>
    <i r="4">
      <x v="65"/>
    </i>
    <i>
      <x v="39"/>
    </i>
    <i r="1">
      <x v="53"/>
    </i>
    <i r="2">
      <x v="144"/>
    </i>
    <i r="3">
      <x v="13"/>
    </i>
    <i r="4">
      <x v="82"/>
    </i>
    <i>
      <x v="42"/>
    </i>
    <i r="1">
      <x v="52"/>
    </i>
    <i r="2">
      <x v="97"/>
    </i>
    <i r="3">
      <x v="3"/>
    </i>
    <i r="4">
      <x v="195"/>
    </i>
    <i>
      <x v="43"/>
    </i>
    <i r="1">
      <x v="41"/>
    </i>
    <i r="2">
      <x v="121"/>
    </i>
    <i r="3">
      <x v="28"/>
    </i>
    <i r="4">
      <x v="20"/>
    </i>
    <i>
      <x v="44"/>
    </i>
    <i r="1">
      <x v="38"/>
    </i>
    <i r="2">
      <x v="156"/>
    </i>
    <i r="3">
      <x v="37"/>
    </i>
    <i r="4">
      <x v="168"/>
    </i>
    <i>
      <x v="46"/>
    </i>
    <i r="1">
      <x v="55"/>
    </i>
    <i r="2">
      <x v="19"/>
    </i>
    <i r="3">
      <x v="10"/>
    </i>
    <i r="4">
      <x v="128"/>
    </i>
    <i r="2">
      <x v="32"/>
    </i>
    <i r="3">
      <x v="30"/>
    </i>
    <i r="4">
      <x v="88"/>
    </i>
    <i>
      <x v="48"/>
    </i>
    <i r="1">
      <x v="46"/>
    </i>
    <i r="2">
      <x v="97"/>
    </i>
    <i r="3">
      <x v="3"/>
    </i>
    <i r="4">
      <x v="198"/>
    </i>
    <i>
      <x v="52"/>
    </i>
    <i r="1">
      <x v="54"/>
    </i>
    <i r="2">
      <x v="39"/>
    </i>
    <i r="3">
      <x v="4"/>
    </i>
    <i r="4">
      <x v="177"/>
    </i>
    <i>
      <x v="57"/>
    </i>
    <i r="1">
      <x v="68"/>
    </i>
    <i r="2">
      <x v="27"/>
    </i>
    <i r="3">
      <x v="10"/>
    </i>
    <i r="4">
      <x v="133"/>
    </i>
    <i>
      <x v="59"/>
    </i>
    <i r="1">
      <x v="85"/>
    </i>
    <i r="2">
      <x v="106"/>
    </i>
    <i r="3">
      <x v="1"/>
    </i>
    <i r="4">
      <x v="183"/>
    </i>
    <i r="2">
      <x v="136"/>
    </i>
    <i r="3">
      <x v="33"/>
    </i>
    <i r="4">
      <x v="32"/>
    </i>
    <i r="2">
      <x v="167"/>
    </i>
    <i r="3">
      <x v="8"/>
    </i>
    <i r="4">
      <x v="69"/>
    </i>
    <i>
      <x v="60"/>
    </i>
    <i r="1">
      <x v="62"/>
    </i>
    <i r="2">
      <x v="4"/>
    </i>
    <i r="3">
      <x v="37"/>
    </i>
    <i r="4">
      <x v="158"/>
    </i>
    <i r="2">
      <x v="68"/>
    </i>
    <i r="3">
      <x v="30"/>
    </i>
    <i r="4">
      <x v="94"/>
    </i>
    <i>
      <x v="62"/>
    </i>
    <i r="1">
      <x v="65"/>
    </i>
    <i r="2">
      <x v="97"/>
    </i>
    <i r="3">
      <x v="3"/>
    </i>
    <i r="4">
      <x v="193"/>
    </i>
    <i>
      <x v="64"/>
    </i>
    <i r="1">
      <x v="78"/>
    </i>
    <i r="2">
      <x v="158"/>
    </i>
    <i r="3">
      <x v="3"/>
    </i>
    <i r="4">
      <x v="222"/>
    </i>
    <i>
      <x v="65"/>
    </i>
    <i r="1">
      <x v="82"/>
    </i>
    <i r="2">
      <x v="27"/>
    </i>
    <i r="3">
      <x v="10"/>
    </i>
    <i r="4">
      <x v="133"/>
    </i>
    <i r="2">
      <x v="121"/>
    </i>
    <i r="3">
      <x v="28"/>
    </i>
    <i r="4">
      <x v="17"/>
    </i>
    <i>
      <x v="66"/>
    </i>
    <i r="1">
      <x v="58"/>
    </i>
    <i r="2">
      <x v="82"/>
    </i>
    <i r="3">
      <x v="3"/>
    </i>
    <i r="4">
      <x v="211"/>
    </i>
    <i>
      <x v="67"/>
    </i>
    <i r="1">
      <x v="60"/>
    </i>
    <i r="2">
      <x v="174"/>
    </i>
    <i r="3">
      <x v="37"/>
    </i>
    <i r="4">
      <x v="157"/>
    </i>
    <i>
      <x v="69"/>
    </i>
    <i r="1">
      <x v="76"/>
    </i>
    <i r="2">
      <x v="70"/>
    </i>
    <i r="3">
      <x v="13"/>
    </i>
    <i r="4">
      <x v="84"/>
    </i>
    <i>
      <x v="70"/>
    </i>
    <i r="1">
      <x v="61"/>
    </i>
    <i r="2">
      <x v="75"/>
    </i>
    <i r="3">
      <x v="3"/>
    </i>
    <i r="4">
      <x v="214"/>
    </i>
    <i>
      <x v="71"/>
    </i>
    <i r="1">
      <x v="66"/>
    </i>
    <i r="2">
      <x v="136"/>
    </i>
    <i r="3">
      <x v="33"/>
    </i>
    <i r="4">
      <x v="30"/>
    </i>
    <i>
      <x v="73"/>
    </i>
    <i r="1">
      <x v="80"/>
    </i>
    <i r="2">
      <x v="65"/>
    </i>
    <i r="3">
      <x v="30"/>
    </i>
    <i r="4">
      <x v="87"/>
    </i>
    <i>
      <x v="75"/>
    </i>
    <i r="1">
      <x v="79"/>
    </i>
    <i r="2">
      <x v="86"/>
    </i>
    <i r="3">
      <x v="3"/>
    </i>
    <i r="4">
      <x v="218"/>
    </i>
    <i r="2">
      <x v="175"/>
    </i>
    <i r="3">
      <x v="12"/>
    </i>
    <i r="4">
      <x v="113"/>
    </i>
    <i>
      <x v="76"/>
    </i>
    <i r="1">
      <x v="72"/>
    </i>
    <i r="2">
      <x v="7"/>
    </i>
    <i r="3">
      <x v="9"/>
    </i>
    <i r="4">
      <x v="57"/>
    </i>
    <i>
      <x v="77"/>
    </i>
    <i r="1">
      <x v="75"/>
    </i>
    <i r="2">
      <x v="158"/>
    </i>
    <i r="3">
      <x v="3"/>
    </i>
    <i r="4">
      <x v="222"/>
    </i>
    <i>
      <x v="80"/>
    </i>
    <i r="1">
      <x v="83"/>
    </i>
    <i r="2">
      <x v="32"/>
    </i>
    <i r="3">
      <x v="30"/>
    </i>
    <i r="4">
      <x v="88"/>
    </i>
    <i>
      <x v="81"/>
    </i>
    <i r="1">
      <x v="59"/>
    </i>
    <i r="2">
      <x v="27"/>
    </i>
    <i r="3">
      <x v="10"/>
    </i>
    <i r="4">
      <x v="133"/>
    </i>
    <i>
      <x v="82"/>
    </i>
    <i r="1">
      <x v="64"/>
    </i>
    <i r="2">
      <x v="10"/>
    </i>
    <i r="3">
      <x v="37"/>
    </i>
    <i r="4">
      <x v="171"/>
    </i>
    <i r="2">
      <x v="97"/>
    </i>
    <i r="3">
      <x v="3"/>
    </i>
    <i r="4">
      <x v="193"/>
    </i>
    <i>
      <x v="87"/>
    </i>
    <i r="1">
      <x v="95"/>
    </i>
    <i r="2">
      <x v="27"/>
    </i>
    <i r="3">
      <x v="10"/>
    </i>
    <i r="4">
      <x v="135"/>
    </i>
    <i r="2">
      <x v="99"/>
    </i>
    <i r="3">
      <x v="17"/>
    </i>
    <i r="4">
      <x v="1"/>
    </i>
    <i r="2">
      <x v="163"/>
    </i>
    <i r="3">
      <x v="41"/>
    </i>
    <i r="4">
      <x v="235"/>
    </i>
    <i>
      <x v="89"/>
    </i>
    <i r="1">
      <x v="102"/>
    </i>
    <i r="2">
      <x v="74"/>
    </i>
    <i r="3">
      <x v="37"/>
    </i>
    <i r="4">
      <x v="162"/>
    </i>
    <i r="2">
      <x v="136"/>
    </i>
    <i r="3">
      <x v="33"/>
    </i>
    <i r="4">
      <x v="32"/>
    </i>
    <i>
      <x v="90"/>
    </i>
    <i r="1">
      <x v="114"/>
    </i>
    <i r="2">
      <x v="97"/>
    </i>
    <i r="3">
      <x v="3"/>
    </i>
    <i r="4">
      <x v="197"/>
    </i>
    <i>
      <x v="91"/>
    </i>
    <i r="1">
      <x v="87"/>
    </i>
    <i r="2">
      <x v="29"/>
    </i>
    <i r="3">
      <x v="30"/>
    </i>
    <i r="4">
      <x v="91"/>
    </i>
    <i>
      <x v="92"/>
    </i>
    <i r="1">
      <x v="105"/>
    </i>
    <i r="2">
      <x v="35"/>
    </i>
    <i r="3">
      <x v="19"/>
    </i>
    <i r="4">
      <x v="120"/>
    </i>
    <i>
      <x v="96"/>
    </i>
    <i r="1">
      <x v="115"/>
    </i>
    <i r="2">
      <x v="121"/>
    </i>
    <i r="3">
      <x v="28"/>
    </i>
    <i r="4">
      <x v="19"/>
    </i>
    <i>
      <x v="97"/>
    </i>
    <i r="1">
      <x v="91"/>
    </i>
    <i r="2">
      <x v="70"/>
    </i>
    <i r="3">
      <x v="13"/>
    </i>
    <i r="4">
      <x v="84"/>
    </i>
    <i>
      <x v="98"/>
    </i>
    <i r="1">
      <x v="96"/>
    </i>
    <i r="2">
      <x v="163"/>
    </i>
    <i r="3">
      <x v="41"/>
    </i>
    <i r="4">
      <x v="233"/>
    </i>
    <i r="2">
      <x v="165"/>
    </i>
    <i r="3">
      <x v="40"/>
    </i>
    <i r="4">
      <x v="39"/>
    </i>
    <i>
      <x v="101"/>
    </i>
    <i r="1">
      <x v="88"/>
    </i>
    <i r="2">
      <x v="28"/>
    </i>
    <i r="3">
      <x v="30"/>
    </i>
    <i r="4">
      <x v="95"/>
    </i>
    <i>
      <x v="102"/>
    </i>
    <i r="1">
      <x v="90"/>
    </i>
    <i r="2">
      <x v="125"/>
    </i>
    <i r="3">
      <x v="3"/>
    </i>
    <i r="4">
      <x v="206"/>
    </i>
    <i>
      <x v="103"/>
    </i>
    <i r="1">
      <x v="106"/>
    </i>
    <i r="2">
      <x v="121"/>
    </i>
    <i r="3">
      <x v="28"/>
    </i>
    <i r="4">
      <x v="19"/>
    </i>
    <i r="2">
      <x v="136"/>
    </i>
    <i r="3">
      <x v="33"/>
    </i>
    <i r="4">
      <x v="31"/>
    </i>
    <i>
      <x v="105"/>
    </i>
    <i r="1">
      <x v="116"/>
    </i>
    <i r="2">
      <x v="158"/>
    </i>
    <i r="3">
      <x v="3"/>
    </i>
    <i r="4">
      <x v="222"/>
    </i>
    <i>
      <x v="106"/>
    </i>
    <i r="1">
      <x v="108"/>
    </i>
    <i r="2">
      <x v="134"/>
    </i>
    <i r="3">
      <x v="8"/>
    </i>
    <i r="4">
      <x v="64"/>
    </i>
    <i>
      <x v="107"/>
    </i>
    <i r="1">
      <x v="92"/>
    </i>
    <i r="2">
      <x v="118"/>
    </i>
    <i r="3">
      <x v="11"/>
    </i>
    <i r="4">
      <x v="98"/>
    </i>
    <i>
      <x v="109"/>
    </i>
    <i r="1">
      <x v="100"/>
    </i>
    <i r="2">
      <x v="121"/>
    </i>
    <i r="3">
      <x v="28"/>
    </i>
    <i r="4">
      <x v="20"/>
    </i>
    <i>
      <x v="114"/>
    </i>
    <i r="1">
      <x v="109"/>
    </i>
    <i r="2">
      <x v="39"/>
    </i>
    <i r="3">
      <x v="4"/>
    </i>
    <i r="4">
      <x v="177"/>
    </i>
    <i>
      <x v="120"/>
    </i>
    <i r="1">
      <x v="121"/>
    </i>
    <i r="2">
      <x v="121"/>
    </i>
    <i r="3">
      <x v="28"/>
    </i>
    <i r="4">
      <x v="20"/>
    </i>
    <i r="2">
      <x v="128"/>
    </i>
    <i r="3">
      <x v="38"/>
    </i>
    <i r="4">
      <x v="180"/>
    </i>
    <i>
      <x v="121"/>
    </i>
    <i r="1">
      <x v="124"/>
    </i>
    <i r="2">
      <x v="153"/>
    </i>
    <i r="3">
      <x v="8"/>
    </i>
    <i r="4">
      <x v="70"/>
    </i>
    <i>
      <x v="123"/>
    </i>
    <i r="1">
      <x v="122"/>
    </i>
    <i r="2">
      <x v="125"/>
    </i>
    <i r="3">
      <x v="28"/>
    </i>
    <i r="4">
      <x v="23"/>
    </i>
    <i>
      <x v="124"/>
    </i>
    <i r="1">
      <x v="125"/>
    </i>
    <i r="2">
      <x v="97"/>
    </i>
    <i r="3">
      <x v="3"/>
    </i>
    <i r="4">
      <x v="198"/>
    </i>
    <i r="2">
      <x v="136"/>
    </i>
    <i r="3">
      <x v="33"/>
    </i>
    <i r="4">
      <x v="30"/>
    </i>
    <i>
      <x v="127"/>
    </i>
    <i r="1">
      <x v="126"/>
    </i>
    <i r="2">
      <x v="136"/>
    </i>
    <i r="3">
      <x v="33"/>
    </i>
    <i r="4">
      <x v="31"/>
    </i>
    <i>
      <x v="128"/>
    </i>
    <i r="1">
      <x v="130"/>
    </i>
    <i r="2">
      <x v="121"/>
    </i>
    <i r="3">
      <x v="28"/>
    </i>
    <i r="4">
      <x v="19"/>
    </i>
    <i>
      <x v="130"/>
    </i>
    <i r="1">
      <x v="123"/>
    </i>
    <i r="2">
      <x v="27"/>
    </i>
    <i r="3">
      <x v="10"/>
    </i>
    <i r="4">
      <x v="135"/>
    </i>
    <i>
      <x v="132"/>
    </i>
    <i r="1">
      <x v="128"/>
    </i>
    <i r="2">
      <x v="158"/>
    </i>
    <i r="3">
      <x v="3"/>
    </i>
    <i r="4">
      <x v="221"/>
    </i>
    <i>
      <x v="137"/>
    </i>
    <i r="1">
      <x v="138"/>
    </i>
    <i r="2">
      <x v="9"/>
    </i>
    <i r="3">
      <x v="4"/>
    </i>
    <i r="4">
      <x v="174"/>
    </i>
    <i>
      <x v="138"/>
    </i>
    <i r="1">
      <x v="136"/>
    </i>
    <i r="2">
      <x v="97"/>
    </i>
    <i r="3">
      <x v="3"/>
    </i>
    <i r="4">
      <x v="194"/>
    </i>
    <i>
      <x v="140"/>
    </i>
    <i r="1">
      <x v="152"/>
    </i>
    <i r="2">
      <x v="25"/>
    </i>
    <i r="3">
      <x v="29"/>
    </i>
    <i r="4">
      <x v="52"/>
    </i>
    <i r="2">
      <x v="96"/>
    </i>
    <i r="3">
      <x v="30"/>
    </i>
    <i r="4">
      <x v="90"/>
    </i>
    <i>
      <x v="146"/>
    </i>
    <i r="1">
      <x v="150"/>
    </i>
    <i r="2">
      <x v="149"/>
    </i>
    <i r="3">
      <x v="37"/>
    </i>
    <i r="4">
      <x v="170"/>
    </i>
    <i>
      <x v="148"/>
    </i>
    <i r="1">
      <x v="141"/>
    </i>
    <i r="2">
      <x v="158"/>
    </i>
    <i r="3">
      <x v="3"/>
    </i>
    <i r="4">
      <x v="222"/>
    </i>
    <i>
      <x v="152"/>
    </i>
    <i r="1">
      <x v="151"/>
    </i>
    <i r="2">
      <x v="74"/>
    </i>
    <i r="3">
      <x v="37"/>
    </i>
    <i r="4">
      <x v="163"/>
    </i>
    <i r="2">
      <x v="84"/>
    </i>
    <i r="3">
      <x v="19"/>
    </i>
    <i r="4">
      <x v="121"/>
    </i>
    <i r="2">
      <x v="121"/>
    </i>
    <i r="3">
      <x v="28"/>
    </i>
    <i r="4">
      <x v="20"/>
    </i>
    <i r="2">
      <x v="181"/>
    </i>
    <i r="3">
      <x v="7"/>
    </i>
    <i r="4">
      <x v="36"/>
    </i>
    <i>
      <x v="153"/>
    </i>
    <i r="1">
      <x v="154"/>
    </i>
    <i r="2">
      <x v="69"/>
    </i>
    <i r="3">
      <x v="37"/>
    </i>
    <i r="4">
      <x v="169"/>
    </i>
    <i>
      <x v="154"/>
    </i>
    <i r="1">
      <x v="143"/>
    </i>
    <i r="2">
      <x v="146"/>
    </i>
    <i r="3">
      <x v="19"/>
    </i>
    <i r="4">
      <x v="125"/>
    </i>
    <i r="2">
      <x v="158"/>
    </i>
    <i r="3">
      <x v="3"/>
    </i>
    <i r="4">
      <x v="220"/>
    </i>
    <i r="4">
      <x v="221"/>
    </i>
    <i>
      <x v="155"/>
    </i>
    <i r="1">
      <x v="158"/>
    </i>
    <i r="2">
      <x v="133"/>
    </i>
    <i r="3">
      <x v="3"/>
    </i>
    <i r="4">
      <x v="203"/>
    </i>
    <i r="2">
      <x v="158"/>
    </i>
    <i r="3">
      <x v="3"/>
    </i>
    <i r="4">
      <x v="220"/>
    </i>
    <i>
      <x v="157"/>
    </i>
    <i r="1">
      <x v="161"/>
    </i>
    <i r="2">
      <x v="74"/>
    </i>
    <i r="3">
      <x v="37"/>
    </i>
    <i r="4">
      <x v="164"/>
    </i>
    <i>
      <x v="158"/>
    </i>
    <i r="1">
      <x v="160"/>
    </i>
    <i r="2">
      <x v="121"/>
    </i>
    <i r="3">
      <x v="28"/>
    </i>
    <i r="4">
      <x v="17"/>
    </i>
    <i>
      <x v="162"/>
    </i>
    <i r="1">
      <x v="162"/>
    </i>
    <i r="2">
      <x v="89"/>
    </i>
    <i r="3">
      <x v="24"/>
    </i>
    <i r="4">
      <x v="192"/>
    </i>
    <i>
      <x v="163"/>
    </i>
    <i r="1">
      <x v="163"/>
    </i>
    <i r="2">
      <x v="163"/>
    </i>
    <i r="3">
      <x v="41"/>
    </i>
    <i r="4">
      <x v="233"/>
    </i>
    <i>
      <x v="164"/>
    </i>
    <i r="1">
      <x v="197"/>
    </i>
    <i r="2">
      <x v="137"/>
    </i>
    <i r="3">
      <x v="1"/>
    </i>
    <i r="4">
      <x v="182"/>
    </i>
    <i>
      <x v="166"/>
    </i>
    <i r="1">
      <x v="195"/>
    </i>
    <i r="2">
      <x v="43"/>
    </i>
    <i r="3">
      <x v="30"/>
    </i>
    <i r="4">
      <x v="85"/>
    </i>
    <i>
      <x v="167"/>
    </i>
    <i r="1">
      <x v="170"/>
    </i>
    <i r="2">
      <x v="97"/>
    </i>
    <i r="3">
      <x v="3"/>
    </i>
    <i r="4">
      <x v="195"/>
    </i>
    <i>
      <x v="170"/>
    </i>
    <i r="1">
      <x v="199"/>
    </i>
    <i r="2">
      <x v="158"/>
    </i>
    <i r="3">
      <x v="3"/>
    </i>
    <i r="4">
      <x v="220"/>
    </i>
    <i>
      <x v="172"/>
    </i>
    <i r="1">
      <x v="177"/>
    </i>
    <i r="2">
      <x v="120"/>
    </i>
    <i r="3">
      <x v="28"/>
    </i>
    <i r="4">
      <x v="22"/>
    </i>
    <i r="2">
      <x v="172"/>
    </i>
    <i r="3">
      <x v="28"/>
    </i>
    <i r="4">
      <x v="25"/>
    </i>
    <i>
      <x v="173"/>
    </i>
    <i r="1">
      <x v="187"/>
    </i>
    <i r="2">
      <x v="53"/>
    </i>
    <i r="3">
      <x v="13"/>
    </i>
    <i r="4">
      <x v="83"/>
    </i>
    <i r="2">
      <x v="74"/>
    </i>
    <i r="3">
      <x v="37"/>
    </i>
    <i r="4">
      <x v="163"/>
    </i>
    <i r="2">
      <x v="98"/>
    </i>
    <i r="3">
      <x v="4"/>
    </i>
    <i r="4">
      <x v="175"/>
    </i>
    <i r="2">
      <x v="105"/>
    </i>
    <i r="3">
      <x v="36"/>
    </i>
    <i r="4">
      <x v="78"/>
    </i>
    <i r="2">
      <x v="122"/>
    </i>
    <i r="3">
      <x v="30"/>
    </i>
    <i r="4">
      <x v="86"/>
    </i>
    <i>
      <x v="175"/>
    </i>
    <i r="1">
      <x v="171"/>
    </i>
    <i r="2">
      <x v="10"/>
    </i>
    <i r="3">
      <x v="37"/>
    </i>
    <i r="4">
      <x v="171"/>
    </i>
    <i>
      <x v="176"/>
    </i>
    <i r="1">
      <x v="174"/>
    </i>
    <i r="2">
      <x v="121"/>
    </i>
    <i r="3">
      <x v="28"/>
    </i>
    <i r="4">
      <x v="19"/>
    </i>
    <i>
      <x v="177"/>
    </i>
    <i r="1">
      <x v="178"/>
    </i>
    <i r="2">
      <x v="163"/>
    </i>
    <i r="3">
      <x v="41"/>
    </i>
    <i r="4">
      <x v="234"/>
    </i>
    <i>
      <x v="178"/>
    </i>
    <i r="1">
      <x v="164"/>
    </i>
    <i r="2">
      <x v="40"/>
    </i>
    <i r="3">
      <x v="41"/>
    </i>
    <i r="4">
      <x v="236"/>
    </i>
    <i>
      <x v="180"/>
    </i>
    <i r="1">
      <x v="175"/>
    </i>
    <i r="2">
      <x v="20"/>
    </i>
    <i r="3">
      <x v="29"/>
    </i>
    <i r="4">
      <x v="45"/>
    </i>
    <i>
      <x v="181"/>
    </i>
    <i r="1">
      <x v="194"/>
    </i>
    <i r="2">
      <x v="27"/>
    </i>
    <i r="3">
      <x v="10"/>
    </i>
    <i r="4">
      <x v="134"/>
    </i>
    <i r="2">
      <x v="97"/>
    </i>
    <i r="3">
      <x v="3"/>
    </i>
    <i r="4">
      <x v="195"/>
    </i>
    <i>
      <x v="182"/>
    </i>
    <i r="1">
      <x v="198"/>
    </i>
    <i r="2">
      <x v="150"/>
    </i>
    <i r="3">
      <x v="18"/>
    </i>
    <i r="4">
      <x v="110"/>
    </i>
    <i r="2">
      <x v="163"/>
    </i>
    <i r="3">
      <x v="41"/>
    </i>
    <i r="4">
      <x v="235"/>
    </i>
    <i>
      <x v="183"/>
    </i>
    <i r="1">
      <x v="176"/>
    </i>
    <i r="2">
      <x v="97"/>
    </i>
    <i r="3">
      <x v="3"/>
    </i>
    <i r="4">
      <x v="193"/>
    </i>
    <i>
      <x v="186"/>
    </i>
    <i r="1">
      <x v="172"/>
    </i>
    <i r="2">
      <x v="95"/>
    </i>
    <i r="3">
      <x v="3"/>
    </i>
    <i r="4">
      <x v="202"/>
    </i>
    <i>
      <x v="188"/>
    </i>
    <i r="1">
      <x v="186"/>
    </i>
    <i r="2">
      <x v="6"/>
    </i>
    <i r="3">
      <x v="29"/>
    </i>
    <i r="4">
      <x v="55"/>
    </i>
    <i r="2">
      <x v="80"/>
    </i>
    <i r="3">
      <x v="29"/>
    </i>
    <i r="4">
      <x v="54"/>
    </i>
    <i>
      <x v="190"/>
    </i>
    <i r="1">
      <x v="179"/>
    </i>
    <i r="2">
      <x v="74"/>
    </i>
    <i r="3">
      <x v="37"/>
    </i>
    <i r="4">
      <x v="163"/>
    </i>
    <i r="2">
      <x v="121"/>
    </i>
    <i r="3">
      <x v="28"/>
    </i>
    <i r="4">
      <x v="20"/>
    </i>
    <i>
      <x v="191"/>
    </i>
    <i r="1">
      <x v="190"/>
    </i>
    <i r="2">
      <x v="110"/>
    </i>
    <i r="3">
      <x v="3"/>
    </i>
    <i r="4">
      <x v="215"/>
    </i>
    <i>
      <x v="192"/>
    </i>
    <i r="1">
      <x v="191"/>
    </i>
    <i r="2">
      <x v="136"/>
    </i>
    <i r="3">
      <x v="33"/>
    </i>
    <i r="4">
      <x v="31"/>
    </i>
    <i r="2">
      <x v="163"/>
    </i>
    <i r="3">
      <x v="41"/>
    </i>
    <i r="4">
      <x v="234"/>
    </i>
    <i>
      <x v="193"/>
    </i>
    <i r="1">
      <x v="166"/>
    </i>
    <i r="2">
      <x v="25"/>
    </i>
    <i r="3">
      <x v="29"/>
    </i>
    <i r="4">
      <x v="52"/>
    </i>
    <i>
      <x v="195"/>
    </i>
    <i r="1">
      <x v="181"/>
    </i>
    <i r="2">
      <x v="136"/>
    </i>
    <i r="3">
      <x v="33"/>
    </i>
    <i r="4">
      <x v="33"/>
    </i>
    <i>
      <x v="196"/>
    </i>
    <i r="1">
      <x v="168"/>
    </i>
    <i r="2">
      <x v="97"/>
    </i>
    <i r="3">
      <x v="3"/>
    </i>
    <i r="4">
      <x v="193"/>
    </i>
    <i>
      <x v="198"/>
    </i>
    <i r="1">
      <x v="180"/>
    </i>
    <i r="2">
      <x v="158"/>
    </i>
    <i r="3">
      <x v="3"/>
    </i>
    <i r="4">
      <x v="221"/>
    </i>
    <i>
      <x v="202"/>
    </i>
    <i r="1">
      <x v="192"/>
    </i>
    <i r="2">
      <x v="163"/>
    </i>
    <i r="3">
      <x v="41"/>
    </i>
    <i r="4">
      <x v="233"/>
    </i>
    <i>
      <x v="205"/>
    </i>
    <i r="1">
      <x v="208"/>
    </i>
    <i r="2">
      <x v="109"/>
    </i>
    <i r="3">
      <x v="19"/>
    </i>
    <i r="4">
      <x v="124"/>
    </i>
    <i>
      <x v="209"/>
    </i>
    <i r="1">
      <x v="213"/>
    </i>
    <i r="2">
      <x v="122"/>
    </i>
    <i r="3">
      <x v="30"/>
    </i>
    <i r="4">
      <x v="86"/>
    </i>
    <i r="2">
      <x v="157"/>
    </i>
    <i r="3">
      <x v="3"/>
    </i>
    <i r="4">
      <x v="205"/>
    </i>
    <i>
      <x v="211"/>
    </i>
    <i r="1">
      <x v="207"/>
    </i>
    <i r="2">
      <x v="165"/>
    </i>
    <i r="3">
      <x v="40"/>
    </i>
    <i r="4">
      <x v="39"/>
    </i>
    <i>
      <x v="212"/>
    </i>
    <i r="1">
      <x v="209"/>
    </i>
    <i r="2">
      <x v="158"/>
    </i>
    <i r="3">
      <x v="3"/>
    </i>
    <i r="4">
      <x v="222"/>
    </i>
    <i>
      <x v="213"/>
    </i>
    <i r="1">
      <x v="210"/>
    </i>
    <i r="2">
      <x v="136"/>
    </i>
    <i r="3">
      <x v="33"/>
    </i>
    <i r="4">
      <x v="33"/>
    </i>
    <i>
      <x v="214"/>
    </i>
    <i r="1">
      <x v="212"/>
    </i>
    <i r="2">
      <x v="158"/>
    </i>
    <i r="3">
      <x v="3"/>
    </i>
    <i r="4">
      <x v="221"/>
    </i>
    <i>
      <x v="218"/>
    </i>
    <i r="1">
      <x v="218"/>
    </i>
    <i r="2">
      <x v="27"/>
    </i>
    <i r="3">
      <x v="10"/>
    </i>
    <i r="4">
      <x v="133"/>
    </i>
    <i r="2">
      <x v="92"/>
    </i>
    <i r="3">
      <x v="38"/>
    </i>
    <i r="4">
      <x v="179"/>
    </i>
    <i>
      <x v="220"/>
    </i>
    <i r="1">
      <x v="219"/>
    </i>
    <i r="2">
      <x v="136"/>
    </i>
    <i r="3">
      <x v="33"/>
    </i>
    <i r="4">
      <x v="32"/>
    </i>
    <i>
      <x v="221"/>
    </i>
    <i r="1">
      <x v="222"/>
    </i>
    <i r="2">
      <x v="11"/>
    </i>
    <i r="3">
      <x v="1"/>
    </i>
    <i r="4">
      <x v="186"/>
    </i>
    <i r="2">
      <x v="97"/>
    </i>
    <i r="3">
      <x v="3"/>
    </i>
    <i r="4">
      <x v="193"/>
    </i>
    <i>
      <x v="222"/>
    </i>
    <i r="1">
      <x v="211"/>
    </i>
    <i r="2">
      <x v="121"/>
    </i>
    <i r="3">
      <x v="28"/>
    </i>
    <i r="4">
      <x v="17"/>
    </i>
    <i>
      <x v="224"/>
    </i>
    <i r="1">
      <x v="226"/>
    </i>
    <i r="2">
      <x v="9"/>
    </i>
    <i r="3">
      <x v="4"/>
    </i>
    <i r="4">
      <x v="174"/>
    </i>
    <i>
      <x v="225"/>
    </i>
    <i r="1">
      <x v="227"/>
    </i>
    <i r="2">
      <x v="148"/>
    </i>
    <i r="3">
      <x v="3"/>
    </i>
    <i r="4">
      <x v="228"/>
    </i>
    <i>
      <x v="227"/>
    </i>
    <i r="1">
      <x v="238"/>
    </i>
    <i r="2">
      <x v="36"/>
    </i>
    <i r="3">
      <x v="37"/>
    </i>
    <i r="4">
      <x v="156"/>
    </i>
    <i r="2">
      <x v="97"/>
    </i>
    <i r="3">
      <x v="3"/>
    </i>
    <i r="4">
      <x v="195"/>
    </i>
    <i r="2">
      <x v="158"/>
    </i>
    <i r="3">
      <x v="3"/>
    </i>
    <i r="4">
      <x v="222"/>
    </i>
    <i>
      <x v="228"/>
    </i>
    <i r="1">
      <x v="224"/>
    </i>
    <i r="2">
      <x v="4"/>
    </i>
    <i r="3">
      <x v="40"/>
    </i>
    <i r="4">
      <x v="40"/>
    </i>
    <i r="2">
      <x v="186"/>
    </i>
    <i r="3">
      <x v="3"/>
    </i>
    <i r="4">
      <x v="201"/>
    </i>
    <i>
      <x v="229"/>
    </i>
    <i r="1">
      <x v="240"/>
    </i>
    <i r="2">
      <x v="107"/>
    </i>
    <i r="3">
      <x v="8"/>
    </i>
    <i r="4">
      <x v="65"/>
    </i>
    <i r="2">
      <x v="122"/>
    </i>
    <i r="3">
      <x v="30"/>
    </i>
    <i r="4">
      <x v="86"/>
    </i>
    <i>
      <x v="230"/>
    </i>
    <i r="1">
      <x v="228"/>
    </i>
    <i r="2">
      <x v="42"/>
    </i>
    <i r="3">
      <x v="6"/>
    </i>
    <i r="4">
      <x v="35"/>
    </i>
    <i>
      <x v="231"/>
    </i>
    <i r="1">
      <x v="234"/>
    </i>
    <i r="2">
      <x v="32"/>
    </i>
    <i r="3">
      <x v="30"/>
    </i>
    <i r="4">
      <x v="88"/>
    </i>
    <i r="2">
      <x v="174"/>
    </i>
    <i r="3">
      <x v="37"/>
    </i>
    <i r="4">
      <x v="157"/>
    </i>
    <i>
      <x v="232"/>
    </i>
    <i r="1">
      <x v="239"/>
    </i>
    <i r="2">
      <x v="97"/>
    </i>
    <i r="3">
      <x v="3"/>
    </i>
    <i r="4">
      <x v="195"/>
    </i>
    <i r="2">
      <x v="158"/>
    </i>
    <i r="3">
      <x v="3"/>
    </i>
    <i r="4">
      <x v="220"/>
    </i>
    <i>
      <x v="233"/>
    </i>
    <i r="1">
      <x v="225"/>
    </i>
    <i r="2">
      <x v="146"/>
    </i>
    <i r="3">
      <x v="28"/>
    </i>
    <i r="4">
      <x v="27"/>
    </i>
    <i>
      <x v="234"/>
    </i>
    <i r="1">
      <x v="235"/>
    </i>
    <i r="2">
      <x v="165"/>
    </i>
    <i r="3">
      <x v="30"/>
    </i>
    <i r="4">
      <x v="97"/>
    </i>
    <i>
      <x v="235"/>
    </i>
    <i r="1">
      <x v="236"/>
    </i>
    <i r="2">
      <x v="158"/>
    </i>
    <i r="3">
      <x v="3"/>
    </i>
    <i r="4">
      <x v="221"/>
    </i>
    <i>
      <x v="236"/>
    </i>
    <i r="1">
      <x v="229"/>
    </i>
    <i r="2">
      <x v="157"/>
    </i>
    <i r="3">
      <x v="3"/>
    </i>
    <i r="4">
      <x v="204"/>
    </i>
    <i>
      <x v="239"/>
    </i>
    <i r="1">
      <x v="241"/>
    </i>
    <i r="2">
      <x v="61"/>
    </i>
    <i r="3">
      <x v="21"/>
    </i>
    <i r="4">
      <x v="142"/>
    </i>
    <i>
      <x v="240"/>
    </i>
    <i r="1">
      <x v="237"/>
    </i>
    <i r="2">
      <x v="86"/>
    </i>
    <i r="3">
      <x v="3"/>
    </i>
    <i r="4">
      <x v="218"/>
    </i>
    <i>
      <x v="244"/>
    </i>
    <i r="1">
      <x v="242"/>
    </i>
    <i r="2">
      <x/>
    </i>
    <i r="3">
      <x v="30"/>
    </i>
    <i r="4">
      <x v="93"/>
    </i>
    <i>
      <x v="246"/>
    </i>
    <i r="1">
      <x v="262"/>
    </i>
    <i r="2">
      <x v="79"/>
    </i>
    <i r="3">
      <x v="20"/>
    </i>
    <i r="4">
      <x v="80"/>
    </i>
    <i>
      <x v="248"/>
    </i>
    <i r="1">
      <x v="243"/>
    </i>
    <i r="2">
      <x v="52"/>
    </i>
    <i r="3">
      <x v="2"/>
    </i>
    <i r="4">
      <x v="148"/>
    </i>
    <i>
      <x v="250"/>
    </i>
    <i r="1">
      <x v="256"/>
    </i>
    <i r="2">
      <x v="9"/>
    </i>
    <i r="3">
      <x v="4"/>
    </i>
    <i r="4">
      <x v="174"/>
    </i>
    <i>
      <x v="253"/>
    </i>
    <i r="1">
      <x v="255"/>
    </i>
    <i r="2">
      <x v="27"/>
    </i>
    <i r="3">
      <x v="10"/>
    </i>
    <i r="4">
      <x v="133"/>
    </i>
    <i>
      <x v="254"/>
    </i>
    <i r="1">
      <x v="270"/>
    </i>
    <i r="2">
      <x v="136"/>
    </i>
    <i r="3">
      <x v="33"/>
    </i>
    <i r="4">
      <x v="31"/>
    </i>
    <i>
      <x v="256"/>
    </i>
    <i r="1">
      <x v="257"/>
    </i>
    <i r="2">
      <x v="163"/>
    </i>
    <i r="3">
      <x v="41"/>
    </i>
    <i r="4">
      <x v="235"/>
    </i>
    <i>
      <x v="258"/>
    </i>
    <i r="1">
      <x v="271"/>
    </i>
    <i r="2">
      <x v="80"/>
    </i>
    <i r="3">
      <x v="8"/>
    </i>
    <i r="4">
      <x v="61"/>
    </i>
    <i>
      <x v="261"/>
    </i>
    <i r="1">
      <x v="248"/>
    </i>
    <i r="2">
      <x v="121"/>
    </i>
    <i r="3">
      <x v="28"/>
    </i>
    <i r="4">
      <x v="20"/>
    </i>
    <i>
      <x v="266"/>
    </i>
    <i r="1">
      <x v="244"/>
    </i>
    <i r="2">
      <x v="15"/>
    </i>
    <i r="3">
      <x v="8"/>
    </i>
    <i r="4">
      <x v="68"/>
    </i>
    <i r="2">
      <x v="41"/>
    </i>
    <i r="3">
      <x v="18"/>
    </i>
    <i r="4">
      <x v="107"/>
    </i>
    <i>
      <x v="267"/>
    </i>
    <i r="1">
      <x v="261"/>
    </i>
    <i r="2">
      <x v="87"/>
    </i>
    <i r="3">
      <x v="37"/>
    </i>
    <i r="4">
      <x v="167"/>
    </i>
    <i r="2">
      <x v="97"/>
    </i>
    <i r="3">
      <x v="3"/>
    </i>
    <i r="4">
      <x v="196"/>
    </i>
    <i>
      <x v="269"/>
    </i>
    <i r="1">
      <x v="260"/>
    </i>
    <i r="2">
      <x v="162"/>
    </i>
    <i r="3">
      <x v="1"/>
    </i>
    <i r="4">
      <x v="185"/>
    </i>
    <i>
      <x v="271"/>
    </i>
    <i r="1">
      <x v="272"/>
    </i>
    <i r="2">
      <x v="121"/>
    </i>
    <i r="3">
      <x v="28"/>
    </i>
    <i r="4">
      <x v="17"/>
    </i>
    <i>
      <x v="276"/>
    </i>
    <i r="1">
      <x v="277"/>
    </i>
    <i r="2">
      <x v="38"/>
    </i>
    <i r="3">
      <x v="10"/>
    </i>
    <i r="4">
      <x v="139"/>
    </i>
    <i r="2">
      <x v="79"/>
    </i>
    <i r="3">
      <x v="20"/>
    </i>
    <i r="4">
      <x v="80"/>
    </i>
    <i>
      <x v="278"/>
    </i>
    <i r="1">
      <x v="278"/>
    </i>
    <i r="2">
      <x v="28"/>
    </i>
    <i r="3">
      <x v="30"/>
    </i>
    <i r="4">
      <x v="95"/>
    </i>
    <i>
      <x v="281"/>
    </i>
    <i r="1">
      <x v="275"/>
    </i>
    <i r="2">
      <x v="182"/>
    </i>
    <i r="3">
      <x v="40"/>
    </i>
    <i r="4">
      <x v="42"/>
    </i>
    <i>
      <x v="282"/>
    </i>
    <i r="1">
      <x v="284"/>
    </i>
    <i r="2">
      <x v="47"/>
    </i>
    <i r="3">
      <x v="31"/>
    </i>
    <i r="4">
      <x v="149"/>
    </i>
    <i>
      <x v="283"/>
    </i>
    <i r="1">
      <x v="281"/>
    </i>
    <i r="2">
      <x v="136"/>
    </i>
    <i r="3">
      <x v="33"/>
    </i>
    <i r="4">
      <x v="32"/>
    </i>
    <i>
      <x v="286"/>
    </i>
    <i r="1">
      <x v="286"/>
    </i>
    <i r="2">
      <x v="97"/>
    </i>
    <i r="3">
      <x v="3"/>
    </i>
    <i r="4">
      <x v="197"/>
    </i>
    <i r="2">
      <x v="157"/>
    </i>
    <i r="3">
      <x v="3"/>
    </i>
    <i r="4">
      <x v="207"/>
    </i>
    <i>
      <x v="288"/>
    </i>
    <i r="1">
      <x v="300"/>
    </i>
    <i r="2">
      <x v="49"/>
    </i>
    <i r="3">
      <x v="10"/>
    </i>
    <i r="4">
      <x v="129"/>
    </i>
    <i>
      <x v="289"/>
    </i>
    <i r="1">
      <x v="302"/>
    </i>
    <i r="2">
      <x v="97"/>
    </i>
    <i r="3">
      <x v="3"/>
    </i>
    <i r="4">
      <x v="193"/>
    </i>
    <i r="2">
      <x v="136"/>
    </i>
    <i r="3">
      <x v="33"/>
    </i>
    <i r="4">
      <x v="31"/>
    </i>
    <i>
      <x v="291"/>
    </i>
    <i r="1">
      <x v="303"/>
    </i>
    <i r="2">
      <x v="14"/>
    </i>
    <i r="3">
      <x v="10"/>
    </i>
    <i r="4">
      <x v="137"/>
    </i>
    <i r="2">
      <x v="126"/>
    </i>
    <i r="3">
      <x v="41"/>
    </i>
    <i r="4">
      <x v="238"/>
    </i>
    <i>
      <x v="292"/>
    </i>
    <i r="1">
      <x v="290"/>
    </i>
    <i r="2">
      <x v="158"/>
    </i>
    <i r="3">
      <x v="3"/>
    </i>
    <i r="4">
      <x v="221"/>
    </i>
    <i>
      <x v="293"/>
    </i>
    <i r="1">
      <x v="294"/>
    </i>
    <i r="2">
      <x v="55"/>
    </i>
    <i r="3">
      <x v="37"/>
    </i>
    <i r="4">
      <x v="159"/>
    </i>
    <i r="2">
      <x v="113"/>
    </i>
    <i r="3">
      <x v="26"/>
    </i>
    <i r="4">
      <x v="14"/>
    </i>
    <i r="2">
      <x v="146"/>
    </i>
    <i r="3">
      <x v="19"/>
    </i>
    <i r="4">
      <x v="125"/>
    </i>
    <i>
      <x v="295"/>
    </i>
    <i r="1">
      <x v="297"/>
    </i>
    <i r="2">
      <x v="160"/>
    </i>
    <i r="3">
      <x v="3"/>
    </i>
    <i r="4">
      <x v="216"/>
    </i>
    <i>
      <x v="297"/>
    </i>
    <i r="1">
      <x v="299"/>
    </i>
    <i r="2">
      <x v="41"/>
    </i>
    <i r="3">
      <x v="18"/>
    </i>
    <i r="4">
      <x v="107"/>
    </i>
    <i r="2">
      <x v="100"/>
    </i>
    <i r="3">
      <x v="42"/>
    </i>
    <i r="4">
      <x v="117"/>
    </i>
    <i>
      <x v="300"/>
    </i>
    <i r="1">
      <x v="291"/>
    </i>
    <i r="2">
      <x v="20"/>
    </i>
    <i r="3">
      <x v="12"/>
    </i>
    <i r="4">
      <x v="114"/>
    </i>
    <i r="2">
      <x v="136"/>
    </i>
    <i r="3">
      <x v="33"/>
    </i>
    <i r="4">
      <x v="33"/>
    </i>
    <i>
      <x v="301"/>
    </i>
    <i r="1">
      <x v="292"/>
    </i>
    <i r="2">
      <x v="31"/>
    </i>
    <i r="3">
      <x v="35"/>
    </i>
    <i r="4">
      <x v="56"/>
    </i>
    <i r="2">
      <x v="121"/>
    </i>
    <i r="3">
      <x v="28"/>
    </i>
    <i r="4">
      <x v="17"/>
    </i>
    <i r="2">
      <x v="185"/>
    </i>
    <i r="3">
      <x v="18"/>
    </i>
    <i r="4">
      <x v="104"/>
    </i>
    <i>
      <x v="304"/>
    </i>
    <i r="1">
      <x v="293"/>
    </i>
    <i r="2">
      <x v="158"/>
    </i>
    <i r="3">
      <x v="3"/>
    </i>
    <i r="4">
      <x v="220"/>
    </i>
    <i>
      <x v="307"/>
    </i>
    <i r="1">
      <x v="308"/>
    </i>
    <i r="2">
      <x v="121"/>
    </i>
    <i r="3">
      <x v="28"/>
    </i>
    <i r="4">
      <x v="20"/>
    </i>
    <i>
      <x v="309"/>
    </i>
    <i r="1">
      <x v="333"/>
    </i>
    <i r="2">
      <x v="39"/>
    </i>
    <i r="3">
      <x v="4"/>
    </i>
    <i r="4">
      <x v="177"/>
    </i>
    <i r="2">
      <x v="74"/>
    </i>
    <i r="3">
      <x v="37"/>
    </i>
    <i r="4">
      <x v="164"/>
    </i>
    <i>
      <x v="310"/>
    </i>
    <i r="1">
      <x v="334"/>
    </i>
    <i r="2">
      <x v="116"/>
    </i>
    <i r="3">
      <x v="3"/>
    </i>
    <i r="4">
      <x v="212"/>
    </i>
    <i>
      <x v="311"/>
    </i>
    <i r="1">
      <x v="310"/>
    </i>
    <i r="2">
      <x v="8"/>
    </i>
    <i r="3">
      <x v="28"/>
    </i>
    <i r="4">
      <x v="26"/>
    </i>
    <i>
      <x v="313"/>
    </i>
    <i r="1">
      <x v="316"/>
    </i>
    <i r="2">
      <x v="32"/>
    </i>
    <i r="3">
      <x v="11"/>
    </i>
    <i r="4">
      <x v="99"/>
    </i>
    <i>
      <x v="316"/>
    </i>
    <i r="1">
      <x v="329"/>
    </i>
    <i r="2">
      <x v="1"/>
    </i>
    <i r="3">
      <x v="40"/>
    </i>
    <i r="4">
      <x v="41"/>
    </i>
    <i r="2">
      <x v="27"/>
    </i>
    <i r="3">
      <x v="10"/>
    </i>
    <i r="4">
      <x v="133"/>
    </i>
    <i r="2">
      <x v="98"/>
    </i>
    <i r="3">
      <x v="13"/>
    </i>
    <i r="4">
      <x v="81"/>
    </i>
    <i>
      <x v="317"/>
    </i>
    <i r="1">
      <x v="335"/>
    </i>
    <i r="2">
      <x v="32"/>
    </i>
    <i r="3">
      <x v="30"/>
    </i>
    <i r="4">
      <x v="88"/>
    </i>
    <i r="2">
      <x v="80"/>
    </i>
    <i r="3">
      <x v="8"/>
    </i>
    <i r="4">
      <x v="61"/>
    </i>
    <i>
      <x v="318"/>
    </i>
    <i r="1">
      <x v="313"/>
    </i>
    <i r="2">
      <x v="89"/>
    </i>
    <i r="3">
      <x v="24"/>
    </i>
    <i r="4">
      <x v="192"/>
    </i>
    <i>
      <x v="319"/>
    </i>
    <i r="1">
      <x v="317"/>
    </i>
    <i r="2">
      <x v="70"/>
    </i>
    <i r="3">
      <x v="13"/>
    </i>
    <i r="4">
      <x v="84"/>
    </i>
    <i>
      <x v="322"/>
    </i>
    <i r="1">
      <x v="332"/>
    </i>
    <i r="2">
      <x v="22"/>
    </i>
    <i r="3">
      <x v="27"/>
    </i>
    <i r="4">
      <x v="191"/>
    </i>
    <i>
      <x v="323"/>
    </i>
    <i r="1">
      <x v="324"/>
    </i>
    <i r="2">
      <x v="159"/>
    </i>
    <i r="3">
      <x v="3"/>
    </i>
    <i r="4">
      <x v="227"/>
    </i>
    <i r="2">
      <x v="171"/>
    </i>
    <i r="3">
      <x v="18"/>
    </i>
    <i r="4">
      <x v="103"/>
    </i>
    <i>
      <x v="324"/>
    </i>
    <i r="1">
      <x v="330"/>
    </i>
    <i r="2">
      <x v="121"/>
    </i>
    <i r="3">
      <x v="28"/>
    </i>
    <i r="4">
      <x v="19"/>
    </i>
    <i>
      <x v="325"/>
    </i>
    <i r="1">
      <x v="314"/>
    </i>
    <i r="2">
      <x v="121"/>
    </i>
    <i r="3">
      <x v="28"/>
    </i>
    <i r="4">
      <x v="19"/>
    </i>
    <i r="2">
      <x v="146"/>
    </i>
    <i r="3">
      <x v="19"/>
    </i>
    <i r="4">
      <x v="125"/>
    </i>
    <i>
      <x v="327"/>
    </i>
    <i r="1">
      <x v="309"/>
    </i>
    <i r="2">
      <x v="136"/>
    </i>
    <i r="3">
      <x v="33"/>
    </i>
    <i r="4">
      <x v="32"/>
    </i>
    <i>
      <x v="328"/>
    </i>
    <i r="1">
      <x v="318"/>
    </i>
    <i r="2">
      <x v="112"/>
    </i>
    <i r="3">
      <x/>
    </i>
    <i r="4">
      <x v="73"/>
    </i>
    <i>
      <x v="330"/>
    </i>
    <i r="1">
      <x v="326"/>
    </i>
    <i r="2">
      <x v="105"/>
    </i>
    <i r="3">
      <x v="36"/>
    </i>
    <i r="4">
      <x v="78"/>
    </i>
    <i>
      <x v="332"/>
    </i>
    <i r="1">
      <x v="311"/>
    </i>
    <i r="2">
      <x v="29"/>
    </i>
    <i r="3">
      <x v="30"/>
    </i>
    <i r="4">
      <x v="91"/>
    </i>
    <i>
      <x v="335"/>
    </i>
    <i r="1">
      <x v="322"/>
    </i>
    <i r="2">
      <x v="187"/>
    </i>
    <i r="3">
      <x v="29"/>
    </i>
    <i r="4">
      <x v="53"/>
    </i>
    <i>
      <x v="336"/>
    </i>
    <i r="1">
      <x v="365"/>
    </i>
    <i r="2">
      <x v="27"/>
    </i>
    <i r="3">
      <x v="10"/>
    </i>
    <i r="4">
      <x v="133"/>
    </i>
    <i r="2">
      <x v="144"/>
    </i>
    <i r="3">
      <x v="40"/>
    </i>
    <i r="4">
      <x v="43"/>
    </i>
    <i>
      <x v="339"/>
    </i>
    <i r="1">
      <x v="342"/>
    </i>
    <i r="2">
      <x v="33"/>
    </i>
    <i r="3">
      <x v="3"/>
    </i>
    <i r="4">
      <x v="224"/>
    </i>
    <i r="2">
      <x v="34"/>
    </i>
    <i r="3">
      <x v="3"/>
    </i>
    <i r="4">
      <x v="213"/>
    </i>
    <i>
      <x v="340"/>
    </i>
    <i r="1">
      <x v="350"/>
    </i>
    <i r="2">
      <x v="147"/>
    </i>
    <i r="3">
      <x v="18"/>
    </i>
    <i r="4">
      <x v="109"/>
    </i>
    <i>
      <x v="342"/>
    </i>
    <i r="1">
      <x v="361"/>
    </i>
    <i r="2">
      <x v="74"/>
    </i>
    <i r="3">
      <x v="37"/>
    </i>
    <i r="4">
      <x v="163"/>
    </i>
    <i r="2">
      <x v="187"/>
    </i>
    <i r="3">
      <x v="6"/>
    </i>
    <i r="4">
      <x v="34"/>
    </i>
    <i>
      <x v="345"/>
    </i>
    <i r="1">
      <x v="343"/>
    </i>
    <i r="2">
      <x v="121"/>
    </i>
    <i r="3">
      <x v="28"/>
    </i>
    <i r="4">
      <x v="17"/>
    </i>
    <i>
      <x v="346"/>
    </i>
    <i r="1">
      <x v="340"/>
    </i>
    <i r="2">
      <x v="136"/>
    </i>
    <i r="3">
      <x v="33"/>
    </i>
    <i r="4">
      <x v="32"/>
    </i>
    <i>
      <x v="347"/>
    </i>
    <i r="1">
      <x v="347"/>
    </i>
    <i r="2">
      <x v="102"/>
    </i>
    <i r="3">
      <x v="41"/>
    </i>
    <i r="4">
      <x v="237"/>
    </i>
    <i>
      <x v="349"/>
    </i>
    <i r="1">
      <x v="341"/>
    </i>
    <i r="2">
      <x v="77"/>
    </i>
    <i r="3">
      <x v="21"/>
    </i>
    <i r="4">
      <x v="141"/>
    </i>
    <i>
      <x v="351"/>
    </i>
    <i r="1">
      <x v="353"/>
    </i>
    <i r="2">
      <x v="4"/>
    </i>
    <i r="3">
      <x v="40"/>
    </i>
    <i r="4">
      <x v="40"/>
    </i>
    <i>
      <x v="353"/>
    </i>
    <i r="1">
      <x v="355"/>
    </i>
    <i r="2">
      <x v="74"/>
    </i>
    <i r="3">
      <x v="37"/>
    </i>
    <i r="4">
      <x v="161"/>
    </i>
    <i>
      <x v="354"/>
    </i>
    <i r="1">
      <x v="337"/>
    </i>
    <i r="2">
      <x v="50"/>
    </i>
    <i r="3">
      <x v="5"/>
    </i>
    <i r="4">
      <x v="8"/>
    </i>
    <i>
      <x v="356"/>
    </i>
    <i r="1">
      <x v="338"/>
    </i>
    <i r="2">
      <x v="121"/>
    </i>
    <i r="3">
      <x v="28"/>
    </i>
    <i r="4">
      <x v="17"/>
    </i>
    <i>
      <x v="358"/>
    </i>
    <i r="1">
      <x v="351"/>
    </i>
    <i r="2">
      <x v="54"/>
    </i>
    <i r="3">
      <x v="8"/>
    </i>
    <i r="4">
      <x v="66"/>
    </i>
    <i>
      <x v="364"/>
    </i>
    <i r="1">
      <x v="357"/>
    </i>
    <i r="2">
      <x v="163"/>
    </i>
    <i r="3">
      <x v="41"/>
    </i>
    <i r="4">
      <x v="235"/>
    </i>
    <i>
      <x v="365"/>
    </i>
    <i r="1">
      <x v="367"/>
    </i>
    <i r="2">
      <x v="36"/>
    </i>
    <i r="3">
      <x v="37"/>
    </i>
    <i r="4">
      <x v="156"/>
    </i>
    <i>
      <x v="366"/>
    </i>
    <i r="1">
      <x v="352"/>
    </i>
    <i r="2">
      <x v="42"/>
    </i>
    <i r="3">
      <x v="6"/>
    </i>
    <i r="4">
      <x v="35"/>
    </i>
    <i>
      <x v="367"/>
    </i>
    <i r="1">
      <x v="364"/>
    </i>
    <i r="2">
      <x v="14"/>
    </i>
    <i r="3">
      <x v="11"/>
    </i>
    <i r="4">
      <x v="100"/>
    </i>
    <i>
      <x v="368"/>
    </i>
    <i r="1">
      <x v="348"/>
    </i>
    <i r="2">
      <x v="79"/>
    </i>
    <i r="3">
      <x v="20"/>
    </i>
    <i r="4">
      <x v="80"/>
    </i>
    <i>
      <x v="369"/>
    </i>
    <i r="1">
      <x v="372"/>
    </i>
    <i r="2">
      <x v="172"/>
    </i>
    <i r="3">
      <x v="28"/>
    </i>
    <i r="4">
      <x v="25"/>
    </i>
    <i>
      <x v="372"/>
    </i>
    <i r="1">
      <x v="381"/>
    </i>
    <i r="2">
      <x v="33"/>
    </i>
    <i r="3">
      <x v="25"/>
    </i>
    <i r="4">
      <x v="4"/>
    </i>
    <i r="2">
      <x v="79"/>
    </i>
    <i r="3">
      <x v="18"/>
    </i>
    <i r="4">
      <x v="111"/>
    </i>
    <i r="2">
      <x v="136"/>
    </i>
    <i r="3">
      <x v="33"/>
    </i>
    <i r="4">
      <x v="32"/>
    </i>
    <i r="2">
      <x v="139"/>
    </i>
    <i r="3">
      <x v="32"/>
    </i>
    <i r="4">
      <x v="229"/>
    </i>
    <i>
      <x v="373"/>
    </i>
    <i r="1">
      <x v="384"/>
    </i>
    <i r="2">
      <x v="32"/>
    </i>
    <i r="3">
      <x v="11"/>
    </i>
    <i r="4">
      <x v="99"/>
    </i>
    <i>
      <x v="374"/>
    </i>
    <i r="1">
      <x v="369"/>
    </i>
    <i r="2">
      <x v="58"/>
    </i>
    <i r="3">
      <x v="37"/>
    </i>
    <i r="4">
      <x v="151"/>
    </i>
    <i r="2">
      <x v="99"/>
    </i>
    <i r="3">
      <x v="17"/>
    </i>
    <i r="4">
      <x v="1"/>
    </i>
    <i r="2">
      <x v="139"/>
    </i>
    <i r="3">
      <x v="32"/>
    </i>
    <i r="4">
      <x v="229"/>
    </i>
    <i r="2">
      <x v="140"/>
    </i>
    <i r="3">
      <x v="10"/>
    </i>
    <i r="4">
      <x v="138"/>
    </i>
    <i>
      <x v="375"/>
    </i>
    <i r="1">
      <x v="386"/>
    </i>
    <i r="2">
      <x v="95"/>
    </i>
    <i r="3">
      <x v="3"/>
    </i>
    <i r="4">
      <x v="202"/>
    </i>
    <i>
      <x v="379"/>
    </i>
    <i r="1">
      <x v="374"/>
    </i>
    <i r="2">
      <x v="117"/>
    </i>
    <i r="3">
      <x v="10"/>
    </i>
    <i r="4">
      <x v="132"/>
    </i>
    <i r="2">
      <x v="136"/>
    </i>
    <i r="3">
      <x v="33"/>
    </i>
    <i r="4">
      <x v="31"/>
    </i>
    <i>
      <x v="380"/>
    </i>
    <i r="1">
      <x v="379"/>
    </i>
    <i r="2">
      <x v="13"/>
    </i>
    <i r="3">
      <x v="26"/>
    </i>
    <i r="4">
      <x v="12"/>
    </i>
    <i>
      <x v="382"/>
    </i>
    <i r="1">
      <x v="380"/>
    </i>
    <i r="2">
      <x v="74"/>
    </i>
    <i r="3">
      <x v="37"/>
    </i>
    <i r="4">
      <x v="162"/>
    </i>
    <i>
      <x v="383"/>
    </i>
    <i r="1">
      <x v="385"/>
    </i>
    <i r="2">
      <x v="121"/>
    </i>
    <i r="3">
      <x v="28"/>
    </i>
    <i r="4">
      <x v="19"/>
    </i>
    <i r="2">
      <x v="137"/>
    </i>
    <i r="3">
      <x v="1"/>
    </i>
    <i r="4">
      <x v="182"/>
    </i>
    <i>
      <x v="384"/>
    </i>
    <i r="1">
      <x v="373"/>
    </i>
    <i r="2">
      <x v="97"/>
    </i>
    <i r="3">
      <x v="3"/>
    </i>
    <i r="4">
      <x v="197"/>
    </i>
    <i>
      <x v="386"/>
    </i>
    <i r="1">
      <x v="383"/>
    </i>
    <i r="2">
      <x v="98"/>
    </i>
    <i r="3">
      <x v="4"/>
    </i>
    <i r="4">
      <x v="175"/>
    </i>
    <i>
      <x v="388"/>
    </i>
    <i r="1">
      <x v="387"/>
    </i>
    <i r="2">
      <x v="31"/>
    </i>
    <i r="3">
      <x v="36"/>
    </i>
    <i r="4">
      <x v="79"/>
    </i>
    <i r="2">
      <x v="79"/>
    </i>
    <i r="3">
      <x v="20"/>
    </i>
    <i r="4">
      <x v="80"/>
    </i>
    <i>
      <x v="389"/>
    </i>
    <i r="1">
      <x v="392"/>
    </i>
    <i r="2">
      <x v="157"/>
    </i>
    <i r="3">
      <x v="3"/>
    </i>
    <i r="4">
      <x v="205"/>
    </i>
    <i>
      <x v="393"/>
    </i>
    <i r="1">
      <x v="393"/>
    </i>
    <i r="2">
      <x v="157"/>
    </i>
    <i r="3">
      <x v="3"/>
    </i>
    <i r="4">
      <x v="204"/>
    </i>
    <i>
      <x v="395"/>
    </i>
    <i r="1">
      <x v="395"/>
    </i>
    <i r="2">
      <x v="48"/>
    </i>
    <i r="3">
      <x v="41"/>
    </i>
    <i r="4">
      <x v="232"/>
    </i>
    <i r="2">
      <x v="154"/>
    </i>
    <i r="3">
      <x v="32"/>
    </i>
    <i r="4">
      <x v="230"/>
    </i>
    <i>
      <x v="396"/>
    </i>
    <i r="1">
      <x v="396"/>
    </i>
    <i r="2">
      <x v="158"/>
    </i>
    <i r="3">
      <x v="3"/>
    </i>
    <i r="4">
      <x v="220"/>
    </i>
    <i t="grand">
      <x/>
    </i>
  </rowItems>
  <colItems count="1">
    <i/>
  </colItems>
  <pageFields count="3">
    <pageField fld="7"/>
    <pageField fld="8"/>
    <pageField fld="12"/>
  </pageFields>
  <dataFields count="1">
    <dataField name="Sum of    Sales   " fld="17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Segment" sourceName="Segment">
  <pivotTables>
    <pivotTable tabId="14" name="PivotTable2"/>
  </pivotTables>
  <data>
    <tabular pivotCacheId="1">
      <items count="3">
        <i x="0" s="0"/>
        <i x="1" s="0"/>
        <i x="2" s="1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ategory" sourceName="Category">
  <pivotTables>
    <pivotTable tabId="15" name="PivotTable3"/>
  </pivotTables>
  <data>
    <tabular pivotCacheId="1">
      <items count="3">
        <i x="0" s="1"/>
        <i x="1" s="0"/>
        <i x="2" s="0"/>
      </items>
    </tabular>
  </data>
  <extLst/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Ship_Mode" sourceName="Ship Mode">
  <pivotTables>
    <pivotTable tabId="15" name="PivotTable3"/>
  </pivotTables>
  <data>
    <tabular pivotCacheId="1">
      <items count="4">
        <i x="2" s="1"/>
        <i x="3" s="0"/>
        <i x="0" s="0"/>
        <i x="1" s="0"/>
      </items>
    </tabular>
  </data>
  <extLst/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Sub_Category" sourceName="Sub-Category">
  <pivotTables>
    <pivotTable tabId="16" name="PivotTable4"/>
  </pivotTables>
  <data>
    <tabular pivotCacheId="1">
      <items count="17">
        <i x="12" s="0"/>
        <i x="6" s="0"/>
        <i x="8" s="1"/>
        <i x="5" s="0"/>
        <i x="0" s="0"/>
        <i x="9" s="0"/>
        <i x="16" s="0"/>
        <i x="11" s="0"/>
        <i x="13" s="0"/>
        <i x="3" s="0"/>
        <i x="1" s="0"/>
        <i x="14" s="0"/>
        <i x="4" s="0"/>
        <i x="10" s="0"/>
        <i x="7" s="0"/>
        <i x="15" s="0"/>
        <i x="2" s="0"/>
      </items>
    </tabular>
  </data>
  <extLst/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ity" sourceName="City">
  <pivotTables>
    <pivotTable tabId="17" name="PivotTable5"/>
  </pivotTables>
  <data>
    <tabular pivotCacheId="1">
      <items count="189">
        <i x="59" s="1"/>
        <i x="166" s="1"/>
        <i x="81" s="1"/>
        <i x="153" s="1"/>
        <i x="118" s="1"/>
        <i x="109" s="1"/>
        <i x="34" s="1"/>
        <i x="89" s="1"/>
        <i x="185" s="1"/>
        <i x="78" s="1"/>
        <i x="41" s="1"/>
        <i x="172" s="1"/>
        <i x="71" s="1"/>
        <i x="184" s="1"/>
        <i x="140" s="1"/>
        <i x="51" s="1"/>
        <i x="35" s="1"/>
        <i x="22" s="1"/>
        <i x="74" s="1"/>
        <i x="138" s="1"/>
        <i x="29" s="1"/>
        <i x="38" s="1"/>
        <i x="3" s="1"/>
        <i x="116" s="1"/>
        <i x="150" s="1"/>
        <i x="61" s="1"/>
        <i x="27" s="1"/>
        <i x="60" s="1"/>
        <i x="96" s="1"/>
        <i x="66" s="1"/>
        <i x="18" s="1"/>
        <i x="65" s="1"/>
        <i x="188" s="1"/>
        <i x="50" s="1"/>
        <i x="156" s="1"/>
        <i x="148" s="1"/>
        <i x="54" s="1"/>
        <i x="115" s="1"/>
        <i x="159" s="1"/>
        <i x="2" s="1"/>
        <i x="5" s="1"/>
        <i x="164" s="1"/>
        <i x="119" s="1"/>
        <i x="124" s="1"/>
        <i x="129" s="1"/>
        <i x="57" s="1"/>
        <i x="92" s="1"/>
        <i x="0" s="1"/>
        <i x="12" s="1"/>
        <i x="101" s="1"/>
        <i x="44" s="1"/>
        <i x="25" s="1"/>
        <i x="108" s="1"/>
        <i x="154" s="1"/>
        <i x="69" s="1"/>
        <i x="152" s="1"/>
        <i x="128" s="1"/>
        <i x="98" s="1"/>
        <i x="104" s="1"/>
        <i x="88" s="1"/>
        <i x="85" s="1"/>
        <i x="160" s="1"/>
        <i x="1" s="1"/>
        <i x="103" s="1"/>
        <i x="90" s="1"/>
        <i x="6" s="1"/>
        <i x="126" s="1"/>
        <i x="26" s="1"/>
        <i x="123" s="1"/>
        <i x="100" s="1"/>
        <i x="31" s="1"/>
        <i x="133" s="1"/>
        <i x="122" s="1"/>
        <i x="73" s="1"/>
        <i x="174" s="1"/>
        <i x="14" s="1"/>
        <i x="19" s="1"/>
        <i x="106" s="1"/>
        <i x="20" s="1"/>
        <i x="46" s="1"/>
        <i x="147" s="1"/>
        <i x="175" s="1"/>
        <i x="155" s="1"/>
        <i x="11" s="1"/>
        <i x="144" s="1"/>
        <i x="45" s="1"/>
        <i x="95" s="1"/>
        <i x="10" s="1"/>
        <i x="42" s="1"/>
        <i x="32" s="1"/>
        <i x="94" s="1"/>
        <i x="102" s="1"/>
        <i x="30" s="1"/>
        <i x="134" s="1"/>
        <i x="43" s="1"/>
        <i x="171" s="1"/>
        <i x="63" s="1"/>
        <i x="84" s="1"/>
        <i x="127" s="1"/>
        <i x="52" s="1"/>
        <i x="70" s="1"/>
        <i x="8" s="1"/>
        <i x="49" s="1"/>
        <i x="157" s="1"/>
        <i x="48" s="1"/>
        <i x="4" s="1"/>
        <i x="24" s="1"/>
        <i x="67" s="1"/>
        <i x="167" s="1"/>
        <i x="149" s="1"/>
        <i x="21" s="1"/>
        <i x="93" s="1"/>
        <i x="139" s="1"/>
        <i x="37" s="1"/>
        <i x="176" s="1"/>
        <i x="141" s="1"/>
        <i x="7" s="1"/>
        <i x="17" s="1"/>
        <i x="62" s="1"/>
        <i x="40" s="1"/>
        <i x="112" s="1" nd="1"/>
        <i x="125" s="1" nd="1"/>
        <i x="82" s="1" nd="1"/>
        <i x="186" s="1" nd="1"/>
        <i x="151" s="1" nd="1"/>
        <i x="39" s="1" nd="1"/>
        <i x="105" s="1" nd="1"/>
        <i x="143" s="1" nd="1"/>
        <i x="72" s="1" nd="1"/>
        <i x="142" s="1" nd="1"/>
        <i x="77" s="1" nd="1"/>
        <i x="130" s="1" nd="1"/>
        <i x="28" s="1" nd="1"/>
        <i x="16" s="1" nd="1"/>
        <i x="168" s="1" nd="1"/>
        <i x="47" s="1" nd="1"/>
        <i x="9" s="1" nd="1"/>
        <i x="107" s="1" nd="1"/>
        <i x="23" s="1" nd="1"/>
        <i x="55" s="1" nd="1"/>
        <i x="120" s="1" nd="1"/>
        <i x="83" s="1" nd="1"/>
        <i x="179" s="1" nd="1"/>
        <i x="187" s="1" nd="1"/>
        <i x="86" s="1" nd="1"/>
        <i x="146" s="1" nd="1"/>
        <i x="114" s="1" nd="1"/>
        <i x="75" s="1" nd="1"/>
        <i x="177" s="1" nd="1"/>
        <i x="121" s="1" nd="1"/>
        <i x="80" s="1" nd="1"/>
        <i x="180" s="1" nd="1"/>
        <i x="182" s="1" nd="1"/>
        <i x="161" s="1" nd="1"/>
        <i x="113" s="1" nd="1"/>
        <i x="91" s="1" nd="1"/>
        <i x="64" s="1" nd="1"/>
        <i x="15" s="1" nd="1"/>
        <i x="158" s="1" nd="1"/>
        <i x="53" s="1" nd="1"/>
        <i x="145" s="1" nd="1"/>
        <i x="87" s="1" nd="1"/>
        <i x="163" s="1" nd="1"/>
        <i x="110" s="1" nd="1"/>
        <i x="165" s="1" nd="1"/>
        <i x="36" s="1" nd="1"/>
        <i x="111" s="1" nd="1"/>
        <i x="117" s="1" nd="1"/>
        <i x="97" s="1" nd="1"/>
        <i x="135" s="1" nd="1"/>
        <i x="56" s="1" nd="1"/>
        <i x="181" s="1" nd="1"/>
        <i x="13" s="1" nd="1"/>
        <i x="169" s="1" nd="1"/>
        <i x="33" s="1" nd="1"/>
        <i x="178" s="1" nd="1"/>
        <i x="162" s="1" nd="1"/>
        <i x="68" s="1" nd="1"/>
        <i x="136" s="1" nd="1"/>
        <i x="76" s="1" nd="1"/>
        <i x="79" s="1" nd="1"/>
        <i x="170" s="1" nd="1"/>
        <i x="132" s="1" nd="1"/>
        <i x="137" s="1" nd="1"/>
        <i x="173" s="1" nd="1"/>
        <i x="131" s="1" nd="1"/>
        <i x="99" s="1" nd="1"/>
        <i x="58" s="1" nd="1"/>
        <i x="183" s="1" nd="1"/>
      </items>
    </tabular>
  </data>
  <extLst/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State" sourceName="State">
  <pivotTables>
    <pivotTable tabId="17" name="PivotTable5"/>
  </pivotTables>
  <data>
    <tabular pivotCacheId="1">
      <items count="43">
        <i x="19" s="1"/>
        <i x="16" s="1"/>
        <i x="36" s="1"/>
        <i x="1" s="1"/>
        <i x="22" s="1"/>
        <i x="29" s="1"/>
        <i x="13" s="1"/>
        <i x="40" s="1"/>
        <i x="2" s="1"/>
        <i x="32" s="1"/>
        <i x="10" s="1"/>
        <i x="14" s="1"/>
        <i x="23" s="1"/>
        <i x="0" s="1"/>
        <i x="31" s="1"/>
        <i x="12" s="1"/>
        <i x="11" s="1"/>
        <i x="35" s="1"/>
        <i x="25" s="1"/>
        <i x="8" s="1"/>
        <i x="33" s="1"/>
        <i x="38" s="1"/>
        <i x="30" s="1"/>
        <i x="27" s="1"/>
        <i x="15" s="1"/>
        <i x="3" s="1"/>
        <i x="24" s="1"/>
        <i x="26" s="1"/>
        <i x="21" s="1"/>
        <i x="9" s="1"/>
        <i x="20" s="1"/>
        <i x="18" s="1"/>
        <i x="5" s="1"/>
        <i x="7" s="1"/>
        <i x="17" s="1"/>
        <i x="4" s="1"/>
        <i x="6" s="1"/>
        <i x="28" s="1" nd="1"/>
        <i x="42" s="1" nd="1"/>
        <i x="39" s="1" nd="1"/>
        <i x="37" s="1" nd="1"/>
        <i x="34" s="1" nd="1"/>
        <i x="41" s="1" nd="1"/>
      </items>
    </tabular>
  </data>
  <extLst/>
</slicerCacheDefinition>
</file>

<file path=xl/slicerCaches/slicerCache7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Region" sourceName="Region">
  <pivotTables>
    <pivotTable tabId="17" name="PivotTable5"/>
  </pivotTables>
  <data>
    <tabular pivotCacheId="1">
      <items count="4">
        <i x="2" s="1"/>
        <i x="3" s="1"/>
        <i x="0" s="1"/>
        <i x="1" s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Segment" cache="Slicer_Segment" caption="Segment" rowHeight="225425"/>
  <slicer name="Category" cache="Slicer_Category" caption="Category" rowHeight="225425"/>
  <slicer name="Ship Mode" cache="Slicer_Ship_Mode" caption="Ship Mode" rowHeight="225425"/>
  <slicer name="Sub-Category" cache="Slicer_Sub_Category" caption="Sub-Category" startItem="2" rowHeight="225425"/>
  <slicer name="Region" cache="Slicer_Region" caption="Region" rowHeight="225425"/>
  <slicer name="State" cache="Slicer_State" caption="State" startItem="36" rowHeight="225425"/>
  <slicer name="City" cache="Slicer_City" caption="City" startItem="146" rowHeight="225425"/>
</slicer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D5"/>
  <sheetViews>
    <sheetView workbookViewId="0">
      <selection activeCell="A3" sqref="A3:D5"/>
      <pivotSelection pane="bottomRight" showHeader="1" extendable="1" r:id="rId1">
        <pivotArea type="all" dataOnly="0" outline="0" fieldPosition="0"/>
      </pivotSelection>
    </sheetView>
  </sheetViews>
  <sheetFormatPr defaultColWidth="9" defaultRowHeight="16.8" outlineLevelRow="4" outlineLevelCol="3"/>
  <cols>
    <col min="1" max="1" width="13.9375"/>
    <col min="2" max="4" width="18.4375"/>
  </cols>
  <sheetData>
    <row r="3" spans="1:4">
      <c r="A3" t="s">
        <v>0</v>
      </c>
      <c r="B3" t="s">
        <v>1</v>
      </c>
      <c r="C3" t="s">
        <v>2</v>
      </c>
      <c r="D3" t="s">
        <v>3</v>
      </c>
    </row>
    <row r="4" spans="1:4">
      <c r="A4" t="s">
        <v>4</v>
      </c>
      <c r="B4" s="37">
        <v>205.3328</v>
      </c>
      <c r="C4" s="38">
        <v>0.32</v>
      </c>
      <c r="D4" s="39">
        <v>205.3328</v>
      </c>
    </row>
    <row r="5" spans="1:4">
      <c r="A5" t="s">
        <v>5</v>
      </c>
      <c r="B5" s="37">
        <v>205.3328</v>
      </c>
      <c r="C5" s="38">
        <v>0.32</v>
      </c>
      <c r="D5" s="39">
        <v>205.3328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7"/>
  <sheetViews>
    <sheetView workbookViewId="0">
      <selection activeCell="D26" sqref="D26"/>
    </sheetView>
  </sheetViews>
  <sheetFormatPr defaultColWidth="9" defaultRowHeight="16.8" outlineLevelRow="6" outlineLevelCol="1"/>
  <cols>
    <col min="1" max="1" width="13.75"/>
    <col min="2" max="2" width="17.375"/>
    <col min="3" max="3" width="18.1875"/>
  </cols>
  <sheetData>
    <row r="3" spans="1:2">
      <c r="A3" t="s">
        <v>6</v>
      </c>
      <c r="B3" t="s">
        <v>7</v>
      </c>
    </row>
    <row r="4" spans="1:2">
      <c r="A4" t="s">
        <v>8</v>
      </c>
      <c r="B4">
        <v>26</v>
      </c>
    </row>
    <row r="5" spans="1:2">
      <c r="A5" t="s">
        <v>9</v>
      </c>
      <c r="B5">
        <v>48</v>
      </c>
    </row>
    <row r="6" spans="1:2">
      <c r="A6" t="s">
        <v>10</v>
      </c>
      <c r="B6">
        <v>13</v>
      </c>
    </row>
    <row r="7" spans="1:2">
      <c r="A7" t="s">
        <v>5</v>
      </c>
      <c r="B7">
        <v>87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workbookViewId="0">
      <selection activeCell="C7" sqref="A3:D8"/>
    </sheetView>
  </sheetViews>
  <sheetFormatPr defaultColWidth="9" defaultRowHeight="16.8" outlineLevelRow="4" outlineLevelCol="3"/>
  <cols>
    <col min="1" max="1" width="12.4375"/>
    <col min="2" max="10" width="21.125"/>
    <col min="11" max="11" width="20.25"/>
    <col min="12" max="12" width="16.75"/>
    <col min="13" max="13" width="25.9375"/>
  </cols>
  <sheetData>
    <row r="1" spans="1:2">
      <c r="A1" t="s">
        <v>6</v>
      </c>
      <c r="B1" t="s">
        <v>8</v>
      </c>
    </row>
    <row r="3" spans="1:4">
      <c r="A3" t="s">
        <v>0</v>
      </c>
      <c r="B3" t="s">
        <v>1</v>
      </c>
      <c r="C3" t="s">
        <v>11</v>
      </c>
      <c r="D3" t="s">
        <v>12</v>
      </c>
    </row>
    <row r="4" spans="1:4">
      <c r="A4" t="s">
        <v>13</v>
      </c>
      <c r="B4" s="37">
        <v>3113.569</v>
      </c>
      <c r="C4" s="37">
        <v>777.3104</v>
      </c>
      <c r="D4" s="37">
        <v>2445.9267</v>
      </c>
    </row>
    <row r="5" spans="1:4">
      <c r="A5" t="s">
        <v>5</v>
      </c>
      <c r="B5" s="37">
        <v>3113.569</v>
      </c>
      <c r="C5" s="37">
        <v>777.3104</v>
      </c>
      <c r="D5" s="37">
        <v>2445.9267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5"/>
  <sheetViews>
    <sheetView topLeftCell="F1" workbookViewId="0">
      <selection activeCell="K24" sqref="K24"/>
    </sheetView>
  </sheetViews>
  <sheetFormatPr defaultColWidth="9" defaultRowHeight="16.8" outlineLevelCol="6"/>
  <cols>
    <col min="1" max="1" width="17.5625"/>
    <col min="2" max="2" width="17.1875"/>
    <col min="3" max="7" width="21.125"/>
    <col min="8" max="19" width="14.75"/>
    <col min="20" max="20" width="10.875"/>
  </cols>
  <sheetData>
    <row r="1" spans="1:2">
      <c r="A1" t="s">
        <v>6</v>
      </c>
      <c r="B1" t="s">
        <v>14</v>
      </c>
    </row>
    <row r="2" spans="1:2">
      <c r="A2" t="s">
        <v>15</v>
      </c>
      <c r="B2" t="s">
        <v>16</v>
      </c>
    </row>
    <row r="4" spans="1:7">
      <c r="A4" t="s">
        <v>17</v>
      </c>
      <c r="B4" t="s">
        <v>18</v>
      </c>
      <c r="C4" t="s">
        <v>12</v>
      </c>
      <c r="D4" t="s">
        <v>19</v>
      </c>
      <c r="E4" t="s">
        <v>1</v>
      </c>
      <c r="F4" t="s">
        <v>11</v>
      </c>
      <c r="G4" t="s">
        <v>2</v>
      </c>
    </row>
    <row r="5" spans="1:7">
      <c r="A5" t="s">
        <v>20</v>
      </c>
      <c r="B5"/>
      <c r="C5" s="37">
        <v>9.32</v>
      </c>
      <c r="D5">
        <v>4</v>
      </c>
      <c r="E5" s="37">
        <v>9.32</v>
      </c>
      <c r="F5" s="37">
        <v>2.7028</v>
      </c>
      <c r="G5" s="38">
        <v>0</v>
      </c>
    </row>
    <row r="6" spans="2:7">
      <c r="B6" t="s">
        <v>21</v>
      </c>
      <c r="C6" s="37">
        <v>9.32</v>
      </c>
      <c r="D6">
        <v>4</v>
      </c>
      <c r="E6" s="37">
        <v>9.32</v>
      </c>
      <c r="F6" s="37">
        <v>2.7028</v>
      </c>
      <c r="G6" s="38">
        <v>0</v>
      </c>
    </row>
    <row r="7" spans="1:7">
      <c r="A7" t="s">
        <v>22</v>
      </c>
      <c r="B7"/>
      <c r="C7" s="37">
        <v>31.2576</v>
      </c>
      <c r="D7">
        <v>6</v>
      </c>
      <c r="E7" s="37">
        <v>39.072</v>
      </c>
      <c r="F7" s="37">
        <v>9.768</v>
      </c>
      <c r="G7" s="38">
        <v>0.2</v>
      </c>
    </row>
    <row r="8" spans="2:7">
      <c r="B8" t="s">
        <v>23</v>
      </c>
      <c r="C8" s="37">
        <v>31.2576</v>
      </c>
      <c r="D8">
        <v>6</v>
      </c>
      <c r="E8" s="37">
        <v>39.072</v>
      </c>
      <c r="F8" s="37">
        <v>9.768</v>
      </c>
      <c r="G8" s="38">
        <v>0.2</v>
      </c>
    </row>
    <row r="9" spans="1:7">
      <c r="A9" t="s">
        <v>24</v>
      </c>
      <c r="B9"/>
      <c r="C9" s="37">
        <v>2.7136</v>
      </c>
      <c r="D9">
        <v>1</v>
      </c>
      <c r="E9" s="37">
        <v>3.392</v>
      </c>
      <c r="F9" s="37">
        <v>0.8056</v>
      </c>
      <c r="G9" s="38">
        <v>0.2</v>
      </c>
    </row>
    <row r="10" spans="2:7">
      <c r="B10" t="s">
        <v>25</v>
      </c>
      <c r="C10" s="37">
        <v>2.7136</v>
      </c>
      <c r="D10">
        <v>1</v>
      </c>
      <c r="E10" s="37">
        <v>3.392</v>
      </c>
      <c r="F10" s="37">
        <v>0.8056</v>
      </c>
      <c r="G10" s="38">
        <v>0.2</v>
      </c>
    </row>
    <row r="11" spans="1:7">
      <c r="A11" t="s">
        <v>26</v>
      </c>
      <c r="B11"/>
      <c r="C11" s="37">
        <v>16.2288</v>
      </c>
      <c r="D11">
        <v>5</v>
      </c>
      <c r="E11" s="37">
        <v>18.216</v>
      </c>
      <c r="F11" s="37">
        <v>6.21</v>
      </c>
      <c r="G11" s="38">
        <v>0.2</v>
      </c>
    </row>
    <row r="12" spans="2:7">
      <c r="B12" t="s">
        <v>27</v>
      </c>
      <c r="C12" s="37">
        <v>16.2288</v>
      </c>
      <c r="D12">
        <v>5</v>
      </c>
      <c r="E12" s="37">
        <v>18.216</v>
      </c>
      <c r="F12" s="37">
        <v>6.21</v>
      </c>
      <c r="G12" s="38">
        <v>0.2</v>
      </c>
    </row>
    <row r="13" spans="1:7">
      <c r="A13" t="s">
        <v>28</v>
      </c>
      <c r="B13"/>
      <c r="C13" s="37">
        <v>5.9264</v>
      </c>
      <c r="D13">
        <v>2</v>
      </c>
      <c r="E13" s="37">
        <v>7.408</v>
      </c>
      <c r="F13" s="37">
        <v>1.2038</v>
      </c>
      <c r="G13" s="38">
        <v>0.2</v>
      </c>
    </row>
    <row r="14" spans="2:7">
      <c r="B14" t="s">
        <v>29</v>
      </c>
      <c r="C14" s="37">
        <v>5.9264</v>
      </c>
      <c r="D14">
        <v>2</v>
      </c>
      <c r="E14" s="37">
        <v>7.408</v>
      </c>
      <c r="F14" s="37">
        <v>1.2038</v>
      </c>
      <c r="G14" s="38">
        <v>0.2</v>
      </c>
    </row>
    <row r="15" spans="1:7">
      <c r="A15" t="s">
        <v>30</v>
      </c>
      <c r="B15"/>
      <c r="C15" s="37">
        <v>13.48</v>
      </c>
      <c r="D15">
        <v>4</v>
      </c>
      <c r="E15" s="37">
        <v>13.48</v>
      </c>
      <c r="F15" s="37">
        <v>5.9312</v>
      </c>
      <c r="G15" s="38">
        <v>0</v>
      </c>
    </row>
    <row r="16" spans="2:7">
      <c r="B16" t="s">
        <v>31</v>
      </c>
      <c r="C16" s="37">
        <v>13.48</v>
      </c>
      <c r="D16">
        <v>4</v>
      </c>
      <c r="E16" s="37">
        <v>13.48</v>
      </c>
      <c r="F16" s="37">
        <v>5.9312</v>
      </c>
      <c r="G16" s="38">
        <v>0</v>
      </c>
    </row>
    <row r="17" spans="1:7">
      <c r="A17" t="s">
        <v>32</v>
      </c>
      <c r="B17"/>
      <c r="C17" s="37">
        <v>7.56</v>
      </c>
      <c r="D17">
        <v>3</v>
      </c>
      <c r="E17" s="37">
        <v>7.56</v>
      </c>
      <c r="F17" s="37">
        <v>3.0996</v>
      </c>
      <c r="G17" s="38">
        <v>0</v>
      </c>
    </row>
    <row r="18" spans="2:7">
      <c r="B18" t="s">
        <v>33</v>
      </c>
      <c r="C18" s="37">
        <v>7.56</v>
      </c>
      <c r="D18">
        <v>3</v>
      </c>
      <c r="E18" s="37">
        <v>7.56</v>
      </c>
      <c r="F18" s="37">
        <v>3.0996</v>
      </c>
      <c r="G18" s="38">
        <v>0</v>
      </c>
    </row>
    <row r="19" spans="1:7">
      <c r="A19" t="s">
        <v>34</v>
      </c>
      <c r="B19"/>
      <c r="C19" s="37">
        <v>72.1928</v>
      </c>
      <c r="D19">
        <v>4</v>
      </c>
      <c r="E19" s="37">
        <v>79.236</v>
      </c>
      <c r="F19" s="37">
        <v>14.0864</v>
      </c>
      <c r="G19" s="38">
        <v>0.2</v>
      </c>
    </row>
    <row r="20" spans="2:7">
      <c r="B20" t="s">
        <v>35</v>
      </c>
      <c r="C20" s="37">
        <v>72.1928</v>
      </c>
      <c r="D20">
        <v>4</v>
      </c>
      <c r="E20" s="37">
        <v>79.236</v>
      </c>
      <c r="F20" s="37">
        <v>14.0864</v>
      </c>
      <c r="G20" s="38">
        <v>0.2</v>
      </c>
    </row>
    <row r="21" spans="1:7">
      <c r="A21" t="s">
        <v>36</v>
      </c>
      <c r="B21"/>
      <c r="C21" s="37">
        <v>60.45</v>
      </c>
      <c r="D21">
        <v>3</v>
      </c>
      <c r="E21" s="37">
        <v>60.45</v>
      </c>
      <c r="F21" s="37">
        <v>16.3215</v>
      </c>
      <c r="G21" s="38">
        <v>0</v>
      </c>
    </row>
    <row r="22" spans="2:7">
      <c r="B22" t="s">
        <v>37</v>
      </c>
      <c r="C22" s="37">
        <v>60.45</v>
      </c>
      <c r="D22">
        <v>3</v>
      </c>
      <c r="E22" s="37">
        <v>60.45</v>
      </c>
      <c r="F22" s="37">
        <v>16.3215</v>
      </c>
      <c r="G22" s="38">
        <v>0</v>
      </c>
    </row>
    <row r="23" spans="1:7">
      <c r="A23" t="s">
        <v>38</v>
      </c>
      <c r="B23"/>
      <c r="C23" s="37">
        <v>423.8064</v>
      </c>
      <c r="D23">
        <v>18</v>
      </c>
      <c r="E23" s="37">
        <v>483.288</v>
      </c>
      <c r="F23" s="37">
        <v>76.2108</v>
      </c>
      <c r="G23" s="38">
        <v>0.4</v>
      </c>
    </row>
    <row r="24" spans="2:7">
      <c r="B24" t="s">
        <v>39</v>
      </c>
      <c r="C24" s="37">
        <v>423.8064</v>
      </c>
      <c r="D24">
        <v>18</v>
      </c>
      <c r="E24" s="37">
        <v>483.288</v>
      </c>
      <c r="F24" s="37">
        <v>76.2108</v>
      </c>
      <c r="G24" s="38">
        <v>0.4</v>
      </c>
    </row>
    <row r="25" spans="1:7">
      <c r="A25" t="s">
        <v>40</v>
      </c>
      <c r="B25"/>
      <c r="C25" s="37">
        <v>95.92</v>
      </c>
      <c r="D25">
        <v>8</v>
      </c>
      <c r="E25" s="37">
        <v>95.92</v>
      </c>
      <c r="F25" s="37">
        <v>25.8984</v>
      </c>
      <c r="G25" s="38">
        <v>0</v>
      </c>
    </row>
    <row r="26" spans="2:7">
      <c r="B26" t="s">
        <v>41</v>
      </c>
      <c r="C26" s="37">
        <v>95.92</v>
      </c>
      <c r="D26">
        <v>8</v>
      </c>
      <c r="E26" s="37">
        <v>95.92</v>
      </c>
      <c r="F26" s="37">
        <v>25.8984</v>
      </c>
      <c r="G26" s="38">
        <v>0</v>
      </c>
    </row>
    <row r="27" spans="1:7">
      <c r="A27" t="s">
        <v>42</v>
      </c>
      <c r="B27"/>
      <c r="C27" s="37">
        <v>2.0992</v>
      </c>
      <c r="D27">
        <v>1</v>
      </c>
      <c r="E27" s="37">
        <v>2.624</v>
      </c>
      <c r="F27" s="37">
        <v>0.4264</v>
      </c>
      <c r="G27" s="38">
        <v>0.2</v>
      </c>
    </row>
    <row r="28" spans="2:7">
      <c r="B28" t="s">
        <v>43</v>
      </c>
      <c r="C28" s="37">
        <v>2.0992</v>
      </c>
      <c r="D28">
        <v>1</v>
      </c>
      <c r="E28" s="37">
        <v>2.624</v>
      </c>
      <c r="F28" s="37">
        <v>0.4264</v>
      </c>
      <c r="G28" s="38">
        <v>0.2</v>
      </c>
    </row>
    <row r="29" spans="1:7">
      <c r="A29" t="s">
        <v>44</v>
      </c>
      <c r="B29"/>
      <c r="C29" s="37">
        <v>5.3376</v>
      </c>
      <c r="D29">
        <v>6</v>
      </c>
      <c r="E29" s="37">
        <v>6.672</v>
      </c>
      <c r="F29" s="37">
        <v>0.5004</v>
      </c>
      <c r="G29" s="38">
        <v>0.2</v>
      </c>
    </row>
    <row r="30" spans="2:7">
      <c r="B30" t="s">
        <v>45</v>
      </c>
      <c r="C30" s="37">
        <v>5.3376</v>
      </c>
      <c r="D30">
        <v>6</v>
      </c>
      <c r="E30" s="37">
        <v>6.672</v>
      </c>
      <c r="F30" s="37">
        <v>0.5004</v>
      </c>
      <c r="G30" s="38">
        <v>0.2</v>
      </c>
    </row>
    <row r="31" spans="1:7">
      <c r="A31" t="s">
        <v>46</v>
      </c>
      <c r="B31"/>
      <c r="C31" s="37">
        <v>26.208</v>
      </c>
      <c r="D31">
        <v>7</v>
      </c>
      <c r="E31" s="37">
        <v>32.76</v>
      </c>
      <c r="F31" s="37">
        <v>3.6855</v>
      </c>
      <c r="G31" s="38">
        <v>0.2</v>
      </c>
    </row>
    <row r="32" spans="2:7">
      <c r="B32" t="s">
        <v>47</v>
      </c>
      <c r="C32" s="37">
        <v>26.208</v>
      </c>
      <c r="D32">
        <v>7</v>
      </c>
      <c r="E32" s="37">
        <v>32.76</v>
      </c>
      <c r="F32" s="37">
        <v>3.6855</v>
      </c>
      <c r="G32" s="38">
        <v>0.2</v>
      </c>
    </row>
    <row r="33" spans="1:7">
      <c r="A33" t="s">
        <v>48</v>
      </c>
      <c r="B33"/>
      <c r="C33" s="37">
        <v>5.16</v>
      </c>
      <c r="D33">
        <v>2</v>
      </c>
      <c r="E33" s="37">
        <v>5.16</v>
      </c>
      <c r="F33" s="37">
        <v>1.3416</v>
      </c>
      <c r="G33" s="38">
        <v>0</v>
      </c>
    </row>
    <row r="34" spans="2:7">
      <c r="B34" t="s">
        <v>49</v>
      </c>
      <c r="C34" s="37">
        <v>5.16</v>
      </c>
      <c r="D34">
        <v>2</v>
      </c>
      <c r="E34" s="37">
        <v>5.16</v>
      </c>
      <c r="F34" s="37">
        <v>1.3416</v>
      </c>
      <c r="G34" s="38">
        <v>0</v>
      </c>
    </row>
    <row r="35" spans="1:7">
      <c r="A35" t="s">
        <v>50</v>
      </c>
      <c r="B35"/>
      <c r="C35" s="37">
        <v>11.6608</v>
      </c>
      <c r="D35">
        <v>2</v>
      </c>
      <c r="E35" s="37">
        <v>14.576</v>
      </c>
      <c r="F35" s="37">
        <v>2.3686</v>
      </c>
      <c r="G35" s="38">
        <v>0.2</v>
      </c>
    </row>
    <row r="36" spans="2:7">
      <c r="B36" t="s">
        <v>51</v>
      </c>
      <c r="C36" s="37">
        <v>11.6608</v>
      </c>
      <c r="D36">
        <v>2</v>
      </c>
      <c r="E36" s="37">
        <v>14.576</v>
      </c>
      <c r="F36" s="37">
        <v>2.3686</v>
      </c>
      <c r="G36" s="38">
        <v>0.2</v>
      </c>
    </row>
    <row r="37" spans="1:7">
      <c r="A37" t="s">
        <v>52</v>
      </c>
      <c r="B37"/>
      <c r="C37" s="37">
        <v>4.89</v>
      </c>
      <c r="D37">
        <v>1</v>
      </c>
      <c r="E37" s="37">
        <v>4.89</v>
      </c>
      <c r="F37" s="37">
        <v>2.0049</v>
      </c>
      <c r="G37" s="38">
        <v>0</v>
      </c>
    </row>
    <row r="38" spans="2:7">
      <c r="B38" t="s">
        <v>53</v>
      </c>
      <c r="C38" s="37">
        <v>4.89</v>
      </c>
      <c r="D38">
        <v>1</v>
      </c>
      <c r="E38" s="37">
        <v>4.89</v>
      </c>
      <c r="F38" s="37">
        <v>2.0049</v>
      </c>
      <c r="G38" s="38">
        <v>0</v>
      </c>
    </row>
    <row r="39" spans="1:7">
      <c r="A39" t="s">
        <v>54</v>
      </c>
      <c r="B39"/>
      <c r="C39" s="37">
        <v>890.4192</v>
      </c>
      <c r="D39">
        <v>8</v>
      </c>
      <c r="E39" s="37">
        <v>1113.024</v>
      </c>
      <c r="F39" s="37">
        <v>111.3024</v>
      </c>
      <c r="G39" s="38">
        <v>0.2</v>
      </c>
    </row>
    <row r="40" spans="2:7">
      <c r="B40" t="s">
        <v>55</v>
      </c>
      <c r="C40" s="37">
        <v>890.4192</v>
      </c>
      <c r="D40">
        <v>8</v>
      </c>
      <c r="E40" s="37">
        <v>1113.024</v>
      </c>
      <c r="F40" s="37">
        <v>111.3024</v>
      </c>
      <c r="G40" s="38">
        <v>0.2</v>
      </c>
    </row>
    <row r="41" spans="1:7">
      <c r="A41" t="s">
        <v>56</v>
      </c>
      <c r="B41"/>
      <c r="C41" s="37">
        <v>75.96</v>
      </c>
      <c r="D41">
        <v>2</v>
      </c>
      <c r="E41" s="37">
        <v>75.96</v>
      </c>
      <c r="F41" s="37">
        <v>22.788</v>
      </c>
      <c r="G41" s="38">
        <v>0</v>
      </c>
    </row>
    <row r="42" spans="2:7">
      <c r="B42" t="s">
        <v>57</v>
      </c>
      <c r="C42" s="37">
        <v>75.96</v>
      </c>
      <c r="D42">
        <v>2</v>
      </c>
      <c r="E42" s="37">
        <v>75.96</v>
      </c>
      <c r="F42" s="37">
        <v>22.788</v>
      </c>
      <c r="G42" s="38">
        <v>0</v>
      </c>
    </row>
    <row r="43" spans="1:7">
      <c r="A43" t="s">
        <v>58</v>
      </c>
      <c r="B43"/>
      <c r="C43" s="37">
        <v>18.912</v>
      </c>
      <c r="D43">
        <v>3</v>
      </c>
      <c r="E43" s="37">
        <v>23.64</v>
      </c>
      <c r="F43" s="37">
        <v>5.319</v>
      </c>
      <c r="G43" s="38">
        <v>0.2</v>
      </c>
    </row>
    <row r="44" spans="2:7">
      <c r="B44" t="s">
        <v>59</v>
      </c>
      <c r="C44" s="37">
        <v>18.912</v>
      </c>
      <c r="D44">
        <v>3</v>
      </c>
      <c r="E44" s="37">
        <v>23.64</v>
      </c>
      <c r="F44" s="37">
        <v>5.319</v>
      </c>
      <c r="G44" s="38">
        <v>0.2</v>
      </c>
    </row>
    <row r="45" spans="1:7">
      <c r="A45" t="s">
        <v>60</v>
      </c>
      <c r="B45"/>
      <c r="C45" s="37">
        <v>34.5408</v>
      </c>
      <c r="D45">
        <v>3</v>
      </c>
      <c r="E45" s="37">
        <v>43.176</v>
      </c>
      <c r="F45" s="37">
        <v>4.3176</v>
      </c>
      <c r="G45" s="38">
        <v>0.2</v>
      </c>
    </row>
    <row r="46" spans="2:7">
      <c r="B46" t="s">
        <v>61</v>
      </c>
      <c r="C46" s="37">
        <v>34.5408</v>
      </c>
      <c r="D46">
        <v>3</v>
      </c>
      <c r="E46" s="37">
        <v>43.176</v>
      </c>
      <c r="F46" s="37">
        <v>4.3176</v>
      </c>
      <c r="G46" s="38">
        <v>0.2</v>
      </c>
    </row>
    <row r="47" spans="1:7">
      <c r="A47" t="s">
        <v>62</v>
      </c>
      <c r="B47"/>
      <c r="C47" s="37">
        <v>6.63</v>
      </c>
      <c r="D47">
        <v>3</v>
      </c>
      <c r="E47" s="37">
        <v>6.63</v>
      </c>
      <c r="F47" s="37">
        <v>1.7901</v>
      </c>
      <c r="G47" s="38">
        <v>0</v>
      </c>
    </row>
    <row r="48" spans="2:7">
      <c r="B48" t="s">
        <v>63</v>
      </c>
      <c r="C48" s="37">
        <v>6.63</v>
      </c>
      <c r="D48">
        <v>3</v>
      </c>
      <c r="E48" s="37">
        <v>6.63</v>
      </c>
      <c r="F48" s="37">
        <v>1.7901</v>
      </c>
      <c r="G48" s="38">
        <v>0</v>
      </c>
    </row>
    <row r="49" spans="1:7">
      <c r="A49" t="s">
        <v>64</v>
      </c>
      <c r="B49"/>
      <c r="C49" s="37">
        <v>7.4752</v>
      </c>
      <c r="D49">
        <v>2</v>
      </c>
      <c r="E49" s="37">
        <v>9.344</v>
      </c>
      <c r="F49" s="37">
        <v>1.168</v>
      </c>
      <c r="G49" s="38">
        <v>0.2</v>
      </c>
    </row>
    <row r="50" spans="2:7">
      <c r="B50" t="s">
        <v>65</v>
      </c>
      <c r="C50" s="37">
        <v>7.4752</v>
      </c>
      <c r="D50">
        <v>2</v>
      </c>
      <c r="E50" s="37">
        <v>9.344</v>
      </c>
      <c r="F50" s="37">
        <v>1.168</v>
      </c>
      <c r="G50" s="38">
        <v>0.2</v>
      </c>
    </row>
    <row r="51" spans="1:7">
      <c r="A51" t="s">
        <v>66</v>
      </c>
      <c r="B51"/>
      <c r="C51" s="37">
        <v>14.2848</v>
      </c>
      <c r="D51">
        <v>4</v>
      </c>
      <c r="E51" s="37">
        <v>17.856</v>
      </c>
      <c r="F51" s="37">
        <v>1.116</v>
      </c>
      <c r="G51" s="38">
        <v>0.2</v>
      </c>
    </row>
    <row r="52" spans="2:7">
      <c r="B52" t="s">
        <v>67</v>
      </c>
      <c r="C52" s="37">
        <v>14.2848</v>
      </c>
      <c r="D52">
        <v>4</v>
      </c>
      <c r="E52" s="37">
        <v>17.856</v>
      </c>
      <c r="F52" s="37">
        <v>1.116</v>
      </c>
      <c r="G52" s="38">
        <v>0.2</v>
      </c>
    </row>
    <row r="53" spans="1:7">
      <c r="A53" t="s">
        <v>68</v>
      </c>
      <c r="B53"/>
      <c r="C53" s="37">
        <v>19.46</v>
      </c>
      <c r="D53">
        <v>7</v>
      </c>
      <c r="E53" s="37">
        <v>19.46</v>
      </c>
      <c r="F53" s="37">
        <v>5.0596</v>
      </c>
      <c r="G53" s="38">
        <v>0</v>
      </c>
    </row>
    <row r="54" spans="2:7">
      <c r="B54" t="s">
        <v>69</v>
      </c>
      <c r="C54" s="37">
        <v>19.46</v>
      </c>
      <c r="D54">
        <v>7</v>
      </c>
      <c r="E54" s="37">
        <v>19.46</v>
      </c>
      <c r="F54" s="37">
        <v>5.0596</v>
      </c>
      <c r="G54" s="38">
        <v>0</v>
      </c>
    </row>
    <row r="55" spans="1:7">
      <c r="A55" t="s">
        <v>70</v>
      </c>
      <c r="B55"/>
      <c r="C55" s="37">
        <v>11.52</v>
      </c>
      <c r="D55">
        <v>4</v>
      </c>
      <c r="E55" s="37">
        <v>11.52</v>
      </c>
      <c r="F55" s="37">
        <v>3.2256</v>
      </c>
      <c r="G55" s="38">
        <v>0</v>
      </c>
    </row>
    <row r="56" spans="2:7">
      <c r="B56" t="s">
        <v>71</v>
      </c>
      <c r="C56" s="37">
        <v>11.52</v>
      </c>
      <c r="D56">
        <v>4</v>
      </c>
      <c r="E56" s="37">
        <v>11.52</v>
      </c>
      <c r="F56" s="37">
        <v>3.2256</v>
      </c>
      <c r="G56" s="38">
        <v>0</v>
      </c>
    </row>
    <row r="57" spans="1:7">
      <c r="A57" t="s">
        <v>72</v>
      </c>
      <c r="B57"/>
      <c r="C57" s="37">
        <v>46.2</v>
      </c>
      <c r="D57">
        <v>4</v>
      </c>
      <c r="E57" s="37">
        <v>46.2</v>
      </c>
      <c r="F57" s="37">
        <v>12.936</v>
      </c>
      <c r="G57" s="38">
        <v>0</v>
      </c>
    </row>
    <row r="58" spans="2:7">
      <c r="B58" t="s">
        <v>73</v>
      </c>
      <c r="C58" s="37">
        <v>46.2</v>
      </c>
      <c r="D58">
        <v>4</v>
      </c>
      <c r="E58" s="37">
        <v>46.2</v>
      </c>
      <c r="F58" s="37">
        <v>12.936</v>
      </c>
      <c r="G58" s="38">
        <v>0</v>
      </c>
    </row>
    <row r="59" spans="1:7">
      <c r="A59" t="s">
        <v>74</v>
      </c>
      <c r="B59"/>
      <c r="C59" s="37">
        <v>6.63</v>
      </c>
      <c r="D59">
        <v>3</v>
      </c>
      <c r="E59" s="37">
        <v>6.63</v>
      </c>
      <c r="F59" s="37">
        <v>1.7901</v>
      </c>
      <c r="G59" s="38">
        <v>0</v>
      </c>
    </row>
    <row r="60" spans="2:7">
      <c r="B60" t="s">
        <v>75</v>
      </c>
      <c r="C60" s="37">
        <v>6.63</v>
      </c>
      <c r="D60">
        <v>3</v>
      </c>
      <c r="E60" s="37">
        <v>6.63</v>
      </c>
      <c r="F60" s="37">
        <v>1.7901</v>
      </c>
      <c r="G60" s="38">
        <v>0</v>
      </c>
    </row>
    <row r="61" spans="1:7">
      <c r="A61" t="s">
        <v>76</v>
      </c>
      <c r="B61"/>
      <c r="C61" s="37">
        <v>15.648</v>
      </c>
      <c r="D61">
        <v>5</v>
      </c>
      <c r="E61" s="37">
        <v>19.56</v>
      </c>
      <c r="F61" s="37">
        <v>1.7115</v>
      </c>
      <c r="G61" s="38">
        <v>0.2</v>
      </c>
    </row>
    <row r="62" spans="2:7">
      <c r="B62" t="s">
        <v>77</v>
      </c>
      <c r="C62" s="37">
        <v>15.648</v>
      </c>
      <c r="D62">
        <v>5</v>
      </c>
      <c r="E62" s="37">
        <v>19.56</v>
      </c>
      <c r="F62" s="37">
        <v>1.7115</v>
      </c>
      <c r="G62" s="38">
        <v>0.2</v>
      </c>
    </row>
    <row r="63" spans="1:7">
      <c r="A63" t="s">
        <v>78</v>
      </c>
      <c r="B63"/>
      <c r="C63" s="37">
        <v>8.82</v>
      </c>
      <c r="D63">
        <v>3</v>
      </c>
      <c r="E63" s="37">
        <v>8.82</v>
      </c>
      <c r="F63" s="37">
        <v>2.3814</v>
      </c>
      <c r="G63" s="38">
        <v>0</v>
      </c>
    </row>
    <row r="64" spans="2:7">
      <c r="B64" t="s">
        <v>79</v>
      </c>
      <c r="C64" s="37">
        <v>8.82</v>
      </c>
      <c r="D64">
        <v>3</v>
      </c>
      <c r="E64" s="37">
        <v>8.82</v>
      </c>
      <c r="F64" s="37">
        <v>2.3814</v>
      </c>
      <c r="G64" s="38">
        <v>0</v>
      </c>
    </row>
    <row r="65" spans="1:7">
      <c r="A65" t="s">
        <v>80</v>
      </c>
      <c r="B65"/>
      <c r="C65" s="37">
        <v>19.1744</v>
      </c>
      <c r="D65">
        <v>7</v>
      </c>
      <c r="E65" s="37">
        <v>23.968</v>
      </c>
      <c r="F65" s="37">
        <v>2.6964</v>
      </c>
      <c r="G65" s="38">
        <v>0.2</v>
      </c>
    </row>
    <row r="66" spans="2:7">
      <c r="B66" t="s">
        <v>81</v>
      </c>
      <c r="C66" s="37">
        <v>19.1744</v>
      </c>
      <c r="D66">
        <v>7</v>
      </c>
      <c r="E66" s="37">
        <v>23.968</v>
      </c>
      <c r="F66" s="37">
        <v>2.6964</v>
      </c>
      <c r="G66" s="38">
        <v>0.2</v>
      </c>
    </row>
    <row r="67" spans="1:7">
      <c r="A67" t="s">
        <v>82</v>
      </c>
      <c r="B67"/>
      <c r="C67" s="37">
        <v>8.56</v>
      </c>
      <c r="D67">
        <v>2</v>
      </c>
      <c r="E67" s="37">
        <v>8.56</v>
      </c>
      <c r="F67" s="37">
        <v>2.4824</v>
      </c>
      <c r="G67" s="38">
        <v>0</v>
      </c>
    </row>
    <row r="68" spans="2:7">
      <c r="B68" t="s">
        <v>83</v>
      </c>
      <c r="C68" s="37">
        <v>8.56</v>
      </c>
      <c r="D68">
        <v>2</v>
      </c>
      <c r="E68" s="37">
        <v>8.56</v>
      </c>
      <c r="F68" s="37">
        <v>2.4824</v>
      </c>
      <c r="G68" s="38">
        <v>0</v>
      </c>
    </row>
    <row r="69" spans="1:7">
      <c r="A69" t="s">
        <v>84</v>
      </c>
      <c r="B69"/>
      <c r="C69" s="37">
        <v>8.82</v>
      </c>
      <c r="D69">
        <v>3</v>
      </c>
      <c r="E69" s="37">
        <v>8.82</v>
      </c>
      <c r="F69" s="37">
        <v>2.3814</v>
      </c>
      <c r="G69" s="38">
        <v>0</v>
      </c>
    </row>
    <row r="70" spans="2:7">
      <c r="B70" t="s">
        <v>85</v>
      </c>
      <c r="C70" s="37">
        <v>8.82</v>
      </c>
      <c r="D70">
        <v>3</v>
      </c>
      <c r="E70" s="37">
        <v>8.82</v>
      </c>
      <c r="F70" s="37">
        <v>2.3814</v>
      </c>
      <c r="G70" s="38">
        <v>0</v>
      </c>
    </row>
    <row r="71" spans="1:7">
      <c r="A71" t="s">
        <v>86</v>
      </c>
      <c r="B71"/>
      <c r="C71" s="37">
        <v>59.52</v>
      </c>
      <c r="D71">
        <v>3</v>
      </c>
      <c r="E71" s="37">
        <v>59.52</v>
      </c>
      <c r="F71" s="37">
        <v>15.4752</v>
      </c>
      <c r="G71" s="38">
        <v>0</v>
      </c>
    </row>
    <row r="72" spans="2:7">
      <c r="B72" t="s">
        <v>87</v>
      </c>
      <c r="C72" s="37">
        <v>59.52</v>
      </c>
      <c r="D72">
        <v>3</v>
      </c>
      <c r="E72" s="37">
        <v>59.52</v>
      </c>
      <c r="F72" s="37">
        <v>15.4752</v>
      </c>
      <c r="G72" s="38">
        <v>0</v>
      </c>
    </row>
    <row r="73" spans="1:7">
      <c r="A73" t="s">
        <v>88</v>
      </c>
      <c r="B73"/>
      <c r="C73" s="37">
        <v>9.84</v>
      </c>
      <c r="D73">
        <v>3</v>
      </c>
      <c r="E73" s="37">
        <v>9.84</v>
      </c>
      <c r="F73" s="37">
        <v>2.8536</v>
      </c>
      <c r="G73" s="38">
        <v>0</v>
      </c>
    </row>
    <row r="74" spans="2:7">
      <c r="B74" t="s">
        <v>89</v>
      </c>
      <c r="C74" s="37">
        <v>9.84</v>
      </c>
      <c r="D74">
        <v>3</v>
      </c>
      <c r="E74" s="37">
        <v>9.84</v>
      </c>
      <c r="F74" s="37">
        <v>2.8536</v>
      </c>
      <c r="G74" s="38">
        <v>0</v>
      </c>
    </row>
    <row r="75" spans="1:7">
      <c r="A75" t="s">
        <v>90</v>
      </c>
      <c r="B75"/>
      <c r="C75" s="37">
        <v>14.7</v>
      </c>
      <c r="D75">
        <v>5</v>
      </c>
      <c r="E75" s="37">
        <v>14.7</v>
      </c>
      <c r="F75" s="37">
        <v>6.615</v>
      </c>
      <c r="G75" s="38">
        <v>0</v>
      </c>
    </row>
    <row r="76" spans="2:7">
      <c r="B76" t="s">
        <v>91</v>
      </c>
      <c r="C76" s="37">
        <v>14.7</v>
      </c>
      <c r="D76">
        <v>5</v>
      </c>
      <c r="E76" s="37">
        <v>14.7</v>
      </c>
      <c r="F76" s="37">
        <v>6.615</v>
      </c>
      <c r="G76" s="38">
        <v>0</v>
      </c>
    </row>
    <row r="77" spans="1:7">
      <c r="A77" t="s">
        <v>92</v>
      </c>
      <c r="B77"/>
      <c r="C77" s="37">
        <v>26.5816</v>
      </c>
      <c r="D77">
        <v>10</v>
      </c>
      <c r="E77" s="37">
        <v>28.012</v>
      </c>
      <c r="F77" s="37">
        <v>6.556</v>
      </c>
      <c r="G77" s="38">
        <v>0.2</v>
      </c>
    </row>
    <row r="78" spans="2:7">
      <c r="B78" t="s">
        <v>93</v>
      </c>
      <c r="C78" s="37">
        <v>26.5816</v>
      </c>
      <c r="D78">
        <v>10</v>
      </c>
      <c r="E78" s="37">
        <v>28.012</v>
      </c>
      <c r="F78" s="37">
        <v>6.556</v>
      </c>
      <c r="G78" s="38">
        <v>0.2</v>
      </c>
    </row>
    <row r="79" spans="1:7">
      <c r="A79" t="s">
        <v>94</v>
      </c>
      <c r="B79"/>
      <c r="C79" s="37">
        <v>11.2128</v>
      </c>
      <c r="D79">
        <v>3</v>
      </c>
      <c r="E79" s="37">
        <v>14.016</v>
      </c>
      <c r="F79" s="37">
        <v>4.7304</v>
      </c>
      <c r="G79" s="38">
        <v>0.2</v>
      </c>
    </row>
    <row r="80" spans="2:7">
      <c r="B80" t="s">
        <v>95</v>
      </c>
      <c r="C80" s="37">
        <v>11.2128</v>
      </c>
      <c r="D80">
        <v>3</v>
      </c>
      <c r="E80" s="37">
        <v>14.016</v>
      </c>
      <c r="F80" s="37">
        <v>4.7304</v>
      </c>
      <c r="G80" s="38">
        <v>0.2</v>
      </c>
    </row>
    <row r="81" spans="1:7">
      <c r="A81" t="s">
        <v>96</v>
      </c>
      <c r="B81"/>
      <c r="C81" s="37">
        <v>2.74</v>
      </c>
      <c r="D81">
        <v>1</v>
      </c>
      <c r="E81" s="37">
        <v>2.74</v>
      </c>
      <c r="F81" s="37">
        <v>0.7398</v>
      </c>
      <c r="G81" s="38">
        <v>0</v>
      </c>
    </row>
    <row r="82" spans="2:7">
      <c r="B82" t="s">
        <v>97</v>
      </c>
      <c r="C82" s="37">
        <v>2.74</v>
      </c>
      <c r="D82">
        <v>1</v>
      </c>
      <c r="E82" s="37">
        <v>2.74</v>
      </c>
      <c r="F82" s="37">
        <v>0.7398</v>
      </c>
      <c r="G82" s="38">
        <v>0</v>
      </c>
    </row>
    <row r="83" spans="1:7">
      <c r="A83" t="s">
        <v>98</v>
      </c>
      <c r="B83"/>
      <c r="C83" s="37">
        <v>3.28</v>
      </c>
      <c r="D83">
        <v>1</v>
      </c>
      <c r="E83" s="37">
        <v>3.28</v>
      </c>
      <c r="F83" s="37">
        <v>1.4104</v>
      </c>
      <c r="G83" s="38">
        <v>0</v>
      </c>
    </row>
    <row r="84" spans="2:7">
      <c r="B84" t="s">
        <v>99</v>
      </c>
      <c r="C84" s="37">
        <v>3.28</v>
      </c>
      <c r="D84">
        <v>1</v>
      </c>
      <c r="E84" s="37">
        <v>3.28</v>
      </c>
      <c r="F84" s="37">
        <v>1.4104</v>
      </c>
      <c r="G84" s="38">
        <v>0</v>
      </c>
    </row>
    <row r="85" spans="1:7">
      <c r="A85" t="s">
        <v>100</v>
      </c>
      <c r="B85"/>
      <c r="C85" s="37">
        <v>2.2</v>
      </c>
      <c r="D85">
        <v>1</v>
      </c>
      <c r="E85" s="37">
        <v>2.2</v>
      </c>
      <c r="F85" s="37">
        <v>0.968</v>
      </c>
      <c r="G85" s="38">
        <v>0</v>
      </c>
    </row>
    <row r="86" spans="2:7">
      <c r="B86" t="s">
        <v>101</v>
      </c>
      <c r="C86" s="37">
        <v>2.2</v>
      </c>
      <c r="D86">
        <v>1</v>
      </c>
      <c r="E86" s="37">
        <v>2.2</v>
      </c>
      <c r="F86" s="37">
        <v>0.968</v>
      </c>
      <c r="G86" s="38">
        <v>0</v>
      </c>
    </row>
    <row r="87" spans="1:7">
      <c r="A87" t="s">
        <v>102</v>
      </c>
      <c r="B87"/>
      <c r="C87" s="37">
        <v>21.7344</v>
      </c>
      <c r="D87">
        <v>2</v>
      </c>
      <c r="E87" s="37">
        <v>27.168</v>
      </c>
      <c r="F87" s="37">
        <v>2.7168</v>
      </c>
      <c r="G87" s="38">
        <v>0.2</v>
      </c>
    </row>
    <row r="88" spans="2:7">
      <c r="B88" t="s">
        <v>103</v>
      </c>
      <c r="C88" s="37">
        <v>21.7344</v>
      </c>
      <c r="D88">
        <v>2</v>
      </c>
      <c r="E88" s="37">
        <v>27.168</v>
      </c>
      <c r="F88" s="37">
        <v>2.7168</v>
      </c>
      <c r="G88" s="38">
        <v>0.2</v>
      </c>
    </row>
    <row r="89" spans="1:7">
      <c r="A89" t="s">
        <v>104</v>
      </c>
      <c r="B89"/>
      <c r="C89" s="37">
        <v>22.74</v>
      </c>
      <c r="D89">
        <v>3</v>
      </c>
      <c r="E89" s="37">
        <v>22.74</v>
      </c>
      <c r="F89" s="37">
        <v>8.8686</v>
      </c>
      <c r="G89" s="38">
        <v>0</v>
      </c>
    </row>
    <row r="90" spans="2:7">
      <c r="B90" t="s">
        <v>105</v>
      </c>
      <c r="C90" s="37">
        <v>22.74</v>
      </c>
      <c r="D90">
        <v>3</v>
      </c>
      <c r="E90" s="37">
        <v>22.74</v>
      </c>
      <c r="F90" s="37">
        <v>8.8686</v>
      </c>
      <c r="G90" s="38">
        <v>0</v>
      </c>
    </row>
    <row r="91" spans="1:7">
      <c r="A91" t="s">
        <v>106</v>
      </c>
      <c r="B91"/>
      <c r="C91" s="37">
        <v>20.1</v>
      </c>
      <c r="D91">
        <v>3</v>
      </c>
      <c r="E91" s="37">
        <v>20.1</v>
      </c>
      <c r="F91" s="37">
        <v>6.633</v>
      </c>
      <c r="G91" s="38">
        <v>0</v>
      </c>
    </row>
    <row r="92" spans="2:7">
      <c r="B92" t="s">
        <v>107</v>
      </c>
      <c r="C92" s="37">
        <v>20.1</v>
      </c>
      <c r="D92">
        <v>3</v>
      </c>
      <c r="E92" s="37">
        <v>20.1</v>
      </c>
      <c r="F92" s="37">
        <v>6.633</v>
      </c>
      <c r="G92" s="38">
        <v>0</v>
      </c>
    </row>
    <row r="93" spans="1:7">
      <c r="A93" t="s">
        <v>108</v>
      </c>
      <c r="B93"/>
      <c r="C93" s="37">
        <v>27.2384</v>
      </c>
      <c r="D93">
        <v>7</v>
      </c>
      <c r="E93" s="37">
        <v>34.048</v>
      </c>
      <c r="F93" s="37">
        <v>5.9584</v>
      </c>
      <c r="G93" s="38">
        <v>0.4</v>
      </c>
    </row>
    <row r="94" spans="2:7">
      <c r="B94" t="s">
        <v>109</v>
      </c>
      <c r="C94" s="37">
        <v>27.2384</v>
      </c>
      <c r="D94">
        <v>7</v>
      </c>
      <c r="E94" s="37">
        <v>34.048</v>
      </c>
      <c r="F94" s="37">
        <v>5.9584</v>
      </c>
      <c r="G94" s="38">
        <v>0.4</v>
      </c>
    </row>
    <row r="95" spans="1:7">
      <c r="A95" t="s">
        <v>5</v>
      </c>
      <c r="B95"/>
      <c r="C95" s="37">
        <v>2209.1528</v>
      </c>
      <c r="D95">
        <v>182</v>
      </c>
      <c r="E95" s="37">
        <v>2565.556</v>
      </c>
      <c r="F95" s="37">
        <v>418.5562</v>
      </c>
      <c r="G95" s="38">
        <v>4.6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91"/>
  <sheetViews>
    <sheetView workbookViewId="0">
      <selection activeCell="E7" sqref="E7"/>
    </sheetView>
  </sheetViews>
  <sheetFormatPr defaultColWidth="9" defaultRowHeight="16.8" outlineLevelCol="5"/>
  <cols>
    <col min="1" max="1" width="14.3125"/>
    <col min="2" max="2" width="20.1875"/>
    <col min="3" max="3" width="16.375"/>
    <col min="4" max="4" width="17.75"/>
    <col min="5" max="5" width="13.875"/>
    <col min="6" max="6" width="15.9375"/>
    <col min="10" max="10" width="10.875"/>
    <col min="11" max="191" width="16.375"/>
    <col min="192" max="192" width="10.875"/>
  </cols>
  <sheetData>
    <row r="1" spans="1:2">
      <c r="A1" t="s">
        <v>110</v>
      </c>
      <c r="B1" t="s">
        <v>111</v>
      </c>
    </row>
    <row r="2" spans="1:2">
      <c r="A2" t="s">
        <v>112</v>
      </c>
      <c r="B2" t="s">
        <v>14</v>
      </c>
    </row>
    <row r="3" spans="1:2">
      <c r="A3" t="s">
        <v>113</v>
      </c>
      <c r="B3" t="s">
        <v>14</v>
      </c>
    </row>
    <row r="5" spans="1:6">
      <c r="A5" t="s">
        <v>114</v>
      </c>
      <c r="B5" t="s">
        <v>115</v>
      </c>
      <c r="C5" t="s">
        <v>116</v>
      </c>
      <c r="D5" t="s">
        <v>117</v>
      </c>
      <c r="E5" t="s">
        <v>118</v>
      </c>
      <c r="F5" t="s">
        <v>1</v>
      </c>
    </row>
    <row r="6" spans="1:6">
      <c r="A6" t="s">
        <v>119</v>
      </c>
      <c r="B6"/>
      <c r="C6"/>
      <c r="D6"/>
      <c r="E6"/>
      <c r="F6">
        <v>45.168</v>
      </c>
    </row>
    <row r="7" spans="2:6">
      <c r="B7" t="s">
        <v>120</v>
      </c>
      <c r="C7"/>
      <c r="F7">
        <v>45.168</v>
      </c>
    </row>
    <row r="8" spans="3:6">
      <c r="C8" t="s">
        <v>121</v>
      </c>
      <c r="F8">
        <v>16.768</v>
      </c>
    </row>
    <row r="9" spans="4:6">
      <c r="D9" t="s">
        <v>122</v>
      </c>
      <c r="F9">
        <v>16.768</v>
      </c>
    </row>
    <row r="10" spans="5:6">
      <c r="E10">
        <v>85204</v>
      </c>
      <c r="F10">
        <v>16.768</v>
      </c>
    </row>
    <row r="11" spans="3:6">
      <c r="C11" t="s">
        <v>123</v>
      </c>
      <c r="D11"/>
      <c r="E11"/>
      <c r="F11">
        <v>28.4</v>
      </c>
    </row>
    <row r="12" spans="4:6">
      <c r="D12" t="s">
        <v>124</v>
      </c>
      <c r="F12">
        <v>28.4</v>
      </c>
    </row>
    <row r="13" spans="5:6">
      <c r="E13">
        <v>68104</v>
      </c>
      <c r="F13">
        <v>28.4</v>
      </c>
    </row>
    <row r="14" spans="1:6">
      <c r="A14" t="s">
        <v>125</v>
      </c>
      <c r="B14"/>
      <c r="C14"/>
      <c r="D14"/>
      <c r="E14"/>
      <c r="F14">
        <v>15.552</v>
      </c>
    </row>
    <row r="15" spans="2:6">
      <c r="B15" t="s">
        <v>126</v>
      </c>
      <c r="C15"/>
      <c r="D15"/>
      <c r="E15"/>
      <c r="F15">
        <v>15.552</v>
      </c>
    </row>
    <row r="16" spans="3:6">
      <c r="C16" t="s">
        <v>127</v>
      </c>
      <c r="F16">
        <v>15.552</v>
      </c>
    </row>
    <row r="17" spans="4:6">
      <c r="D17" t="s">
        <v>128</v>
      </c>
      <c r="F17">
        <v>15.552</v>
      </c>
    </row>
    <row r="18" spans="5:6">
      <c r="E18">
        <v>28027</v>
      </c>
      <c r="F18">
        <v>15.552</v>
      </c>
    </row>
    <row r="19" spans="1:6">
      <c r="A19" t="s">
        <v>129</v>
      </c>
      <c r="B19"/>
      <c r="C19"/>
      <c r="D19"/>
      <c r="E19"/>
      <c r="F19">
        <v>23.64</v>
      </c>
    </row>
    <row r="20" spans="2:6">
      <c r="B20" t="s">
        <v>130</v>
      </c>
      <c r="C20"/>
      <c r="F20">
        <v>23.64</v>
      </c>
    </row>
    <row r="21" spans="3:6">
      <c r="C21" t="s">
        <v>131</v>
      </c>
      <c r="F21">
        <v>23.64</v>
      </c>
    </row>
    <row r="22" spans="4:6">
      <c r="D22" t="s">
        <v>132</v>
      </c>
      <c r="F22">
        <v>23.64</v>
      </c>
    </row>
    <row r="23" spans="5:6">
      <c r="E23">
        <v>77041</v>
      </c>
      <c r="F23">
        <v>23.64</v>
      </c>
    </row>
    <row r="24" spans="1:6">
      <c r="A24" t="s">
        <v>133</v>
      </c>
      <c r="B24"/>
      <c r="C24"/>
      <c r="D24"/>
      <c r="E24"/>
      <c r="F24">
        <v>180.832</v>
      </c>
    </row>
    <row r="25" spans="2:6">
      <c r="B25" t="s">
        <v>134</v>
      </c>
      <c r="C25"/>
      <c r="F25">
        <v>180.832</v>
      </c>
    </row>
    <row r="26" spans="3:6">
      <c r="C26" t="s">
        <v>135</v>
      </c>
      <c r="F26">
        <v>166.24</v>
      </c>
    </row>
    <row r="27" spans="4:6">
      <c r="D27" t="s">
        <v>136</v>
      </c>
      <c r="F27">
        <v>166.24</v>
      </c>
    </row>
    <row r="28" spans="5:6">
      <c r="E28">
        <v>90036</v>
      </c>
      <c r="F28">
        <v>166.24</v>
      </c>
    </row>
    <row r="29" spans="3:6">
      <c r="C29" t="s">
        <v>137</v>
      </c>
      <c r="D29"/>
      <c r="E29"/>
      <c r="F29">
        <v>14.592</v>
      </c>
    </row>
    <row r="30" spans="4:6">
      <c r="D30" t="s">
        <v>138</v>
      </c>
      <c r="E30"/>
      <c r="F30">
        <v>14.592</v>
      </c>
    </row>
    <row r="31" spans="5:6">
      <c r="E31">
        <v>43615</v>
      </c>
      <c r="F31">
        <v>14.592</v>
      </c>
    </row>
    <row r="32" spans="1:6">
      <c r="A32" t="s">
        <v>139</v>
      </c>
      <c r="B32"/>
      <c r="C32"/>
      <c r="D32"/>
      <c r="F32">
        <v>83.72</v>
      </c>
    </row>
    <row r="33" spans="2:6">
      <c r="B33" t="s">
        <v>140</v>
      </c>
      <c r="C33"/>
      <c r="D33"/>
      <c r="E33"/>
      <c r="F33">
        <v>83.72</v>
      </c>
    </row>
    <row r="34" spans="3:6">
      <c r="C34" t="s">
        <v>141</v>
      </c>
      <c r="D34"/>
      <c r="E34"/>
      <c r="F34">
        <v>83.72</v>
      </c>
    </row>
    <row r="35" spans="4:6">
      <c r="D35" t="s">
        <v>142</v>
      </c>
      <c r="E35"/>
      <c r="F35">
        <v>83.72</v>
      </c>
    </row>
    <row r="36" spans="5:6">
      <c r="E36">
        <v>40214</v>
      </c>
      <c r="F36">
        <v>83.72</v>
      </c>
    </row>
    <row r="37" spans="1:6">
      <c r="A37" t="s">
        <v>143</v>
      </c>
      <c r="B37"/>
      <c r="C37"/>
      <c r="D37"/>
      <c r="E37"/>
      <c r="F37">
        <v>55.5</v>
      </c>
    </row>
    <row r="38" spans="2:6">
      <c r="B38" t="s">
        <v>144</v>
      </c>
      <c r="C38"/>
      <c r="F38">
        <v>55.5</v>
      </c>
    </row>
    <row r="39" spans="3:6">
      <c r="C39" t="s">
        <v>145</v>
      </c>
      <c r="D39"/>
      <c r="F39">
        <v>55.5</v>
      </c>
    </row>
    <row r="40" spans="4:6">
      <c r="D40" t="s">
        <v>146</v>
      </c>
      <c r="E40"/>
      <c r="F40">
        <v>55.5</v>
      </c>
    </row>
    <row r="41" spans="5:6">
      <c r="E41">
        <v>84084</v>
      </c>
      <c r="F41">
        <v>55.5</v>
      </c>
    </row>
    <row r="42" spans="1:6">
      <c r="A42" t="s">
        <v>147</v>
      </c>
      <c r="B42"/>
      <c r="C42"/>
      <c r="F42">
        <v>15.696</v>
      </c>
    </row>
    <row r="43" spans="2:6">
      <c r="B43" t="s">
        <v>148</v>
      </c>
      <c r="C43"/>
      <c r="D43"/>
      <c r="F43">
        <v>15.696</v>
      </c>
    </row>
    <row r="44" spans="3:6">
      <c r="C44" t="s">
        <v>149</v>
      </c>
      <c r="D44"/>
      <c r="F44">
        <v>15.696</v>
      </c>
    </row>
    <row r="45" spans="4:6">
      <c r="D45" t="s">
        <v>138</v>
      </c>
      <c r="E45"/>
      <c r="F45">
        <v>15.696</v>
      </c>
    </row>
    <row r="46" spans="5:6">
      <c r="E46">
        <v>45231</v>
      </c>
      <c r="F46">
        <v>15.696</v>
      </c>
    </row>
    <row r="47" spans="1:6">
      <c r="A47" t="s">
        <v>150</v>
      </c>
      <c r="B47"/>
      <c r="C47"/>
      <c r="D47"/>
      <c r="E47"/>
      <c r="F47">
        <v>35.952</v>
      </c>
    </row>
    <row r="48" spans="2:6">
      <c r="B48" t="s">
        <v>151</v>
      </c>
      <c r="C48"/>
      <c r="D48"/>
      <c r="F48">
        <v>35.952</v>
      </c>
    </row>
    <row r="49" spans="3:6">
      <c r="C49" t="s">
        <v>131</v>
      </c>
      <c r="D49"/>
      <c r="E49"/>
      <c r="F49">
        <v>35.952</v>
      </c>
    </row>
    <row r="50" spans="4:6">
      <c r="D50" t="s">
        <v>132</v>
      </c>
      <c r="E50"/>
      <c r="F50">
        <v>35.952</v>
      </c>
    </row>
    <row r="51" spans="5:6">
      <c r="E51">
        <v>77036</v>
      </c>
      <c r="F51">
        <v>35.952</v>
      </c>
    </row>
    <row r="52" spans="1:6">
      <c r="A52" t="s">
        <v>152</v>
      </c>
      <c r="B52"/>
      <c r="C52"/>
      <c r="F52">
        <v>414.02</v>
      </c>
    </row>
    <row r="53" spans="2:6">
      <c r="B53" t="s">
        <v>153</v>
      </c>
      <c r="C53"/>
      <c r="D53"/>
      <c r="F53">
        <v>414.02</v>
      </c>
    </row>
    <row r="54" spans="3:6">
      <c r="C54" t="s">
        <v>154</v>
      </c>
      <c r="D54"/>
      <c r="E54"/>
      <c r="F54">
        <v>405.86</v>
      </c>
    </row>
    <row r="55" spans="4:6">
      <c r="D55" t="s">
        <v>155</v>
      </c>
      <c r="E55"/>
      <c r="F55">
        <v>405.86</v>
      </c>
    </row>
    <row r="56" spans="5:6">
      <c r="E56">
        <v>54703</v>
      </c>
      <c r="F56">
        <v>405.86</v>
      </c>
    </row>
    <row r="57" spans="3:6">
      <c r="C57" t="s">
        <v>156</v>
      </c>
      <c r="F57">
        <v>8.16</v>
      </c>
    </row>
    <row r="58" spans="4:6">
      <c r="D58" t="s">
        <v>122</v>
      </c>
      <c r="F58">
        <v>8.16</v>
      </c>
    </row>
    <row r="59" spans="5:6">
      <c r="E59">
        <v>85705</v>
      </c>
      <c r="F59">
        <v>8.16</v>
      </c>
    </row>
    <row r="60" spans="1:6">
      <c r="A60" t="s">
        <v>157</v>
      </c>
      <c r="B60"/>
      <c r="C60"/>
      <c r="F60">
        <v>428.46</v>
      </c>
    </row>
    <row r="61" spans="2:6">
      <c r="B61" t="s">
        <v>158</v>
      </c>
      <c r="C61"/>
      <c r="F61">
        <v>428.46</v>
      </c>
    </row>
    <row r="62" spans="3:6">
      <c r="C62" t="s">
        <v>159</v>
      </c>
      <c r="F62">
        <v>79.9</v>
      </c>
    </row>
    <row r="63" spans="4:6">
      <c r="D63" t="s">
        <v>136</v>
      </c>
      <c r="F63">
        <v>79.9</v>
      </c>
    </row>
    <row r="64" spans="5:6">
      <c r="E64">
        <v>94513</v>
      </c>
      <c r="F64">
        <v>79.9</v>
      </c>
    </row>
    <row r="65" spans="3:6">
      <c r="C65" t="s">
        <v>141</v>
      </c>
      <c r="F65">
        <v>348.56</v>
      </c>
    </row>
    <row r="66" spans="4:6">
      <c r="D66" t="s">
        <v>142</v>
      </c>
      <c r="F66">
        <v>348.56</v>
      </c>
    </row>
    <row r="67" spans="5:6">
      <c r="E67">
        <v>40214</v>
      </c>
      <c r="F67">
        <v>348.56</v>
      </c>
    </row>
    <row r="68" spans="1:6">
      <c r="A68" t="s">
        <v>160</v>
      </c>
      <c r="B68"/>
      <c r="C68"/>
      <c r="D68"/>
      <c r="F68">
        <v>319.436</v>
      </c>
    </row>
    <row r="69" spans="2:6">
      <c r="B69" t="s">
        <v>161</v>
      </c>
      <c r="C69"/>
      <c r="D69"/>
      <c r="E69"/>
      <c r="F69">
        <v>319.436</v>
      </c>
    </row>
    <row r="70" spans="3:6">
      <c r="C70" t="s">
        <v>162</v>
      </c>
      <c r="F70">
        <v>299.98</v>
      </c>
    </row>
    <row r="71" spans="4:6">
      <c r="D71" t="s">
        <v>163</v>
      </c>
      <c r="F71">
        <v>299.98</v>
      </c>
    </row>
    <row r="72" spans="5:6">
      <c r="E72">
        <v>48227</v>
      </c>
      <c r="F72">
        <v>299.98</v>
      </c>
    </row>
    <row r="73" spans="3:6">
      <c r="C73" t="s">
        <v>164</v>
      </c>
      <c r="D73"/>
      <c r="F73">
        <v>19.456</v>
      </c>
    </row>
    <row r="74" spans="4:6">
      <c r="D74" t="s">
        <v>128</v>
      </c>
      <c r="E74"/>
      <c r="F74">
        <v>19.456</v>
      </c>
    </row>
    <row r="75" spans="5:6">
      <c r="E75">
        <v>28403</v>
      </c>
      <c r="F75">
        <v>19.456</v>
      </c>
    </row>
    <row r="76" spans="1:6">
      <c r="A76" t="s">
        <v>165</v>
      </c>
      <c r="B76"/>
      <c r="C76"/>
      <c r="F76">
        <v>449.15</v>
      </c>
    </row>
    <row r="77" spans="2:6">
      <c r="B77" t="s">
        <v>166</v>
      </c>
      <c r="C77"/>
      <c r="D77"/>
      <c r="F77">
        <v>449.15</v>
      </c>
    </row>
    <row r="78" spans="3:6">
      <c r="C78" t="s">
        <v>167</v>
      </c>
      <c r="D78"/>
      <c r="F78">
        <v>449.15</v>
      </c>
    </row>
    <row r="79" spans="4:6">
      <c r="D79" t="s">
        <v>168</v>
      </c>
      <c r="E79"/>
      <c r="F79">
        <v>449.15</v>
      </c>
    </row>
    <row r="80" spans="5:6">
      <c r="E80">
        <v>14609</v>
      </c>
      <c r="F80">
        <v>449.15</v>
      </c>
    </row>
    <row r="81" spans="1:6">
      <c r="A81" t="s">
        <v>169</v>
      </c>
      <c r="B81"/>
      <c r="C81"/>
      <c r="D81"/>
      <c r="F81">
        <v>24.448</v>
      </c>
    </row>
    <row r="82" spans="2:6">
      <c r="B82" t="s">
        <v>170</v>
      </c>
      <c r="C82"/>
      <c r="F82">
        <v>24.448</v>
      </c>
    </row>
    <row r="83" spans="3:6">
      <c r="C83" t="s">
        <v>171</v>
      </c>
      <c r="D83"/>
      <c r="F83">
        <v>24.448</v>
      </c>
    </row>
    <row r="84" spans="4:6">
      <c r="D84" t="s">
        <v>172</v>
      </c>
      <c r="E84"/>
      <c r="F84">
        <v>24.448</v>
      </c>
    </row>
    <row r="85" spans="5:6">
      <c r="E85">
        <v>32137</v>
      </c>
      <c r="F85">
        <v>24.448</v>
      </c>
    </row>
    <row r="86" spans="1:6">
      <c r="A86" t="s">
        <v>173</v>
      </c>
      <c r="B86"/>
      <c r="C86"/>
      <c r="F86">
        <v>61.602</v>
      </c>
    </row>
    <row r="87" spans="2:6">
      <c r="B87" t="s">
        <v>174</v>
      </c>
      <c r="C87"/>
      <c r="D87"/>
      <c r="F87">
        <v>61.602</v>
      </c>
    </row>
    <row r="88" spans="3:6">
      <c r="C88" t="s">
        <v>135</v>
      </c>
      <c r="D88"/>
      <c r="F88">
        <v>58.32</v>
      </c>
    </row>
    <row r="89" spans="4:6">
      <c r="D89" t="s">
        <v>136</v>
      </c>
      <c r="E89"/>
      <c r="F89">
        <v>58.32</v>
      </c>
    </row>
    <row r="90" spans="5:6">
      <c r="E90">
        <v>90004</v>
      </c>
      <c r="F90">
        <v>58.32</v>
      </c>
    </row>
    <row r="91" spans="3:6">
      <c r="C91" t="s">
        <v>175</v>
      </c>
      <c r="D91"/>
      <c r="F91">
        <v>3.282</v>
      </c>
    </row>
    <row r="92" spans="4:6">
      <c r="D92" t="s">
        <v>176</v>
      </c>
      <c r="E92"/>
      <c r="F92">
        <v>3.282</v>
      </c>
    </row>
    <row r="93" spans="5:6">
      <c r="E93">
        <v>19134</v>
      </c>
      <c r="F93">
        <v>3.282</v>
      </c>
    </row>
    <row r="94" spans="1:6">
      <c r="A94" t="s">
        <v>177</v>
      </c>
      <c r="B94"/>
      <c r="C94"/>
      <c r="D94"/>
      <c r="F94">
        <v>142.776</v>
      </c>
    </row>
    <row r="95" spans="2:6">
      <c r="B95" t="s">
        <v>178</v>
      </c>
      <c r="C95"/>
      <c r="D95"/>
      <c r="E95"/>
      <c r="F95">
        <v>142.776</v>
      </c>
    </row>
    <row r="96" spans="3:6">
      <c r="C96" t="s">
        <v>179</v>
      </c>
      <c r="D96"/>
      <c r="F96">
        <v>142.776</v>
      </c>
    </row>
    <row r="97" spans="4:6">
      <c r="D97" t="s">
        <v>172</v>
      </c>
      <c r="E97"/>
      <c r="F97">
        <v>142.776</v>
      </c>
    </row>
    <row r="98" spans="5:6">
      <c r="E98">
        <v>33614</v>
      </c>
      <c r="F98">
        <v>142.776</v>
      </c>
    </row>
    <row r="99" spans="1:6">
      <c r="A99" t="s">
        <v>180</v>
      </c>
      <c r="B99"/>
      <c r="C99"/>
      <c r="D99"/>
      <c r="F99">
        <v>193.144</v>
      </c>
    </row>
    <row r="100" spans="2:6">
      <c r="B100" t="s">
        <v>181</v>
      </c>
      <c r="C100"/>
      <c r="F100">
        <v>193.144</v>
      </c>
    </row>
    <row r="101" spans="3:6">
      <c r="C101" t="s">
        <v>182</v>
      </c>
      <c r="D101"/>
      <c r="F101">
        <v>95.984</v>
      </c>
    </row>
    <row r="102" spans="4:6">
      <c r="D102" t="s">
        <v>183</v>
      </c>
      <c r="E102"/>
      <c r="F102">
        <v>95.984</v>
      </c>
    </row>
    <row r="103" spans="5:6">
      <c r="E103">
        <v>60653</v>
      </c>
      <c r="F103">
        <v>95.984</v>
      </c>
    </row>
    <row r="104" spans="3:6">
      <c r="C104" t="s">
        <v>184</v>
      </c>
      <c r="D104"/>
      <c r="F104">
        <v>97.16</v>
      </c>
    </row>
    <row r="105" spans="4:6">
      <c r="D105" t="s">
        <v>185</v>
      </c>
      <c r="E105"/>
      <c r="F105">
        <v>97.16</v>
      </c>
    </row>
    <row r="106" spans="5:6">
      <c r="E106">
        <v>98115</v>
      </c>
      <c r="F106">
        <v>97.16</v>
      </c>
    </row>
    <row r="107" spans="1:6">
      <c r="A107" t="s">
        <v>186</v>
      </c>
      <c r="B107"/>
      <c r="C107"/>
      <c r="D107"/>
      <c r="E107"/>
      <c r="F107">
        <v>1121.568</v>
      </c>
    </row>
    <row r="108" spans="2:6">
      <c r="B108" t="s">
        <v>187</v>
      </c>
      <c r="C108"/>
      <c r="F108">
        <v>1121.568</v>
      </c>
    </row>
    <row r="109" spans="3:6">
      <c r="C109" t="s">
        <v>188</v>
      </c>
      <c r="D109"/>
      <c r="F109">
        <v>1121.568</v>
      </c>
    </row>
    <row r="110" spans="4:6">
      <c r="D110" t="s">
        <v>136</v>
      </c>
      <c r="E110"/>
      <c r="F110">
        <v>1121.568</v>
      </c>
    </row>
    <row r="111" spans="5:6">
      <c r="E111">
        <v>94110</v>
      </c>
      <c r="F111">
        <v>1121.568</v>
      </c>
    </row>
    <row r="112" spans="1:6">
      <c r="A112" t="s">
        <v>189</v>
      </c>
      <c r="B112"/>
      <c r="F112">
        <v>468.9</v>
      </c>
    </row>
    <row r="113" spans="2:6">
      <c r="B113" t="s">
        <v>190</v>
      </c>
      <c r="C113"/>
      <c r="F113">
        <v>468.9</v>
      </c>
    </row>
    <row r="114" spans="3:6">
      <c r="C114" t="s">
        <v>191</v>
      </c>
      <c r="D114"/>
      <c r="F114">
        <v>468.9</v>
      </c>
    </row>
    <row r="115" spans="4:6">
      <c r="D115" t="s">
        <v>155</v>
      </c>
      <c r="E115"/>
      <c r="F115">
        <v>468.9</v>
      </c>
    </row>
    <row r="116" spans="5:6">
      <c r="E116">
        <v>54302</v>
      </c>
      <c r="F116">
        <v>468.9</v>
      </c>
    </row>
    <row r="117" spans="1:6">
      <c r="A117" t="s">
        <v>192</v>
      </c>
      <c r="B117"/>
      <c r="C117"/>
      <c r="D117"/>
      <c r="F117">
        <v>40.08</v>
      </c>
    </row>
    <row r="118" spans="2:6">
      <c r="B118" t="s">
        <v>193</v>
      </c>
      <c r="C118"/>
      <c r="F118">
        <v>40.08</v>
      </c>
    </row>
    <row r="119" spans="3:6">
      <c r="C119" t="s">
        <v>194</v>
      </c>
      <c r="D119"/>
      <c r="F119">
        <v>22.2</v>
      </c>
    </row>
    <row r="120" spans="4:6">
      <c r="D120" t="s">
        <v>195</v>
      </c>
      <c r="E120"/>
      <c r="F120">
        <v>22.2</v>
      </c>
    </row>
    <row r="121" spans="5:6">
      <c r="E121">
        <v>1841</v>
      </c>
      <c r="F121">
        <v>22.2</v>
      </c>
    </row>
    <row r="122" spans="3:6">
      <c r="C122" t="s">
        <v>196</v>
      </c>
      <c r="D122"/>
      <c r="F122">
        <v>17.88</v>
      </c>
    </row>
    <row r="123" spans="4:6">
      <c r="D123" t="s">
        <v>172</v>
      </c>
      <c r="E123"/>
      <c r="F123">
        <v>17.88</v>
      </c>
    </row>
    <row r="124" spans="5:6">
      <c r="E124">
        <v>33180</v>
      </c>
      <c r="F124">
        <v>17.88</v>
      </c>
    </row>
    <row r="125" spans="1:6">
      <c r="A125" t="s">
        <v>197</v>
      </c>
      <c r="B125"/>
      <c r="C125"/>
      <c r="D125"/>
      <c r="E125"/>
      <c r="F125">
        <v>70.98</v>
      </c>
    </row>
    <row r="126" spans="2:6">
      <c r="B126" t="s">
        <v>198</v>
      </c>
      <c r="C126"/>
      <c r="F126">
        <v>70.98</v>
      </c>
    </row>
    <row r="127" spans="3:6">
      <c r="C127" t="s">
        <v>199</v>
      </c>
      <c r="D127"/>
      <c r="F127">
        <v>70.98</v>
      </c>
    </row>
    <row r="128" spans="4:6">
      <c r="D128" t="s">
        <v>142</v>
      </c>
      <c r="E128"/>
      <c r="F128">
        <v>70.98</v>
      </c>
    </row>
    <row r="129" spans="5:6">
      <c r="E129">
        <v>40475</v>
      </c>
      <c r="F129">
        <v>70.98</v>
      </c>
    </row>
    <row r="130" spans="1:6">
      <c r="A130" t="s">
        <v>200</v>
      </c>
      <c r="B130"/>
      <c r="C130"/>
      <c r="D130"/>
      <c r="E130"/>
      <c r="F130">
        <v>48.86</v>
      </c>
    </row>
    <row r="131" spans="2:6">
      <c r="B131" t="s">
        <v>201</v>
      </c>
      <c r="C131"/>
      <c r="D131"/>
      <c r="E131"/>
      <c r="F131">
        <v>48.86</v>
      </c>
    </row>
    <row r="132" spans="3:6">
      <c r="C132" t="s">
        <v>135</v>
      </c>
      <c r="D132"/>
      <c r="E132"/>
      <c r="F132">
        <v>48.86</v>
      </c>
    </row>
    <row r="133" spans="4:6">
      <c r="D133" t="s">
        <v>136</v>
      </c>
      <c r="E133"/>
      <c r="F133">
        <v>48.86</v>
      </c>
    </row>
    <row r="134" spans="5:6">
      <c r="E134">
        <v>90032</v>
      </c>
      <c r="F134">
        <v>48.86</v>
      </c>
    </row>
    <row r="135" spans="1:6">
      <c r="A135" t="s">
        <v>202</v>
      </c>
      <c r="B135"/>
      <c r="C135"/>
      <c r="D135"/>
      <c r="E135"/>
      <c r="F135">
        <v>39.96</v>
      </c>
    </row>
    <row r="136" spans="2:6">
      <c r="B136" t="s">
        <v>203</v>
      </c>
      <c r="C136"/>
      <c r="D136"/>
      <c r="E136"/>
      <c r="F136">
        <v>39.96</v>
      </c>
    </row>
    <row r="137" spans="3:6">
      <c r="C137" t="s">
        <v>204</v>
      </c>
      <c r="D137"/>
      <c r="E137"/>
      <c r="F137">
        <v>39.96</v>
      </c>
    </row>
    <row r="138" spans="4:6">
      <c r="D138" t="s">
        <v>168</v>
      </c>
      <c r="E138"/>
      <c r="F138">
        <v>39.96</v>
      </c>
    </row>
    <row r="139" spans="5:6">
      <c r="E139">
        <v>10035</v>
      </c>
      <c r="F139">
        <v>39.96</v>
      </c>
    </row>
    <row r="140" spans="1:6">
      <c r="A140" t="s">
        <v>205</v>
      </c>
      <c r="B140"/>
      <c r="C140"/>
      <c r="D140"/>
      <c r="E140"/>
      <c r="F140">
        <v>9.936</v>
      </c>
    </row>
    <row r="141" spans="2:6">
      <c r="B141" t="s">
        <v>206</v>
      </c>
      <c r="C141"/>
      <c r="D141"/>
      <c r="E141"/>
      <c r="F141">
        <v>9.936</v>
      </c>
    </row>
    <row r="142" spans="3:6">
      <c r="C142" t="s">
        <v>207</v>
      </c>
      <c r="D142"/>
      <c r="E142"/>
      <c r="F142">
        <v>9.936</v>
      </c>
    </row>
    <row r="143" spans="4:6">
      <c r="D143" t="s">
        <v>132</v>
      </c>
      <c r="E143"/>
      <c r="F143">
        <v>9.936</v>
      </c>
    </row>
    <row r="144" spans="5:6">
      <c r="E144">
        <v>78207</v>
      </c>
      <c r="F144">
        <v>9.936</v>
      </c>
    </row>
    <row r="145" spans="1:6">
      <c r="A145" t="s">
        <v>208</v>
      </c>
      <c r="B145"/>
      <c r="C145"/>
      <c r="D145"/>
      <c r="E145"/>
      <c r="F145">
        <v>508.014</v>
      </c>
    </row>
    <row r="146" spans="2:6">
      <c r="B146" t="s">
        <v>209</v>
      </c>
      <c r="C146"/>
      <c r="D146"/>
      <c r="E146"/>
      <c r="F146">
        <v>508.014</v>
      </c>
    </row>
    <row r="147" spans="3:6">
      <c r="C147" t="s">
        <v>210</v>
      </c>
      <c r="D147"/>
      <c r="E147"/>
      <c r="F147">
        <v>475.944</v>
      </c>
    </row>
    <row r="148" spans="4:6">
      <c r="D148" t="s">
        <v>183</v>
      </c>
      <c r="E148"/>
      <c r="F148">
        <v>475.944</v>
      </c>
    </row>
    <row r="149" spans="5:6">
      <c r="E149">
        <v>60089</v>
      </c>
      <c r="F149">
        <v>475.944</v>
      </c>
    </row>
    <row r="150" spans="3:6">
      <c r="C150" t="s">
        <v>211</v>
      </c>
      <c r="D150"/>
      <c r="E150"/>
      <c r="F150">
        <v>32.07</v>
      </c>
    </row>
    <row r="151" spans="4:6">
      <c r="D151" t="s">
        <v>138</v>
      </c>
      <c r="E151"/>
      <c r="F151">
        <v>32.07</v>
      </c>
    </row>
    <row r="152" spans="5:6">
      <c r="E152">
        <v>43229</v>
      </c>
      <c r="F152">
        <v>32.07</v>
      </c>
    </row>
    <row r="153" spans="1:6">
      <c r="A153" t="s">
        <v>212</v>
      </c>
      <c r="B153"/>
      <c r="C153"/>
      <c r="D153"/>
      <c r="E153"/>
      <c r="F153">
        <v>6.63</v>
      </c>
    </row>
    <row r="154" spans="2:6">
      <c r="B154" t="s">
        <v>213</v>
      </c>
      <c r="C154"/>
      <c r="D154"/>
      <c r="E154"/>
      <c r="F154">
        <v>6.63</v>
      </c>
    </row>
    <row r="155" spans="3:6">
      <c r="C155" t="s">
        <v>135</v>
      </c>
      <c r="D155"/>
      <c r="E155"/>
      <c r="F155">
        <v>6.63</v>
      </c>
    </row>
    <row r="156" spans="4:6">
      <c r="D156" t="s">
        <v>136</v>
      </c>
      <c r="E156"/>
      <c r="F156">
        <v>6.63</v>
      </c>
    </row>
    <row r="157" spans="5:6">
      <c r="E157">
        <v>90049</v>
      </c>
      <c r="F157">
        <v>6.63</v>
      </c>
    </row>
    <row r="158" spans="1:6">
      <c r="A158" t="s">
        <v>214</v>
      </c>
      <c r="B158"/>
      <c r="C158"/>
      <c r="D158"/>
      <c r="E158"/>
      <c r="F158">
        <v>218.75</v>
      </c>
    </row>
    <row r="159" spans="2:6">
      <c r="B159" t="s">
        <v>215</v>
      </c>
      <c r="C159"/>
      <c r="D159"/>
      <c r="E159"/>
      <c r="F159">
        <v>218.75</v>
      </c>
    </row>
    <row r="160" spans="3:6">
      <c r="C160" t="s">
        <v>216</v>
      </c>
      <c r="D160"/>
      <c r="E160"/>
      <c r="F160">
        <v>218.75</v>
      </c>
    </row>
    <row r="161" spans="4:6">
      <c r="D161" t="s">
        <v>217</v>
      </c>
      <c r="E161"/>
      <c r="F161">
        <v>218.75</v>
      </c>
    </row>
    <row r="162" spans="5:6">
      <c r="E162">
        <v>80219</v>
      </c>
      <c r="F162">
        <v>218.75</v>
      </c>
    </row>
    <row r="163" spans="1:6">
      <c r="A163" t="s">
        <v>218</v>
      </c>
      <c r="B163"/>
      <c r="C163"/>
      <c r="D163"/>
      <c r="E163"/>
      <c r="F163">
        <v>8.69</v>
      </c>
    </row>
    <row r="164" spans="2:6">
      <c r="B164" t="s">
        <v>219</v>
      </c>
      <c r="C164"/>
      <c r="D164"/>
      <c r="E164"/>
      <c r="F164">
        <v>8.69</v>
      </c>
    </row>
    <row r="165" spans="3:6">
      <c r="C165" t="s">
        <v>182</v>
      </c>
      <c r="D165"/>
      <c r="E165"/>
      <c r="F165">
        <v>8.69</v>
      </c>
    </row>
    <row r="166" spans="4:6">
      <c r="D166" t="s">
        <v>183</v>
      </c>
      <c r="E166"/>
      <c r="F166">
        <v>8.69</v>
      </c>
    </row>
    <row r="167" spans="5:6">
      <c r="E167">
        <v>60610</v>
      </c>
      <c r="F167">
        <v>8.69</v>
      </c>
    </row>
    <row r="168" spans="1:6">
      <c r="A168" t="s">
        <v>220</v>
      </c>
      <c r="B168"/>
      <c r="C168"/>
      <c r="D168"/>
      <c r="E168"/>
      <c r="F168">
        <v>447.637</v>
      </c>
    </row>
    <row r="169" spans="2:6">
      <c r="B169" t="s">
        <v>221</v>
      </c>
      <c r="C169"/>
      <c r="D169"/>
      <c r="E169"/>
      <c r="F169">
        <v>447.637</v>
      </c>
    </row>
    <row r="170" spans="3:6">
      <c r="C170" t="s">
        <v>121</v>
      </c>
      <c r="D170"/>
      <c r="F170">
        <v>393.165</v>
      </c>
    </row>
    <row r="171" spans="4:6">
      <c r="D171" t="s">
        <v>122</v>
      </c>
      <c r="E171"/>
      <c r="F171">
        <v>393.165</v>
      </c>
    </row>
    <row r="172" spans="5:6">
      <c r="E172">
        <v>85204</v>
      </c>
      <c r="F172">
        <v>393.165</v>
      </c>
    </row>
    <row r="173" spans="3:6">
      <c r="C173" t="s">
        <v>175</v>
      </c>
      <c r="D173"/>
      <c r="E173"/>
      <c r="F173">
        <v>41.472</v>
      </c>
    </row>
    <row r="174" spans="4:6">
      <c r="D174" t="s">
        <v>176</v>
      </c>
      <c r="E174"/>
      <c r="F174">
        <v>41.472</v>
      </c>
    </row>
    <row r="175" spans="5:6">
      <c r="E175">
        <v>19140</v>
      </c>
      <c r="F175">
        <v>41.472</v>
      </c>
    </row>
    <row r="176" spans="3:6">
      <c r="C176" t="s">
        <v>179</v>
      </c>
      <c r="D176"/>
      <c r="F176">
        <v>13</v>
      </c>
    </row>
    <row r="177" spans="4:6">
      <c r="D177" t="s">
        <v>172</v>
      </c>
      <c r="E177"/>
      <c r="F177">
        <v>13</v>
      </c>
    </row>
    <row r="178" spans="5:6">
      <c r="E178">
        <v>33614</v>
      </c>
      <c r="F178">
        <v>13</v>
      </c>
    </row>
    <row r="179" spans="1:6">
      <c r="A179" t="s">
        <v>222</v>
      </c>
      <c r="B179"/>
      <c r="C179"/>
      <c r="F179">
        <v>1006.84</v>
      </c>
    </row>
    <row r="180" spans="2:6">
      <c r="B180" t="s">
        <v>223</v>
      </c>
      <c r="C180"/>
      <c r="F180">
        <v>1006.84</v>
      </c>
    </row>
    <row r="181" spans="3:6">
      <c r="C181" t="s">
        <v>224</v>
      </c>
      <c r="D181"/>
      <c r="F181">
        <v>999.432</v>
      </c>
    </row>
    <row r="182" spans="4:6">
      <c r="D182" t="s">
        <v>132</v>
      </c>
      <c r="E182"/>
      <c r="F182">
        <v>999.432</v>
      </c>
    </row>
    <row r="183" spans="5:6">
      <c r="E183">
        <v>76017</v>
      </c>
      <c r="F183">
        <v>999.432</v>
      </c>
    </row>
    <row r="184" spans="3:6">
      <c r="C184" t="s">
        <v>225</v>
      </c>
      <c r="F184">
        <v>7.408</v>
      </c>
    </row>
    <row r="185" spans="4:6">
      <c r="D185" t="s">
        <v>138</v>
      </c>
      <c r="F185">
        <v>7.408</v>
      </c>
    </row>
    <row r="186" spans="5:6">
      <c r="E186">
        <v>45011</v>
      </c>
      <c r="F186">
        <v>7.408</v>
      </c>
    </row>
    <row r="187" spans="1:6">
      <c r="A187" t="s">
        <v>226</v>
      </c>
      <c r="B187"/>
      <c r="C187"/>
      <c r="D187"/>
      <c r="E187"/>
      <c r="F187">
        <v>51.52</v>
      </c>
    </row>
    <row r="188" spans="2:6">
      <c r="B188" t="s">
        <v>227</v>
      </c>
      <c r="C188"/>
      <c r="D188"/>
      <c r="E188"/>
      <c r="F188">
        <v>51.52</v>
      </c>
    </row>
    <row r="189" spans="3:6">
      <c r="C189" t="s">
        <v>135</v>
      </c>
      <c r="F189">
        <v>51.52</v>
      </c>
    </row>
    <row r="190" spans="4:6">
      <c r="D190" t="s">
        <v>136</v>
      </c>
      <c r="F190">
        <v>51.52</v>
      </c>
    </row>
    <row r="191" spans="5:6">
      <c r="E191">
        <v>90004</v>
      </c>
      <c r="F191">
        <v>51.52</v>
      </c>
    </row>
    <row r="192" spans="1:6">
      <c r="A192" t="s">
        <v>228</v>
      </c>
      <c r="B192"/>
      <c r="C192"/>
      <c r="D192"/>
      <c r="E192"/>
      <c r="F192">
        <v>47.976</v>
      </c>
    </row>
    <row r="193" spans="2:6">
      <c r="B193" t="s">
        <v>229</v>
      </c>
      <c r="C193"/>
      <c r="D193"/>
      <c r="E193"/>
      <c r="F193">
        <v>47.976</v>
      </c>
    </row>
    <row r="194" spans="3:6">
      <c r="C194" t="s">
        <v>188</v>
      </c>
      <c r="D194"/>
      <c r="E194"/>
      <c r="F194">
        <v>47.976</v>
      </c>
    </row>
    <row r="195" spans="4:6">
      <c r="D195" t="s">
        <v>136</v>
      </c>
      <c r="E195"/>
      <c r="F195">
        <v>47.976</v>
      </c>
    </row>
    <row r="196" spans="5:6">
      <c r="E196">
        <v>94122</v>
      </c>
      <c r="F196">
        <v>47.976</v>
      </c>
    </row>
    <row r="197" spans="1:6">
      <c r="A197" t="s">
        <v>230</v>
      </c>
      <c r="B197"/>
      <c r="C197"/>
      <c r="D197"/>
      <c r="F197">
        <v>25.158</v>
      </c>
    </row>
    <row r="198" spans="2:6">
      <c r="B198" t="s">
        <v>231</v>
      </c>
      <c r="C198"/>
      <c r="D198"/>
      <c r="E198"/>
      <c r="F198">
        <v>25.158</v>
      </c>
    </row>
    <row r="199" spans="3:6">
      <c r="C199" t="s">
        <v>182</v>
      </c>
      <c r="D199"/>
      <c r="E199"/>
      <c r="F199">
        <v>4.788</v>
      </c>
    </row>
    <row r="200" spans="4:6">
      <c r="D200" t="s">
        <v>183</v>
      </c>
      <c r="E200"/>
      <c r="F200">
        <v>4.788</v>
      </c>
    </row>
    <row r="201" spans="5:6">
      <c r="E201">
        <v>60610</v>
      </c>
      <c r="F201">
        <v>4.788</v>
      </c>
    </row>
    <row r="202" spans="3:6">
      <c r="C202" t="s">
        <v>204</v>
      </c>
      <c r="D202"/>
      <c r="F202">
        <v>20.37</v>
      </c>
    </row>
    <row r="203" spans="4:6">
      <c r="D203" t="s">
        <v>168</v>
      </c>
      <c r="E203"/>
      <c r="F203">
        <v>20.37</v>
      </c>
    </row>
    <row r="204" spans="5:6">
      <c r="E204">
        <v>10009</v>
      </c>
      <c r="F204">
        <v>20.37</v>
      </c>
    </row>
    <row r="205" spans="1:6">
      <c r="A205" t="s">
        <v>232</v>
      </c>
      <c r="B205"/>
      <c r="C205"/>
      <c r="D205"/>
      <c r="E205"/>
      <c r="F205">
        <v>283.92</v>
      </c>
    </row>
    <row r="206" spans="2:6">
      <c r="B206" t="s">
        <v>233</v>
      </c>
      <c r="C206"/>
      <c r="F206">
        <v>283.92</v>
      </c>
    </row>
    <row r="207" spans="3:6">
      <c r="C207" t="s">
        <v>234</v>
      </c>
      <c r="D207"/>
      <c r="F207">
        <v>283.92</v>
      </c>
    </row>
    <row r="208" spans="4:6">
      <c r="D208" t="s">
        <v>136</v>
      </c>
      <c r="E208"/>
      <c r="F208">
        <v>283.92</v>
      </c>
    </row>
    <row r="209" spans="5:6">
      <c r="E209">
        <v>92530</v>
      </c>
      <c r="F209">
        <v>283.92</v>
      </c>
    </row>
    <row r="210" spans="1:6">
      <c r="A210" t="s">
        <v>235</v>
      </c>
      <c r="B210"/>
      <c r="C210"/>
      <c r="F210">
        <v>2.688</v>
      </c>
    </row>
    <row r="211" spans="2:6">
      <c r="B211" t="s">
        <v>236</v>
      </c>
      <c r="C211"/>
      <c r="D211"/>
      <c r="F211">
        <v>2.688</v>
      </c>
    </row>
    <row r="212" spans="3:6">
      <c r="C212" t="s">
        <v>237</v>
      </c>
      <c r="D212"/>
      <c r="F212">
        <v>2.688</v>
      </c>
    </row>
    <row r="213" spans="4:6">
      <c r="D213" t="s">
        <v>132</v>
      </c>
      <c r="E213"/>
      <c r="F213">
        <v>2.688</v>
      </c>
    </row>
    <row r="214" spans="5:6">
      <c r="E214">
        <v>75701</v>
      </c>
      <c r="F214">
        <v>2.688</v>
      </c>
    </row>
    <row r="215" spans="1:6">
      <c r="A215" t="s">
        <v>238</v>
      </c>
      <c r="B215"/>
      <c r="C215"/>
      <c r="D215"/>
      <c r="F215">
        <v>261.96</v>
      </c>
    </row>
    <row r="216" spans="2:6">
      <c r="B216" t="s">
        <v>239</v>
      </c>
      <c r="C216"/>
      <c r="D216"/>
      <c r="E216"/>
      <c r="F216">
        <v>261.96</v>
      </c>
    </row>
    <row r="217" spans="3:6">
      <c r="C217" t="s">
        <v>240</v>
      </c>
      <c r="D217"/>
      <c r="E217"/>
      <c r="F217">
        <v>261.96</v>
      </c>
    </row>
    <row r="218" spans="4:6">
      <c r="D218" t="s">
        <v>142</v>
      </c>
      <c r="E218"/>
      <c r="F218">
        <v>261.96</v>
      </c>
    </row>
    <row r="219" spans="5:6">
      <c r="E219">
        <v>42420</v>
      </c>
      <c r="F219">
        <v>261.96</v>
      </c>
    </row>
    <row r="220" spans="1:6">
      <c r="A220" t="s">
        <v>241</v>
      </c>
      <c r="B220"/>
      <c r="C220"/>
      <c r="D220"/>
      <c r="F220">
        <v>95.92</v>
      </c>
    </row>
    <row r="221" spans="2:6">
      <c r="B221" t="s">
        <v>242</v>
      </c>
      <c r="C221"/>
      <c r="D221"/>
      <c r="E221"/>
      <c r="F221">
        <v>95.92</v>
      </c>
    </row>
    <row r="222" spans="3:6">
      <c r="C222" t="s">
        <v>243</v>
      </c>
      <c r="D222"/>
      <c r="E222"/>
      <c r="F222">
        <v>95.92</v>
      </c>
    </row>
    <row r="223" spans="4:6">
      <c r="D223" t="s">
        <v>136</v>
      </c>
      <c r="E223"/>
      <c r="F223">
        <v>95.92</v>
      </c>
    </row>
    <row r="224" spans="5:6">
      <c r="E224">
        <v>92646</v>
      </c>
      <c r="F224">
        <v>95.92</v>
      </c>
    </row>
    <row r="225" spans="1:6">
      <c r="A225" t="s">
        <v>244</v>
      </c>
      <c r="B225"/>
      <c r="C225"/>
      <c r="D225"/>
      <c r="F225">
        <v>143.982</v>
      </c>
    </row>
    <row r="226" spans="2:6">
      <c r="B226" t="s">
        <v>245</v>
      </c>
      <c r="C226"/>
      <c r="D226"/>
      <c r="E226"/>
      <c r="F226">
        <v>143.982</v>
      </c>
    </row>
    <row r="227" spans="3:6">
      <c r="C227" t="s">
        <v>175</v>
      </c>
      <c r="D227"/>
      <c r="E227"/>
      <c r="F227">
        <v>143.982</v>
      </c>
    </row>
    <row r="228" spans="4:6">
      <c r="D228" t="s">
        <v>176</v>
      </c>
      <c r="E228"/>
      <c r="F228">
        <v>143.982</v>
      </c>
    </row>
    <row r="229" spans="5:6">
      <c r="E229">
        <v>19120</v>
      </c>
      <c r="F229">
        <v>143.982</v>
      </c>
    </row>
    <row r="230" spans="1:6">
      <c r="A230" t="s">
        <v>246</v>
      </c>
      <c r="B230"/>
      <c r="C230"/>
      <c r="D230"/>
      <c r="F230">
        <v>119.94</v>
      </c>
    </row>
    <row r="231" spans="2:6">
      <c r="B231" t="s">
        <v>247</v>
      </c>
      <c r="C231"/>
      <c r="D231"/>
      <c r="E231"/>
      <c r="F231">
        <v>119.94</v>
      </c>
    </row>
    <row r="232" spans="3:6">
      <c r="C232" t="s">
        <v>248</v>
      </c>
      <c r="F232">
        <v>119.94</v>
      </c>
    </row>
    <row r="233" spans="4:6">
      <c r="D233" t="s">
        <v>138</v>
      </c>
      <c r="F233">
        <v>119.94</v>
      </c>
    </row>
    <row r="234" spans="5:6">
      <c r="E234">
        <v>43123</v>
      </c>
      <c r="F234">
        <v>119.94</v>
      </c>
    </row>
    <row r="235" spans="1:6">
      <c r="A235" t="s">
        <v>249</v>
      </c>
      <c r="B235"/>
      <c r="C235"/>
      <c r="D235"/>
      <c r="F235">
        <v>93.416</v>
      </c>
    </row>
    <row r="236" spans="2:6">
      <c r="B236" t="s">
        <v>250</v>
      </c>
      <c r="C236"/>
      <c r="D236"/>
      <c r="E236"/>
      <c r="F236">
        <v>93.416</v>
      </c>
    </row>
    <row r="237" spans="3:6">
      <c r="C237" t="s">
        <v>251</v>
      </c>
      <c r="F237">
        <v>17.456</v>
      </c>
    </row>
    <row r="238" spans="4:6">
      <c r="D238" t="s">
        <v>136</v>
      </c>
      <c r="F238">
        <v>17.456</v>
      </c>
    </row>
    <row r="239" spans="5:6">
      <c r="E239">
        <v>93534</v>
      </c>
      <c r="F239">
        <v>17.456</v>
      </c>
    </row>
    <row r="240" spans="3:6">
      <c r="C240" t="s">
        <v>252</v>
      </c>
      <c r="F240">
        <v>75.96</v>
      </c>
    </row>
    <row r="241" spans="4:6">
      <c r="D241" t="s">
        <v>253</v>
      </c>
      <c r="F241">
        <v>75.96</v>
      </c>
    </row>
    <row r="242" spans="5:6">
      <c r="E242">
        <v>50322</v>
      </c>
      <c r="F242">
        <v>75.96</v>
      </c>
    </row>
    <row r="243" spans="1:6">
      <c r="A243" t="s">
        <v>254</v>
      </c>
      <c r="B243"/>
      <c r="C243"/>
      <c r="D243"/>
      <c r="F243">
        <v>2.74</v>
      </c>
    </row>
    <row r="244" spans="2:6">
      <c r="B244" t="s">
        <v>255</v>
      </c>
      <c r="F244">
        <v>2.74</v>
      </c>
    </row>
    <row r="245" spans="3:6">
      <c r="C245" t="s">
        <v>256</v>
      </c>
      <c r="F245">
        <v>2.74</v>
      </c>
    </row>
    <row r="246" spans="4:6">
      <c r="D246" t="s">
        <v>257</v>
      </c>
      <c r="F246">
        <v>2.74</v>
      </c>
    </row>
    <row r="247" spans="5:6">
      <c r="E247">
        <v>30318</v>
      </c>
      <c r="F247">
        <v>2.74</v>
      </c>
    </row>
    <row r="248" spans="1:6">
      <c r="A248" t="s">
        <v>258</v>
      </c>
      <c r="B248"/>
      <c r="C248"/>
      <c r="D248"/>
      <c r="F248">
        <v>7.36</v>
      </c>
    </row>
    <row r="249" spans="2:6">
      <c r="B249" t="s">
        <v>259</v>
      </c>
      <c r="C249"/>
      <c r="D249"/>
      <c r="E249"/>
      <c r="F249">
        <v>7.36</v>
      </c>
    </row>
    <row r="250" spans="3:6">
      <c r="C250" t="s">
        <v>188</v>
      </c>
      <c r="F250">
        <v>7.36</v>
      </c>
    </row>
    <row r="251" spans="4:6">
      <c r="D251" t="s">
        <v>136</v>
      </c>
      <c r="F251">
        <v>7.36</v>
      </c>
    </row>
    <row r="252" spans="5:6">
      <c r="E252">
        <v>94122</v>
      </c>
      <c r="F252">
        <v>7.36</v>
      </c>
    </row>
    <row r="253" spans="1:6">
      <c r="A253" t="s">
        <v>260</v>
      </c>
      <c r="B253"/>
      <c r="C253"/>
      <c r="D253"/>
      <c r="F253">
        <v>113.552</v>
      </c>
    </row>
    <row r="254" spans="2:6">
      <c r="B254" t="s">
        <v>261</v>
      </c>
      <c r="C254"/>
      <c r="D254"/>
      <c r="E254"/>
      <c r="F254">
        <v>113.552</v>
      </c>
    </row>
    <row r="255" spans="3:6">
      <c r="C255" t="s">
        <v>211</v>
      </c>
      <c r="D255"/>
      <c r="E255"/>
      <c r="F255">
        <v>113.552</v>
      </c>
    </row>
    <row r="256" spans="4:6">
      <c r="D256" t="s">
        <v>138</v>
      </c>
      <c r="F256">
        <v>113.552</v>
      </c>
    </row>
    <row r="257" spans="5:6">
      <c r="E257">
        <v>43229</v>
      </c>
      <c r="F257">
        <v>113.552</v>
      </c>
    </row>
    <row r="258" spans="1:6">
      <c r="A258" t="s">
        <v>262</v>
      </c>
      <c r="B258"/>
      <c r="C258"/>
      <c r="D258"/>
      <c r="F258">
        <v>69.712</v>
      </c>
    </row>
    <row r="259" spans="2:6">
      <c r="B259" t="s">
        <v>263</v>
      </c>
      <c r="C259"/>
      <c r="D259"/>
      <c r="E259"/>
      <c r="F259">
        <v>69.712</v>
      </c>
    </row>
    <row r="260" spans="3:6">
      <c r="C260" t="s">
        <v>182</v>
      </c>
      <c r="F260">
        <v>69.712</v>
      </c>
    </row>
    <row r="261" spans="4:6">
      <c r="D261" t="s">
        <v>183</v>
      </c>
      <c r="F261">
        <v>69.712</v>
      </c>
    </row>
    <row r="262" spans="5:6">
      <c r="E262">
        <v>60610</v>
      </c>
      <c r="F262">
        <v>69.712</v>
      </c>
    </row>
    <row r="263" spans="1:6">
      <c r="A263" t="s">
        <v>264</v>
      </c>
      <c r="B263"/>
      <c r="C263"/>
      <c r="D263"/>
      <c r="F263">
        <v>109.74</v>
      </c>
    </row>
    <row r="264" spans="2:6">
      <c r="B264" t="s">
        <v>265</v>
      </c>
      <c r="C264"/>
      <c r="D264"/>
      <c r="E264"/>
      <c r="F264">
        <v>109.74</v>
      </c>
    </row>
    <row r="265" spans="3:6">
      <c r="C265" t="s">
        <v>266</v>
      </c>
      <c r="D265"/>
      <c r="E265"/>
      <c r="F265">
        <v>88.8</v>
      </c>
    </row>
    <row r="266" spans="4:6">
      <c r="D266" t="s">
        <v>132</v>
      </c>
      <c r="F266">
        <v>88.8</v>
      </c>
    </row>
    <row r="267" spans="5:6">
      <c r="E267">
        <v>78745</v>
      </c>
      <c r="F267">
        <v>88.8</v>
      </c>
    </row>
    <row r="268" spans="3:6">
      <c r="C268" t="s">
        <v>135</v>
      </c>
      <c r="D268"/>
      <c r="F268">
        <v>20.94</v>
      </c>
    </row>
    <row r="269" spans="4:6">
      <c r="D269" t="s">
        <v>136</v>
      </c>
      <c r="E269"/>
      <c r="F269">
        <v>20.94</v>
      </c>
    </row>
    <row r="270" spans="5:6">
      <c r="E270">
        <v>90004</v>
      </c>
      <c r="F270">
        <v>20.94</v>
      </c>
    </row>
    <row r="271" spans="1:6">
      <c r="A271" t="s">
        <v>267</v>
      </c>
      <c r="B271"/>
      <c r="C271"/>
      <c r="F271">
        <v>1495.844</v>
      </c>
    </row>
    <row r="272" spans="2:6">
      <c r="B272" t="s">
        <v>268</v>
      </c>
      <c r="C272"/>
      <c r="F272">
        <v>1495.844</v>
      </c>
    </row>
    <row r="273" spans="3:6">
      <c r="C273" t="s">
        <v>182</v>
      </c>
      <c r="D273"/>
      <c r="F273">
        <v>323.976</v>
      </c>
    </row>
    <row r="274" spans="4:6">
      <c r="D274" t="s">
        <v>183</v>
      </c>
      <c r="E274"/>
      <c r="F274">
        <v>323.976</v>
      </c>
    </row>
    <row r="275" spans="5:6">
      <c r="E275">
        <v>60653</v>
      </c>
      <c r="F275">
        <v>323.976</v>
      </c>
    </row>
    <row r="276" spans="3:6">
      <c r="C276" t="s">
        <v>269</v>
      </c>
      <c r="D276"/>
      <c r="F276">
        <v>714.3</v>
      </c>
    </row>
    <row r="277" spans="4:6">
      <c r="D277" t="s">
        <v>195</v>
      </c>
      <c r="E277"/>
      <c r="F277">
        <v>714.3</v>
      </c>
    </row>
    <row r="278" spans="5:6">
      <c r="E278">
        <v>1852</v>
      </c>
      <c r="F278">
        <v>714.3</v>
      </c>
    </row>
    <row r="279" spans="3:6">
      <c r="C279" t="s">
        <v>184</v>
      </c>
      <c r="D279"/>
      <c r="E279"/>
      <c r="F279">
        <v>457.568</v>
      </c>
    </row>
    <row r="280" spans="4:6">
      <c r="D280" t="s">
        <v>185</v>
      </c>
      <c r="F280">
        <v>457.568</v>
      </c>
    </row>
    <row r="281" spans="5:6">
      <c r="E281">
        <v>98115</v>
      </c>
      <c r="F281">
        <v>457.568</v>
      </c>
    </row>
    <row r="282" spans="1:6">
      <c r="A282" t="s">
        <v>270</v>
      </c>
      <c r="B282"/>
      <c r="C282"/>
      <c r="D282"/>
      <c r="E282"/>
      <c r="F282">
        <v>23.736</v>
      </c>
    </row>
    <row r="283" spans="2:6">
      <c r="B283" t="s">
        <v>271</v>
      </c>
      <c r="C283"/>
      <c r="D283"/>
      <c r="E283"/>
      <c r="F283">
        <v>23.736</v>
      </c>
    </row>
    <row r="284" spans="3:6">
      <c r="C284" t="s">
        <v>131</v>
      </c>
      <c r="D284"/>
      <c r="E284"/>
      <c r="F284">
        <v>18.392</v>
      </c>
    </row>
    <row r="285" spans="4:6">
      <c r="D285" t="s">
        <v>132</v>
      </c>
      <c r="E285"/>
      <c r="F285">
        <v>18.392</v>
      </c>
    </row>
    <row r="286" spans="5:6">
      <c r="E286">
        <v>77041</v>
      </c>
      <c r="F286">
        <v>18.392</v>
      </c>
    </row>
    <row r="287" spans="3:6">
      <c r="C287" t="s">
        <v>175</v>
      </c>
      <c r="D287"/>
      <c r="E287"/>
      <c r="F287">
        <v>5.344</v>
      </c>
    </row>
    <row r="288" spans="4:6">
      <c r="D288" t="s">
        <v>176</v>
      </c>
      <c r="F288">
        <v>5.344</v>
      </c>
    </row>
    <row r="289" spans="5:6">
      <c r="E289">
        <v>19140</v>
      </c>
      <c r="F289">
        <v>5.344</v>
      </c>
    </row>
    <row r="290" spans="1:6">
      <c r="A290" t="s">
        <v>272</v>
      </c>
      <c r="B290"/>
      <c r="C290"/>
      <c r="D290"/>
      <c r="E290"/>
      <c r="F290">
        <v>4.752</v>
      </c>
    </row>
    <row r="291" spans="2:6">
      <c r="B291" t="s">
        <v>273</v>
      </c>
      <c r="C291"/>
      <c r="D291"/>
      <c r="E291"/>
      <c r="F291">
        <v>4.752</v>
      </c>
    </row>
    <row r="292" spans="3:6">
      <c r="C292" t="s">
        <v>135</v>
      </c>
      <c r="F292">
        <v>4.752</v>
      </c>
    </row>
    <row r="293" spans="4:6">
      <c r="D293" t="s">
        <v>136</v>
      </c>
      <c r="F293">
        <v>4.752</v>
      </c>
    </row>
    <row r="294" spans="5:6">
      <c r="E294">
        <v>90045</v>
      </c>
      <c r="F294">
        <v>4.752</v>
      </c>
    </row>
    <row r="295" spans="1:6">
      <c r="A295" t="s">
        <v>274</v>
      </c>
      <c r="B295"/>
      <c r="C295"/>
      <c r="D295"/>
      <c r="E295"/>
      <c r="F295">
        <v>301.47</v>
      </c>
    </row>
    <row r="296" spans="2:6">
      <c r="B296" t="s">
        <v>275</v>
      </c>
      <c r="C296"/>
      <c r="D296"/>
      <c r="E296"/>
      <c r="F296">
        <v>301.47</v>
      </c>
    </row>
    <row r="297" spans="3:6">
      <c r="C297" t="s">
        <v>276</v>
      </c>
      <c r="D297"/>
      <c r="E297"/>
      <c r="F297">
        <v>301.47</v>
      </c>
    </row>
    <row r="298" spans="4:6">
      <c r="D298" t="s">
        <v>138</v>
      </c>
      <c r="F298">
        <v>301.47</v>
      </c>
    </row>
    <row r="299" spans="5:6">
      <c r="E299">
        <v>44105</v>
      </c>
      <c r="F299">
        <v>301.47</v>
      </c>
    </row>
    <row r="300" spans="1:6">
      <c r="A300" t="s">
        <v>277</v>
      </c>
      <c r="B300"/>
      <c r="C300"/>
      <c r="D300"/>
      <c r="E300"/>
      <c r="F300">
        <v>24.56</v>
      </c>
    </row>
    <row r="301" spans="2:6">
      <c r="B301" t="s">
        <v>278</v>
      </c>
      <c r="C301"/>
      <c r="D301"/>
      <c r="E301"/>
      <c r="F301">
        <v>24.56</v>
      </c>
    </row>
    <row r="302" spans="3:6">
      <c r="C302" t="s">
        <v>279</v>
      </c>
      <c r="F302">
        <v>24.56</v>
      </c>
    </row>
    <row r="303" spans="4:6">
      <c r="D303" t="s">
        <v>280</v>
      </c>
      <c r="F303">
        <v>24.56</v>
      </c>
    </row>
    <row r="304" spans="5:6">
      <c r="E304">
        <v>55016</v>
      </c>
      <c r="F304">
        <v>24.56</v>
      </c>
    </row>
    <row r="305" spans="1:6">
      <c r="A305" t="s">
        <v>281</v>
      </c>
      <c r="B305"/>
      <c r="C305"/>
      <c r="D305"/>
      <c r="E305"/>
      <c r="F305">
        <v>14.352</v>
      </c>
    </row>
    <row r="306" spans="2:6">
      <c r="B306" t="s">
        <v>282</v>
      </c>
      <c r="C306"/>
      <c r="F306">
        <v>14.352</v>
      </c>
    </row>
    <row r="307" spans="3:6">
      <c r="C307" t="s">
        <v>204</v>
      </c>
      <c r="D307"/>
      <c r="F307">
        <v>14.352</v>
      </c>
    </row>
    <row r="308" spans="4:6">
      <c r="D308" t="s">
        <v>168</v>
      </c>
      <c r="F308">
        <v>14.352</v>
      </c>
    </row>
    <row r="309" spans="5:6">
      <c r="E309">
        <v>10024</v>
      </c>
      <c r="F309">
        <v>14.352</v>
      </c>
    </row>
    <row r="310" spans="1:6">
      <c r="A310" t="s">
        <v>283</v>
      </c>
      <c r="B310"/>
      <c r="C310"/>
      <c r="D310"/>
      <c r="E310"/>
      <c r="F310">
        <v>152.94</v>
      </c>
    </row>
    <row r="311" spans="2:6">
      <c r="B311" t="s">
        <v>284</v>
      </c>
      <c r="C311"/>
      <c r="D311"/>
      <c r="E311"/>
      <c r="F311">
        <v>152.94</v>
      </c>
    </row>
    <row r="312" spans="3:6">
      <c r="C312" t="s">
        <v>240</v>
      </c>
      <c r="F312">
        <v>152.94</v>
      </c>
    </row>
    <row r="313" spans="4:6">
      <c r="D313" t="s">
        <v>142</v>
      </c>
      <c r="F313">
        <v>152.94</v>
      </c>
    </row>
    <row r="314" spans="5:6">
      <c r="E314">
        <v>42420</v>
      </c>
      <c r="F314">
        <v>152.94</v>
      </c>
    </row>
    <row r="315" spans="1:6">
      <c r="A315" t="s">
        <v>285</v>
      </c>
      <c r="B315"/>
      <c r="C315"/>
      <c r="D315"/>
      <c r="E315"/>
      <c r="F315">
        <v>818.37</v>
      </c>
    </row>
    <row r="316" spans="2:6">
      <c r="B316" t="s">
        <v>286</v>
      </c>
      <c r="C316"/>
      <c r="F316">
        <v>818.37</v>
      </c>
    </row>
    <row r="317" spans="3:6">
      <c r="C317" t="s">
        <v>184</v>
      </c>
      <c r="D317"/>
      <c r="F317">
        <v>787.53</v>
      </c>
    </row>
    <row r="318" spans="4:6">
      <c r="D318" t="s">
        <v>185</v>
      </c>
      <c r="E318"/>
      <c r="F318">
        <v>787.53</v>
      </c>
    </row>
    <row r="319" spans="5:6">
      <c r="E319">
        <v>98103</v>
      </c>
      <c r="F319">
        <v>787.53</v>
      </c>
    </row>
    <row r="320" spans="3:6">
      <c r="C320" t="s">
        <v>287</v>
      </c>
      <c r="D320"/>
      <c r="E320"/>
      <c r="F320">
        <v>30.84</v>
      </c>
    </row>
    <row r="321" spans="4:6">
      <c r="D321" t="s">
        <v>288</v>
      </c>
      <c r="E321"/>
      <c r="F321">
        <v>30.84</v>
      </c>
    </row>
    <row r="322" spans="5:6">
      <c r="E322">
        <v>22153</v>
      </c>
      <c r="F322">
        <v>30.84</v>
      </c>
    </row>
    <row r="323" spans="1:6">
      <c r="A323" t="s">
        <v>289</v>
      </c>
      <c r="B323"/>
      <c r="C323"/>
      <c r="D323"/>
      <c r="E323"/>
      <c r="F323">
        <v>32.76</v>
      </c>
    </row>
    <row r="324" spans="2:6">
      <c r="B324" t="s">
        <v>290</v>
      </c>
      <c r="C324"/>
      <c r="D324"/>
      <c r="E324"/>
      <c r="F324">
        <v>32.76</v>
      </c>
    </row>
    <row r="325" spans="3:6">
      <c r="C325" t="s">
        <v>149</v>
      </c>
      <c r="D325"/>
      <c r="E325"/>
      <c r="F325">
        <v>32.76</v>
      </c>
    </row>
    <row r="326" spans="4:6">
      <c r="D326" t="s">
        <v>138</v>
      </c>
      <c r="E326"/>
      <c r="F326">
        <v>32.76</v>
      </c>
    </row>
    <row r="327" spans="5:6">
      <c r="E327">
        <v>45231</v>
      </c>
      <c r="F327">
        <v>32.76</v>
      </c>
    </row>
    <row r="328" spans="1:6">
      <c r="A328" t="s">
        <v>291</v>
      </c>
      <c r="B328"/>
      <c r="C328"/>
      <c r="D328"/>
      <c r="E328"/>
      <c r="F328">
        <v>204.6</v>
      </c>
    </row>
    <row r="329" spans="2:6">
      <c r="B329" t="s">
        <v>292</v>
      </c>
      <c r="C329"/>
      <c r="D329"/>
      <c r="E329"/>
      <c r="F329">
        <v>204.6</v>
      </c>
    </row>
    <row r="330" spans="3:6">
      <c r="C330" t="s">
        <v>293</v>
      </c>
      <c r="D330"/>
      <c r="E330"/>
      <c r="F330">
        <v>204.6</v>
      </c>
    </row>
    <row r="331" spans="4:6">
      <c r="D331" t="s">
        <v>136</v>
      </c>
      <c r="E331"/>
      <c r="F331">
        <v>204.6</v>
      </c>
    </row>
    <row r="332" spans="5:6">
      <c r="E332">
        <v>92054</v>
      </c>
      <c r="F332">
        <v>204.6</v>
      </c>
    </row>
    <row r="333" spans="1:6">
      <c r="A333" t="s">
        <v>294</v>
      </c>
      <c r="B333"/>
      <c r="C333"/>
      <c r="D333"/>
      <c r="E333"/>
      <c r="F333">
        <v>207.684</v>
      </c>
    </row>
    <row r="334" spans="2:6">
      <c r="B334" t="s">
        <v>295</v>
      </c>
      <c r="C334"/>
      <c r="D334"/>
      <c r="E334"/>
      <c r="F334">
        <v>207.684</v>
      </c>
    </row>
    <row r="335" spans="3:6">
      <c r="C335" t="s">
        <v>204</v>
      </c>
      <c r="D335"/>
      <c r="E335"/>
      <c r="F335">
        <v>80.58</v>
      </c>
    </row>
    <row r="336" spans="4:6">
      <c r="D336" t="s">
        <v>168</v>
      </c>
      <c r="E336"/>
      <c r="F336">
        <v>80.58</v>
      </c>
    </row>
    <row r="337" spans="5:6">
      <c r="E337">
        <v>10024</v>
      </c>
      <c r="F337">
        <v>80.58</v>
      </c>
    </row>
    <row r="338" spans="3:6">
      <c r="C338" t="s">
        <v>175</v>
      </c>
      <c r="D338"/>
      <c r="E338"/>
      <c r="F338">
        <v>127.104</v>
      </c>
    </row>
    <row r="339" spans="4:6">
      <c r="D339" t="s">
        <v>176</v>
      </c>
      <c r="E339"/>
      <c r="F339">
        <v>127.104</v>
      </c>
    </row>
    <row r="340" spans="5:6">
      <c r="E340">
        <v>19134</v>
      </c>
      <c r="F340">
        <v>127.104</v>
      </c>
    </row>
    <row r="341" spans="1:6">
      <c r="A341" t="s">
        <v>296</v>
      </c>
      <c r="B341"/>
      <c r="C341"/>
      <c r="D341"/>
      <c r="F341">
        <v>14.9</v>
      </c>
    </row>
    <row r="342" spans="2:6">
      <c r="B342" t="s">
        <v>297</v>
      </c>
      <c r="C342"/>
      <c r="D342"/>
      <c r="F342">
        <v>14.9</v>
      </c>
    </row>
    <row r="343" spans="3:6">
      <c r="C343" t="s">
        <v>188</v>
      </c>
      <c r="D343"/>
      <c r="E343"/>
      <c r="F343">
        <v>14.9</v>
      </c>
    </row>
    <row r="344" spans="4:6">
      <c r="D344" t="s">
        <v>136</v>
      </c>
      <c r="E344"/>
      <c r="F344">
        <v>14.9</v>
      </c>
    </row>
    <row r="345" spans="5:6">
      <c r="E345">
        <v>94122</v>
      </c>
      <c r="F345">
        <v>14.9</v>
      </c>
    </row>
    <row r="346" spans="1:6">
      <c r="A346" t="s">
        <v>298</v>
      </c>
      <c r="B346"/>
      <c r="C346"/>
      <c r="F346">
        <v>375.4575</v>
      </c>
    </row>
    <row r="347" spans="2:6">
      <c r="B347" t="s">
        <v>299</v>
      </c>
      <c r="C347"/>
      <c r="D347"/>
      <c r="F347">
        <v>375.4575</v>
      </c>
    </row>
    <row r="348" spans="3:6">
      <c r="C348" t="s">
        <v>300</v>
      </c>
      <c r="D348"/>
      <c r="E348"/>
      <c r="F348">
        <v>375.4575</v>
      </c>
    </row>
    <row r="349" spans="4:6">
      <c r="D349" t="s">
        <v>172</v>
      </c>
      <c r="E349"/>
      <c r="F349">
        <v>375.4575</v>
      </c>
    </row>
    <row r="350" spans="5:6">
      <c r="E350">
        <v>33024</v>
      </c>
      <c r="F350">
        <v>375.4575</v>
      </c>
    </row>
    <row r="351" spans="1:6">
      <c r="A351" t="s">
        <v>301</v>
      </c>
      <c r="B351"/>
      <c r="C351"/>
      <c r="D351"/>
      <c r="F351">
        <v>38.22</v>
      </c>
    </row>
    <row r="352" spans="2:6">
      <c r="B352" t="s">
        <v>302</v>
      </c>
      <c r="C352"/>
      <c r="D352"/>
      <c r="F352">
        <v>38.22</v>
      </c>
    </row>
    <row r="353" spans="3:6">
      <c r="C353" t="s">
        <v>303</v>
      </c>
      <c r="D353"/>
      <c r="E353"/>
      <c r="F353">
        <v>38.22</v>
      </c>
    </row>
    <row r="354" spans="4:6">
      <c r="D354" t="s">
        <v>304</v>
      </c>
      <c r="E354"/>
      <c r="F354">
        <v>38.22</v>
      </c>
    </row>
    <row r="355" spans="5:6">
      <c r="E355">
        <v>47150</v>
      </c>
      <c r="F355">
        <v>38.22</v>
      </c>
    </row>
    <row r="356" spans="1:6">
      <c r="A356" t="s">
        <v>305</v>
      </c>
      <c r="B356"/>
      <c r="C356"/>
      <c r="D356"/>
      <c r="E356"/>
      <c r="F356">
        <v>119.96</v>
      </c>
    </row>
    <row r="357" spans="2:6">
      <c r="B357" t="s">
        <v>306</v>
      </c>
      <c r="C357"/>
      <c r="D357"/>
      <c r="E357"/>
      <c r="F357">
        <v>119.96</v>
      </c>
    </row>
    <row r="358" spans="3:6">
      <c r="C358" t="s">
        <v>204</v>
      </c>
      <c r="D358"/>
      <c r="E358"/>
      <c r="F358">
        <v>119.96</v>
      </c>
    </row>
    <row r="359" spans="4:6">
      <c r="D359" t="s">
        <v>168</v>
      </c>
      <c r="E359"/>
      <c r="F359">
        <v>119.96</v>
      </c>
    </row>
    <row r="360" spans="5:6">
      <c r="E360">
        <v>10035</v>
      </c>
      <c r="F360">
        <v>119.96</v>
      </c>
    </row>
    <row r="361" spans="1:6">
      <c r="A361" t="s">
        <v>307</v>
      </c>
      <c r="B361"/>
      <c r="C361"/>
      <c r="D361"/>
      <c r="E361"/>
      <c r="F361">
        <v>470.376</v>
      </c>
    </row>
    <row r="362" spans="2:6">
      <c r="B362" t="s">
        <v>308</v>
      </c>
      <c r="C362"/>
      <c r="F362">
        <v>470.376</v>
      </c>
    </row>
    <row r="363" spans="3:6">
      <c r="C363" t="s">
        <v>216</v>
      </c>
      <c r="D363"/>
      <c r="F363">
        <v>470.376</v>
      </c>
    </row>
    <row r="364" spans="4:6">
      <c r="D364" t="s">
        <v>217</v>
      </c>
      <c r="E364"/>
      <c r="F364">
        <v>470.376</v>
      </c>
    </row>
    <row r="365" spans="5:6">
      <c r="E365">
        <v>80219</v>
      </c>
      <c r="F365">
        <v>470.376</v>
      </c>
    </row>
    <row r="366" spans="1:6">
      <c r="A366" t="s">
        <v>309</v>
      </c>
      <c r="B366"/>
      <c r="C366"/>
      <c r="D366"/>
      <c r="E366"/>
      <c r="F366">
        <v>1643.922</v>
      </c>
    </row>
    <row r="367" spans="2:6">
      <c r="B367" t="s">
        <v>310</v>
      </c>
      <c r="F367">
        <v>1643.922</v>
      </c>
    </row>
    <row r="368" spans="3:6">
      <c r="C368" t="s">
        <v>204</v>
      </c>
      <c r="F368">
        <v>599.292</v>
      </c>
    </row>
    <row r="369" spans="4:6">
      <c r="D369" t="s">
        <v>168</v>
      </c>
      <c r="F369">
        <v>599.292</v>
      </c>
    </row>
    <row r="370" spans="5:6">
      <c r="E370">
        <v>10035</v>
      </c>
      <c r="F370">
        <v>599.292</v>
      </c>
    </row>
    <row r="371" spans="3:6">
      <c r="C371" t="s">
        <v>311</v>
      </c>
      <c r="D371"/>
      <c r="E371"/>
      <c r="F371">
        <v>1044.63</v>
      </c>
    </row>
    <row r="372" spans="4:6">
      <c r="D372" t="s">
        <v>146</v>
      </c>
      <c r="E372"/>
      <c r="F372">
        <v>1044.63</v>
      </c>
    </row>
    <row r="373" spans="5:6">
      <c r="E373">
        <v>84057</v>
      </c>
      <c r="F373">
        <v>1044.63</v>
      </c>
    </row>
    <row r="374" spans="1:6">
      <c r="A374" t="s">
        <v>312</v>
      </c>
      <c r="B374"/>
      <c r="C374"/>
      <c r="D374"/>
      <c r="F374">
        <v>18.336</v>
      </c>
    </row>
    <row r="375" spans="2:6">
      <c r="B375" t="s">
        <v>313</v>
      </c>
      <c r="C375"/>
      <c r="D375"/>
      <c r="E375"/>
      <c r="F375">
        <v>18.336</v>
      </c>
    </row>
    <row r="376" spans="3:6">
      <c r="C376" t="s">
        <v>314</v>
      </c>
      <c r="D376"/>
      <c r="E376"/>
      <c r="F376">
        <v>18.336</v>
      </c>
    </row>
    <row r="377" spans="4:6">
      <c r="D377" t="s">
        <v>172</v>
      </c>
      <c r="E377"/>
      <c r="F377">
        <v>18.336</v>
      </c>
    </row>
    <row r="378" spans="5:6">
      <c r="E378">
        <v>33710</v>
      </c>
      <c r="F378">
        <v>18.336</v>
      </c>
    </row>
    <row r="379" spans="1:6">
      <c r="A379" t="s">
        <v>315</v>
      </c>
      <c r="B379"/>
      <c r="C379"/>
      <c r="D379"/>
      <c r="F379">
        <v>182.72</v>
      </c>
    </row>
    <row r="380" spans="2:6">
      <c r="B380" t="s">
        <v>316</v>
      </c>
      <c r="C380"/>
      <c r="D380"/>
      <c r="E380"/>
      <c r="F380">
        <v>182.72</v>
      </c>
    </row>
    <row r="381" spans="3:6">
      <c r="C381" t="s">
        <v>293</v>
      </c>
      <c r="D381"/>
      <c r="E381"/>
      <c r="F381">
        <v>182.72</v>
      </c>
    </row>
    <row r="382" spans="4:6">
      <c r="D382" t="s">
        <v>168</v>
      </c>
      <c r="E382"/>
      <c r="F382">
        <v>182.72</v>
      </c>
    </row>
    <row r="383" spans="5:6">
      <c r="E383">
        <v>11572</v>
      </c>
      <c r="F383">
        <v>182.72</v>
      </c>
    </row>
    <row r="384" spans="1:6">
      <c r="A384" t="s">
        <v>317</v>
      </c>
      <c r="B384"/>
      <c r="C384"/>
      <c r="D384"/>
      <c r="F384">
        <v>90.407</v>
      </c>
    </row>
    <row r="385" spans="2:6">
      <c r="B385" t="s">
        <v>318</v>
      </c>
      <c r="C385"/>
      <c r="D385"/>
      <c r="E385"/>
      <c r="F385">
        <v>90.407</v>
      </c>
    </row>
    <row r="386" spans="3:6">
      <c r="C386" t="s">
        <v>135</v>
      </c>
      <c r="F386">
        <v>11.648</v>
      </c>
    </row>
    <row r="387" spans="4:6">
      <c r="D387" t="s">
        <v>136</v>
      </c>
      <c r="F387">
        <v>11.648</v>
      </c>
    </row>
    <row r="388" spans="5:6">
      <c r="E388">
        <v>90049</v>
      </c>
      <c r="F388">
        <v>11.648</v>
      </c>
    </row>
    <row r="389" spans="3:6">
      <c r="C389" t="s">
        <v>175</v>
      </c>
      <c r="F389">
        <v>78.759</v>
      </c>
    </row>
    <row r="390" spans="4:6">
      <c r="D390" t="s">
        <v>176</v>
      </c>
      <c r="F390">
        <v>78.759</v>
      </c>
    </row>
    <row r="391" spans="5:6">
      <c r="E391">
        <v>19120</v>
      </c>
      <c r="F391">
        <v>78.759</v>
      </c>
    </row>
    <row r="392" spans="1:6">
      <c r="A392" t="s">
        <v>319</v>
      </c>
      <c r="B392"/>
      <c r="C392"/>
      <c r="D392"/>
      <c r="F392">
        <v>54.384</v>
      </c>
    </row>
    <row r="393" spans="2:6">
      <c r="B393" t="s">
        <v>320</v>
      </c>
      <c r="C393"/>
      <c r="D393"/>
      <c r="E393"/>
      <c r="F393">
        <v>54.384</v>
      </c>
    </row>
    <row r="394" spans="3:6">
      <c r="C394" t="s">
        <v>175</v>
      </c>
      <c r="F394">
        <v>54.384</v>
      </c>
    </row>
    <row r="395" spans="4:6">
      <c r="D395" t="s">
        <v>176</v>
      </c>
      <c r="F395">
        <v>54.384</v>
      </c>
    </row>
    <row r="396" spans="5:6">
      <c r="E396">
        <v>19134</v>
      </c>
      <c r="F396">
        <v>54.384</v>
      </c>
    </row>
    <row r="397" spans="1:6">
      <c r="A397" t="s">
        <v>321</v>
      </c>
      <c r="B397"/>
      <c r="C397"/>
      <c r="D397"/>
      <c r="F397">
        <v>5.96</v>
      </c>
    </row>
    <row r="398" spans="2:6">
      <c r="B398" t="s">
        <v>322</v>
      </c>
      <c r="C398"/>
      <c r="D398"/>
      <c r="E398"/>
      <c r="F398">
        <v>5.96</v>
      </c>
    </row>
    <row r="399" spans="3:6">
      <c r="C399" t="s">
        <v>204</v>
      </c>
      <c r="F399">
        <v>5.96</v>
      </c>
    </row>
    <row r="400" spans="4:6">
      <c r="D400" t="s">
        <v>168</v>
      </c>
      <c r="F400">
        <v>5.96</v>
      </c>
    </row>
    <row r="401" spans="5:6">
      <c r="E401">
        <v>10024</v>
      </c>
      <c r="F401">
        <v>5.96</v>
      </c>
    </row>
    <row r="402" spans="1:6">
      <c r="A402" t="s">
        <v>323</v>
      </c>
      <c r="B402"/>
      <c r="C402"/>
      <c r="F402">
        <v>42.616</v>
      </c>
    </row>
    <row r="403" spans="2:6">
      <c r="B403" t="s">
        <v>324</v>
      </c>
      <c r="C403"/>
      <c r="D403"/>
      <c r="F403">
        <v>42.616</v>
      </c>
    </row>
    <row r="404" spans="3:6">
      <c r="C404" t="s">
        <v>182</v>
      </c>
      <c r="F404">
        <v>42.616</v>
      </c>
    </row>
    <row r="405" spans="4:6">
      <c r="D405" t="s">
        <v>183</v>
      </c>
      <c r="F405">
        <v>42.616</v>
      </c>
    </row>
    <row r="406" spans="5:6">
      <c r="E406">
        <v>60653</v>
      </c>
      <c r="F406">
        <v>42.616</v>
      </c>
    </row>
    <row r="407" spans="1:6">
      <c r="A407" t="s">
        <v>325</v>
      </c>
      <c r="B407"/>
      <c r="C407"/>
      <c r="D407"/>
      <c r="E407"/>
      <c r="F407">
        <v>9.96</v>
      </c>
    </row>
    <row r="408" spans="2:6">
      <c r="B408" t="s">
        <v>326</v>
      </c>
      <c r="C408"/>
      <c r="F408">
        <v>9.96</v>
      </c>
    </row>
    <row r="409" spans="3:6">
      <c r="C409" t="s">
        <v>188</v>
      </c>
      <c r="F409">
        <v>9.96</v>
      </c>
    </row>
    <row r="410" spans="4:6">
      <c r="D410" t="s">
        <v>136</v>
      </c>
      <c r="F410">
        <v>9.96</v>
      </c>
    </row>
    <row r="411" spans="5:6">
      <c r="E411">
        <v>94110</v>
      </c>
      <c r="F411">
        <v>9.96</v>
      </c>
    </row>
    <row r="412" spans="1:6">
      <c r="A412" t="s">
        <v>327</v>
      </c>
      <c r="B412"/>
      <c r="C412"/>
      <c r="F412">
        <v>243.384</v>
      </c>
    </row>
    <row r="413" spans="2:6">
      <c r="B413" t="s">
        <v>328</v>
      </c>
      <c r="C413"/>
      <c r="D413"/>
      <c r="F413">
        <v>243.384</v>
      </c>
    </row>
    <row r="414" spans="3:6">
      <c r="C414" t="s">
        <v>329</v>
      </c>
      <c r="F414">
        <v>243.384</v>
      </c>
    </row>
    <row r="415" spans="4:6">
      <c r="D415" t="s">
        <v>217</v>
      </c>
      <c r="F415">
        <v>243.384</v>
      </c>
    </row>
    <row r="416" spans="5:6">
      <c r="E416">
        <v>80013</v>
      </c>
      <c r="F416">
        <v>243.384</v>
      </c>
    </row>
    <row r="417" spans="1:6">
      <c r="A417" t="s">
        <v>330</v>
      </c>
      <c r="B417"/>
      <c r="C417"/>
      <c r="F417">
        <v>374.376</v>
      </c>
    </row>
    <row r="418" spans="2:6">
      <c r="B418" t="s">
        <v>331</v>
      </c>
      <c r="C418"/>
      <c r="D418"/>
      <c r="F418">
        <v>374.376</v>
      </c>
    </row>
    <row r="419" spans="3:6">
      <c r="C419" t="s">
        <v>135</v>
      </c>
      <c r="D419"/>
      <c r="E419"/>
      <c r="F419">
        <v>374.376</v>
      </c>
    </row>
    <row r="420" spans="4:6">
      <c r="D420" t="s">
        <v>136</v>
      </c>
      <c r="F420">
        <v>374.376</v>
      </c>
    </row>
    <row r="421" spans="5:6">
      <c r="E421">
        <v>90008</v>
      </c>
      <c r="F421">
        <v>374.376</v>
      </c>
    </row>
    <row r="422" spans="1:6">
      <c r="A422" t="s">
        <v>332</v>
      </c>
      <c r="B422"/>
      <c r="C422"/>
      <c r="F422">
        <v>241.056</v>
      </c>
    </row>
    <row r="423" spans="2:6">
      <c r="B423" t="s">
        <v>333</v>
      </c>
      <c r="C423"/>
      <c r="D423"/>
      <c r="F423">
        <v>241.056</v>
      </c>
    </row>
    <row r="424" spans="3:6">
      <c r="C424" t="s">
        <v>334</v>
      </c>
      <c r="F424">
        <v>192.16</v>
      </c>
    </row>
    <row r="425" spans="4:6">
      <c r="D425" t="s">
        <v>128</v>
      </c>
      <c r="F425">
        <v>192.16</v>
      </c>
    </row>
    <row r="426" spans="5:6">
      <c r="E426">
        <v>28205</v>
      </c>
      <c r="F426">
        <v>192.16</v>
      </c>
    </row>
    <row r="427" spans="3:6">
      <c r="C427" t="s">
        <v>335</v>
      </c>
      <c r="D427"/>
      <c r="E427"/>
      <c r="F427">
        <v>48.896</v>
      </c>
    </row>
    <row r="428" spans="4:6">
      <c r="D428" t="s">
        <v>138</v>
      </c>
      <c r="F428">
        <v>48.896</v>
      </c>
    </row>
    <row r="429" spans="5:6">
      <c r="E429">
        <v>44052</v>
      </c>
      <c r="F429">
        <v>48.896</v>
      </c>
    </row>
    <row r="430" spans="1:6">
      <c r="A430" t="s">
        <v>336</v>
      </c>
      <c r="B430"/>
      <c r="C430"/>
      <c r="D430"/>
      <c r="F430">
        <v>27.168</v>
      </c>
    </row>
    <row r="431" spans="2:6">
      <c r="B431" t="s">
        <v>337</v>
      </c>
      <c r="C431"/>
      <c r="D431"/>
      <c r="E431"/>
      <c r="F431">
        <v>27.168</v>
      </c>
    </row>
    <row r="432" spans="3:6">
      <c r="C432" t="s">
        <v>338</v>
      </c>
      <c r="F432">
        <v>27.168</v>
      </c>
    </row>
    <row r="433" spans="4:6">
      <c r="D433" t="s">
        <v>132</v>
      </c>
      <c r="F433">
        <v>27.168</v>
      </c>
    </row>
    <row r="434" spans="5:6">
      <c r="E434">
        <v>78664</v>
      </c>
      <c r="F434">
        <v>27.168</v>
      </c>
    </row>
    <row r="435" spans="1:6">
      <c r="A435" t="s">
        <v>339</v>
      </c>
      <c r="B435"/>
      <c r="C435"/>
      <c r="D435"/>
      <c r="F435">
        <v>18.28</v>
      </c>
    </row>
    <row r="436" spans="2:6">
      <c r="B436" t="s">
        <v>340</v>
      </c>
      <c r="C436"/>
      <c r="D436"/>
      <c r="E436"/>
      <c r="F436">
        <v>18.28</v>
      </c>
    </row>
    <row r="437" spans="3:6">
      <c r="C437" t="s">
        <v>188</v>
      </c>
      <c r="F437">
        <v>18.28</v>
      </c>
    </row>
    <row r="438" spans="4:6">
      <c r="D438" t="s">
        <v>136</v>
      </c>
      <c r="F438">
        <v>18.28</v>
      </c>
    </row>
    <row r="439" spans="5:6">
      <c r="E439">
        <v>94122</v>
      </c>
      <c r="F439">
        <v>18.28</v>
      </c>
    </row>
    <row r="440" spans="1:6">
      <c r="A440" t="s">
        <v>341</v>
      </c>
      <c r="B440"/>
      <c r="C440"/>
      <c r="D440"/>
      <c r="F440">
        <v>113.024</v>
      </c>
    </row>
    <row r="441" spans="2:6">
      <c r="B441" t="s">
        <v>342</v>
      </c>
      <c r="C441"/>
      <c r="D441"/>
      <c r="E441"/>
      <c r="F441">
        <v>113.024</v>
      </c>
    </row>
    <row r="442" spans="3:6">
      <c r="C442" t="s">
        <v>131</v>
      </c>
      <c r="F442">
        <v>10.824</v>
      </c>
    </row>
    <row r="443" spans="4:6">
      <c r="D443" t="s">
        <v>132</v>
      </c>
      <c r="F443">
        <v>10.824</v>
      </c>
    </row>
    <row r="444" spans="5:6">
      <c r="E444">
        <v>77070</v>
      </c>
      <c r="F444">
        <v>10.824</v>
      </c>
    </row>
    <row r="445" spans="3:6">
      <c r="C445" t="s">
        <v>343</v>
      </c>
      <c r="D445"/>
      <c r="F445">
        <v>35</v>
      </c>
    </row>
    <row r="446" spans="4:6">
      <c r="D446" t="s">
        <v>280</v>
      </c>
      <c r="E446"/>
      <c r="F446">
        <v>35</v>
      </c>
    </row>
    <row r="447" spans="5:6">
      <c r="E447">
        <v>55044</v>
      </c>
      <c r="F447">
        <v>35</v>
      </c>
    </row>
    <row r="448" spans="3:6">
      <c r="C448" t="s">
        <v>204</v>
      </c>
      <c r="D448"/>
      <c r="F448">
        <v>44.46</v>
      </c>
    </row>
    <row r="449" spans="4:6">
      <c r="D449" t="s">
        <v>168</v>
      </c>
      <c r="E449"/>
      <c r="F449">
        <v>44.46</v>
      </c>
    </row>
    <row r="450" spans="5:6">
      <c r="E450">
        <v>10035</v>
      </c>
      <c r="F450">
        <v>44.46</v>
      </c>
    </row>
    <row r="451" spans="3:6">
      <c r="C451" t="s">
        <v>185</v>
      </c>
      <c r="D451"/>
      <c r="F451">
        <v>22.74</v>
      </c>
    </row>
    <row r="452" spans="4:6">
      <c r="D452" t="s">
        <v>344</v>
      </c>
      <c r="F452">
        <v>22.74</v>
      </c>
    </row>
    <row r="453" spans="5:6">
      <c r="E453">
        <v>20016</v>
      </c>
      <c r="F453">
        <v>22.74</v>
      </c>
    </row>
    <row r="454" spans="1:6">
      <c r="A454" t="s">
        <v>345</v>
      </c>
      <c r="B454"/>
      <c r="C454"/>
      <c r="D454"/>
      <c r="E454"/>
      <c r="F454">
        <v>25.92</v>
      </c>
    </row>
    <row r="455" spans="2:6">
      <c r="B455" t="s">
        <v>346</v>
      </c>
      <c r="C455"/>
      <c r="D455"/>
      <c r="E455"/>
      <c r="F455">
        <v>25.92</v>
      </c>
    </row>
    <row r="456" spans="3:6">
      <c r="C456" t="s">
        <v>347</v>
      </c>
      <c r="D456"/>
      <c r="F456">
        <v>25.92</v>
      </c>
    </row>
    <row r="457" spans="4:6">
      <c r="D457" t="s">
        <v>132</v>
      </c>
      <c r="E457"/>
      <c r="F457">
        <v>25.92</v>
      </c>
    </row>
    <row r="458" spans="5:6">
      <c r="E458">
        <v>78550</v>
      </c>
      <c r="F458">
        <v>25.92</v>
      </c>
    </row>
    <row r="459" spans="1:6">
      <c r="A459" t="s">
        <v>348</v>
      </c>
      <c r="B459"/>
      <c r="C459"/>
      <c r="D459"/>
      <c r="E459"/>
      <c r="F459">
        <v>87.38</v>
      </c>
    </row>
    <row r="460" spans="2:6">
      <c r="B460" t="s">
        <v>349</v>
      </c>
      <c r="C460"/>
      <c r="F460">
        <v>87.38</v>
      </c>
    </row>
    <row r="461" spans="3:6">
      <c r="C461" t="s">
        <v>167</v>
      </c>
      <c r="D461"/>
      <c r="F461">
        <v>23.92</v>
      </c>
    </row>
    <row r="462" spans="4:6">
      <c r="D462" t="s">
        <v>280</v>
      </c>
      <c r="E462"/>
      <c r="F462">
        <v>23.92</v>
      </c>
    </row>
    <row r="463" spans="5:6">
      <c r="E463">
        <v>55901</v>
      </c>
      <c r="F463">
        <v>23.92</v>
      </c>
    </row>
    <row r="464" spans="3:6">
      <c r="C464" t="s">
        <v>188</v>
      </c>
      <c r="F464">
        <v>63.46</v>
      </c>
    </row>
    <row r="465" spans="4:6">
      <c r="D465" t="s">
        <v>136</v>
      </c>
      <c r="F465">
        <v>63.46</v>
      </c>
    </row>
    <row r="466" spans="5:6">
      <c r="E466">
        <v>94109</v>
      </c>
      <c r="F466">
        <v>13.48</v>
      </c>
    </row>
    <row r="467" spans="5:6">
      <c r="E467">
        <v>94110</v>
      </c>
      <c r="F467">
        <v>49.98</v>
      </c>
    </row>
    <row r="468" spans="1:6">
      <c r="A468" t="s">
        <v>350</v>
      </c>
      <c r="B468"/>
      <c r="C468"/>
      <c r="D468"/>
      <c r="E468"/>
      <c r="F468">
        <v>881.86</v>
      </c>
    </row>
    <row r="469" spans="2:6">
      <c r="B469" t="s">
        <v>351</v>
      </c>
      <c r="C469"/>
      <c r="D469"/>
      <c r="E469"/>
      <c r="F469">
        <v>881.86</v>
      </c>
    </row>
    <row r="470" spans="3:6">
      <c r="C470" t="s">
        <v>352</v>
      </c>
      <c r="F470">
        <v>671.93</v>
      </c>
    </row>
    <row r="471" spans="4:6">
      <c r="D471" t="s">
        <v>136</v>
      </c>
      <c r="F471">
        <v>671.93</v>
      </c>
    </row>
    <row r="472" spans="5:6">
      <c r="E472">
        <v>91104</v>
      </c>
      <c r="F472">
        <v>671.93</v>
      </c>
    </row>
    <row r="473" spans="3:6">
      <c r="C473" t="s">
        <v>188</v>
      </c>
      <c r="D473"/>
      <c r="E473"/>
      <c r="F473">
        <v>209.93</v>
      </c>
    </row>
    <row r="474" spans="4:6">
      <c r="D474" t="s">
        <v>136</v>
      </c>
      <c r="E474"/>
      <c r="F474">
        <v>209.93</v>
      </c>
    </row>
    <row r="475" spans="5:6">
      <c r="E475">
        <v>94109</v>
      </c>
      <c r="F475">
        <v>209.93</v>
      </c>
    </row>
    <row r="476" spans="1:6">
      <c r="A476" t="s">
        <v>353</v>
      </c>
      <c r="B476"/>
      <c r="C476"/>
      <c r="D476"/>
      <c r="F476">
        <v>15.648</v>
      </c>
    </row>
    <row r="477" spans="2:6">
      <c r="B477" t="s">
        <v>354</v>
      </c>
      <c r="C477"/>
      <c r="D477"/>
      <c r="E477"/>
      <c r="F477">
        <v>15.648</v>
      </c>
    </row>
    <row r="478" spans="3:6">
      <c r="C478" t="s">
        <v>131</v>
      </c>
      <c r="F478">
        <v>15.648</v>
      </c>
    </row>
    <row r="479" spans="4:6">
      <c r="D479" t="s">
        <v>132</v>
      </c>
      <c r="F479">
        <v>15.648</v>
      </c>
    </row>
    <row r="480" spans="5:6">
      <c r="E480">
        <v>77095</v>
      </c>
      <c r="F480">
        <v>15.648</v>
      </c>
    </row>
    <row r="481" spans="1:6">
      <c r="A481" t="s">
        <v>355</v>
      </c>
      <c r="B481"/>
      <c r="C481"/>
      <c r="D481"/>
      <c r="F481">
        <v>4.616</v>
      </c>
    </row>
    <row r="482" spans="2:6">
      <c r="B482" t="s">
        <v>356</v>
      </c>
      <c r="C482"/>
      <c r="D482"/>
      <c r="E482"/>
      <c r="F482">
        <v>4.616</v>
      </c>
    </row>
    <row r="483" spans="3:6">
      <c r="C483" t="s">
        <v>204</v>
      </c>
      <c r="F483">
        <v>4.616</v>
      </c>
    </row>
    <row r="484" spans="4:6">
      <c r="D484" t="s">
        <v>168</v>
      </c>
      <c r="F484">
        <v>4.616</v>
      </c>
    </row>
    <row r="485" spans="5:6">
      <c r="E485">
        <v>10009</v>
      </c>
      <c r="F485">
        <v>4.616</v>
      </c>
    </row>
    <row r="486" spans="1:6">
      <c r="A486" t="s">
        <v>357</v>
      </c>
      <c r="B486"/>
      <c r="C486"/>
      <c r="D486"/>
      <c r="F486">
        <v>40.08</v>
      </c>
    </row>
    <row r="487" spans="2:6">
      <c r="B487" t="s">
        <v>358</v>
      </c>
      <c r="C487"/>
      <c r="D487"/>
      <c r="E487"/>
      <c r="F487">
        <v>40.08</v>
      </c>
    </row>
    <row r="488" spans="3:6">
      <c r="C488" t="s">
        <v>359</v>
      </c>
      <c r="F488">
        <v>40.08</v>
      </c>
    </row>
    <row r="489" spans="4:6">
      <c r="D489" t="s">
        <v>360</v>
      </c>
      <c r="F489">
        <v>40.08</v>
      </c>
    </row>
    <row r="490" spans="5:6">
      <c r="E490">
        <v>89115</v>
      </c>
      <c r="F490">
        <v>40.08</v>
      </c>
    </row>
    <row r="491" spans="1:6">
      <c r="A491" t="s">
        <v>361</v>
      </c>
      <c r="B491"/>
      <c r="C491"/>
      <c r="D491"/>
      <c r="F491">
        <v>407.976</v>
      </c>
    </row>
    <row r="492" spans="2:6">
      <c r="B492" t="s">
        <v>362</v>
      </c>
      <c r="C492"/>
      <c r="D492"/>
      <c r="E492"/>
      <c r="F492">
        <v>407.976</v>
      </c>
    </row>
    <row r="493" spans="3:6">
      <c r="C493" t="s">
        <v>184</v>
      </c>
      <c r="F493">
        <v>407.976</v>
      </c>
    </row>
    <row r="494" spans="4:6">
      <c r="D494" t="s">
        <v>185</v>
      </c>
      <c r="F494">
        <v>407.976</v>
      </c>
    </row>
    <row r="495" spans="5:6">
      <c r="E495">
        <v>98103</v>
      </c>
      <c r="F495">
        <v>407.976</v>
      </c>
    </row>
    <row r="496" spans="1:6">
      <c r="A496" t="s">
        <v>363</v>
      </c>
      <c r="B496"/>
      <c r="C496"/>
      <c r="F496">
        <v>29.592</v>
      </c>
    </row>
    <row r="497" spans="2:6">
      <c r="B497" t="s">
        <v>364</v>
      </c>
      <c r="C497"/>
      <c r="D497"/>
      <c r="F497">
        <v>29.592</v>
      </c>
    </row>
    <row r="498" spans="3:6">
      <c r="C498" t="s">
        <v>365</v>
      </c>
      <c r="F498">
        <v>29.592</v>
      </c>
    </row>
    <row r="499" spans="4:6">
      <c r="D499" t="s">
        <v>122</v>
      </c>
      <c r="F499">
        <v>29.592</v>
      </c>
    </row>
    <row r="500" spans="5:6">
      <c r="E500">
        <v>85023</v>
      </c>
      <c r="F500">
        <v>29.592</v>
      </c>
    </row>
    <row r="501" spans="1:6">
      <c r="A501" t="s">
        <v>366</v>
      </c>
      <c r="B501"/>
      <c r="C501"/>
      <c r="F501">
        <v>5.584</v>
      </c>
    </row>
    <row r="502" spans="2:6">
      <c r="B502" t="s">
        <v>367</v>
      </c>
      <c r="C502"/>
      <c r="F502">
        <v>5.584</v>
      </c>
    </row>
    <row r="503" spans="3:6">
      <c r="C503" t="s">
        <v>368</v>
      </c>
      <c r="D503"/>
      <c r="F503">
        <v>5.584</v>
      </c>
    </row>
    <row r="504" spans="4:6">
      <c r="D504" t="s">
        <v>138</v>
      </c>
      <c r="F504">
        <v>5.584</v>
      </c>
    </row>
    <row r="505" spans="5:6">
      <c r="E505">
        <v>43017</v>
      </c>
      <c r="F505">
        <v>5.584</v>
      </c>
    </row>
    <row r="506" spans="1:6">
      <c r="A506" t="s">
        <v>369</v>
      </c>
      <c r="B506"/>
      <c r="C506"/>
      <c r="F506">
        <v>47.94</v>
      </c>
    </row>
    <row r="507" spans="2:6">
      <c r="B507" t="s">
        <v>370</v>
      </c>
      <c r="C507"/>
      <c r="D507"/>
      <c r="F507">
        <v>47.94</v>
      </c>
    </row>
    <row r="508" spans="3:6">
      <c r="C508" t="s">
        <v>135</v>
      </c>
      <c r="D508"/>
      <c r="E508"/>
      <c r="F508">
        <v>47.94</v>
      </c>
    </row>
    <row r="509" spans="4:6">
      <c r="D509" t="s">
        <v>136</v>
      </c>
      <c r="E509"/>
      <c r="F509">
        <v>47.94</v>
      </c>
    </row>
    <row r="510" spans="5:6">
      <c r="E510">
        <v>90032</v>
      </c>
      <c r="F510">
        <v>47.94</v>
      </c>
    </row>
    <row r="511" spans="1:6">
      <c r="A511" t="s">
        <v>371</v>
      </c>
      <c r="B511"/>
      <c r="C511"/>
      <c r="D511"/>
      <c r="F511">
        <v>211.96</v>
      </c>
    </row>
    <row r="512" spans="2:6">
      <c r="B512" t="s">
        <v>372</v>
      </c>
      <c r="C512"/>
      <c r="D512"/>
      <c r="F512">
        <v>211.96</v>
      </c>
    </row>
    <row r="513" spans="3:6">
      <c r="C513" t="s">
        <v>188</v>
      </c>
      <c r="D513"/>
      <c r="E513"/>
      <c r="F513">
        <v>211.96</v>
      </c>
    </row>
    <row r="514" spans="4:6">
      <c r="D514" t="s">
        <v>136</v>
      </c>
      <c r="E514"/>
      <c r="F514">
        <v>211.96</v>
      </c>
    </row>
    <row r="515" spans="5:6">
      <c r="E515">
        <v>94109</v>
      </c>
      <c r="F515">
        <v>211.96</v>
      </c>
    </row>
    <row r="516" spans="1:6">
      <c r="A516" t="s">
        <v>373</v>
      </c>
      <c r="B516"/>
      <c r="C516"/>
      <c r="D516"/>
      <c r="F516">
        <v>190.15</v>
      </c>
    </row>
    <row r="517" spans="2:6">
      <c r="B517" t="s">
        <v>374</v>
      </c>
      <c r="C517"/>
      <c r="D517"/>
      <c r="E517"/>
      <c r="F517">
        <v>190.15</v>
      </c>
    </row>
    <row r="518" spans="3:6">
      <c r="C518" t="s">
        <v>375</v>
      </c>
      <c r="F518">
        <v>149.95</v>
      </c>
    </row>
    <row r="519" spans="4:6">
      <c r="D519" t="s">
        <v>168</v>
      </c>
      <c r="F519">
        <v>149.95</v>
      </c>
    </row>
    <row r="520" spans="5:6">
      <c r="E520">
        <v>10801</v>
      </c>
      <c r="F520">
        <v>149.95</v>
      </c>
    </row>
    <row r="521" spans="3:6">
      <c r="C521" t="s">
        <v>376</v>
      </c>
      <c r="D521"/>
      <c r="F521">
        <v>40.2</v>
      </c>
    </row>
    <row r="522" spans="4:6">
      <c r="D522" t="s">
        <v>168</v>
      </c>
      <c r="E522"/>
      <c r="F522">
        <v>40.2</v>
      </c>
    </row>
    <row r="523" spans="5:6">
      <c r="E523">
        <v>12180</v>
      </c>
      <c r="F523">
        <v>40.2</v>
      </c>
    </row>
    <row r="524" spans="1:6">
      <c r="A524" t="s">
        <v>377</v>
      </c>
      <c r="B524"/>
      <c r="C524"/>
      <c r="F524">
        <v>1746.75</v>
      </c>
    </row>
    <row r="525" spans="2:6">
      <c r="B525" t="s">
        <v>378</v>
      </c>
      <c r="C525"/>
      <c r="F525">
        <v>1746.75</v>
      </c>
    </row>
    <row r="526" spans="3:6">
      <c r="C526" t="s">
        <v>379</v>
      </c>
      <c r="D526"/>
      <c r="F526">
        <v>301.96</v>
      </c>
    </row>
    <row r="527" spans="4:6">
      <c r="D527" t="s">
        <v>142</v>
      </c>
      <c r="E527"/>
      <c r="F527">
        <v>301.96</v>
      </c>
    </row>
    <row r="528" spans="5:6">
      <c r="E528">
        <v>41042</v>
      </c>
      <c r="F528">
        <v>301.96</v>
      </c>
    </row>
    <row r="529" spans="3:6">
      <c r="C529" t="s">
        <v>131</v>
      </c>
      <c r="D529"/>
      <c r="F529">
        <v>19.3</v>
      </c>
    </row>
    <row r="530" spans="4:6">
      <c r="D530" t="s">
        <v>132</v>
      </c>
      <c r="E530"/>
      <c r="F530">
        <v>19.3</v>
      </c>
    </row>
    <row r="531" spans="5:6">
      <c r="E531">
        <v>77070</v>
      </c>
      <c r="F531">
        <v>19.3</v>
      </c>
    </row>
    <row r="532" spans="3:6">
      <c r="C532" t="s">
        <v>141</v>
      </c>
      <c r="D532"/>
      <c r="F532">
        <v>196.752</v>
      </c>
    </row>
    <row r="533" spans="4:6">
      <c r="D533" t="s">
        <v>217</v>
      </c>
      <c r="E533"/>
      <c r="F533">
        <v>196.752</v>
      </c>
    </row>
    <row r="534" spans="5:6">
      <c r="E534">
        <v>80027</v>
      </c>
      <c r="F534">
        <v>196.752</v>
      </c>
    </row>
    <row r="535" spans="3:6">
      <c r="C535" t="s">
        <v>380</v>
      </c>
      <c r="F535">
        <v>831.936</v>
      </c>
    </row>
    <row r="536" spans="4:6">
      <c r="D536" t="s">
        <v>381</v>
      </c>
      <c r="F536">
        <v>831.936</v>
      </c>
    </row>
    <row r="537" spans="5:6">
      <c r="E537">
        <v>38109</v>
      </c>
      <c r="F537">
        <v>831.936</v>
      </c>
    </row>
    <row r="538" spans="3:6">
      <c r="C538" t="s">
        <v>382</v>
      </c>
      <c r="D538"/>
      <c r="E538"/>
      <c r="F538">
        <v>396.802</v>
      </c>
    </row>
    <row r="539" spans="4:6">
      <c r="D539" t="s">
        <v>138</v>
      </c>
      <c r="E539"/>
      <c r="F539">
        <v>396.802</v>
      </c>
    </row>
    <row r="540" spans="5:6">
      <c r="E540">
        <v>43055</v>
      </c>
      <c r="F540">
        <v>396.802</v>
      </c>
    </row>
    <row r="541" spans="1:6">
      <c r="A541" t="s">
        <v>383</v>
      </c>
      <c r="B541"/>
      <c r="C541"/>
      <c r="D541"/>
      <c r="E541"/>
      <c r="F541">
        <v>17.568</v>
      </c>
    </row>
    <row r="542" spans="2:6">
      <c r="B542" t="s">
        <v>384</v>
      </c>
      <c r="C542"/>
      <c r="F542">
        <v>17.568</v>
      </c>
    </row>
    <row r="543" spans="3:6">
      <c r="C543" t="s">
        <v>266</v>
      </c>
      <c r="F543">
        <v>17.568</v>
      </c>
    </row>
    <row r="544" spans="4:6">
      <c r="D544" t="s">
        <v>132</v>
      </c>
      <c r="F544">
        <v>17.568</v>
      </c>
    </row>
    <row r="545" spans="5:6">
      <c r="E545">
        <v>78745</v>
      </c>
      <c r="F545">
        <v>17.568</v>
      </c>
    </row>
    <row r="546" spans="1:6">
      <c r="A546" t="s">
        <v>385</v>
      </c>
      <c r="B546"/>
      <c r="C546"/>
      <c r="D546"/>
      <c r="E546"/>
      <c r="F546">
        <v>72.45</v>
      </c>
    </row>
    <row r="547" spans="2:6">
      <c r="B547" t="s">
        <v>386</v>
      </c>
      <c r="C547"/>
      <c r="F547">
        <v>72.45</v>
      </c>
    </row>
    <row r="548" spans="3:6">
      <c r="C548" t="s">
        <v>204</v>
      </c>
      <c r="D548"/>
      <c r="F548">
        <v>72.45</v>
      </c>
    </row>
    <row r="549" spans="4:6">
      <c r="D549" t="s">
        <v>168</v>
      </c>
      <c r="E549"/>
      <c r="F549">
        <v>72.45</v>
      </c>
    </row>
    <row r="550" spans="5:6">
      <c r="E550">
        <v>10024</v>
      </c>
      <c r="F550">
        <v>72.45</v>
      </c>
    </row>
    <row r="551" spans="1:6">
      <c r="A551" t="s">
        <v>387</v>
      </c>
      <c r="B551"/>
      <c r="C551"/>
      <c r="D551"/>
      <c r="F551">
        <v>3.96</v>
      </c>
    </row>
    <row r="552" spans="2:6">
      <c r="B552" t="s">
        <v>388</v>
      </c>
      <c r="C552"/>
      <c r="F552">
        <v>3.96</v>
      </c>
    </row>
    <row r="553" spans="3:6">
      <c r="C553" t="s">
        <v>184</v>
      </c>
      <c r="D553"/>
      <c r="F553">
        <v>3.96</v>
      </c>
    </row>
    <row r="554" spans="4:6">
      <c r="D554" t="s">
        <v>185</v>
      </c>
      <c r="E554"/>
      <c r="F554">
        <v>3.96</v>
      </c>
    </row>
    <row r="555" spans="5:6">
      <c r="E555">
        <v>98105</v>
      </c>
      <c r="F555">
        <v>3.96</v>
      </c>
    </row>
    <row r="556" spans="1:6">
      <c r="A556" t="s">
        <v>389</v>
      </c>
      <c r="B556"/>
      <c r="C556"/>
      <c r="F556">
        <v>246.384</v>
      </c>
    </row>
    <row r="557" spans="2:6">
      <c r="B557" t="s">
        <v>390</v>
      </c>
      <c r="C557"/>
      <c r="D557"/>
      <c r="F557">
        <v>246.384</v>
      </c>
    </row>
    <row r="558" spans="3:6">
      <c r="C558" t="s">
        <v>391</v>
      </c>
      <c r="D558"/>
      <c r="F558">
        <v>246.384</v>
      </c>
    </row>
    <row r="559" spans="4:6">
      <c r="D559" t="s">
        <v>185</v>
      </c>
      <c r="E559"/>
      <c r="F559">
        <v>246.384</v>
      </c>
    </row>
    <row r="560" spans="5:6">
      <c r="E560">
        <v>98198</v>
      </c>
      <c r="F560">
        <v>246.384</v>
      </c>
    </row>
    <row r="561" spans="1:6">
      <c r="A561" t="s">
        <v>392</v>
      </c>
      <c r="B561"/>
      <c r="C561"/>
      <c r="D561"/>
      <c r="F561">
        <v>23.968</v>
      </c>
    </row>
    <row r="562" spans="2:6">
      <c r="B562" t="s">
        <v>393</v>
      </c>
      <c r="C562"/>
      <c r="F562">
        <v>23.968</v>
      </c>
    </row>
    <row r="563" spans="3:6">
      <c r="C563" t="s">
        <v>394</v>
      </c>
      <c r="D563"/>
      <c r="F563">
        <v>23.968</v>
      </c>
    </row>
    <row r="564" spans="4:6">
      <c r="D564" t="s">
        <v>128</v>
      </c>
      <c r="E564"/>
      <c r="F564">
        <v>23.968</v>
      </c>
    </row>
    <row r="565" spans="5:6">
      <c r="E565">
        <v>27217</v>
      </c>
      <c r="F565">
        <v>23.968</v>
      </c>
    </row>
    <row r="566" spans="1:6">
      <c r="A566" t="s">
        <v>395</v>
      </c>
      <c r="B566"/>
      <c r="C566"/>
      <c r="F566">
        <v>312.135</v>
      </c>
    </row>
    <row r="567" spans="2:6">
      <c r="B567" t="s">
        <v>396</v>
      </c>
      <c r="C567"/>
      <c r="F567">
        <v>312.135</v>
      </c>
    </row>
    <row r="568" spans="3:6">
      <c r="C568" t="s">
        <v>182</v>
      </c>
      <c r="D568"/>
      <c r="F568">
        <v>219.075</v>
      </c>
    </row>
    <row r="569" spans="4:6">
      <c r="D569" t="s">
        <v>183</v>
      </c>
      <c r="E569"/>
      <c r="F569">
        <v>219.075</v>
      </c>
    </row>
    <row r="570" spans="5:6">
      <c r="E570">
        <v>60623</v>
      </c>
      <c r="F570">
        <v>219.075</v>
      </c>
    </row>
    <row r="571" spans="3:6">
      <c r="C571" t="s">
        <v>135</v>
      </c>
      <c r="F571">
        <v>93.06</v>
      </c>
    </row>
    <row r="572" spans="4:6">
      <c r="D572" t="s">
        <v>136</v>
      </c>
      <c r="F572">
        <v>93.06</v>
      </c>
    </row>
    <row r="573" spans="5:6">
      <c r="E573">
        <v>90032</v>
      </c>
      <c r="F573">
        <v>93.06</v>
      </c>
    </row>
    <row r="574" spans="1:6">
      <c r="A574" t="s">
        <v>397</v>
      </c>
      <c r="B574"/>
      <c r="C574"/>
      <c r="D574"/>
      <c r="E574"/>
      <c r="F574">
        <v>187.84</v>
      </c>
    </row>
    <row r="575" spans="2:6">
      <c r="B575" t="s">
        <v>398</v>
      </c>
      <c r="C575"/>
      <c r="D575"/>
      <c r="E575"/>
      <c r="F575">
        <v>187.84</v>
      </c>
    </row>
    <row r="576" spans="3:6">
      <c r="C576" t="s">
        <v>399</v>
      </c>
      <c r="F576">
        <v>83.92</v>
      </c>
    </row>
    <row r="577" spans="4:6">
      <c r="D577" t="s">
        <v>163</v>
      </c>
      <c r="F577">
        <v>83.92</v>
      </c>
    </row>
    <row r="578" spans="5:6">
      <c r="E578">
        <v>48601</v>
      </c>
      <c r="F578">
        <v>83.92</v>
      </c>
    </row>
    <row r="579" spans="3:6">
      <c r="C579" t="s">
        <v>184</v>
      </c>
      <c r="D579"/>
      <c r="E579"/>
      <c r="F579">
        <v>103.92</v>
      </c>
    </row>
    <row r="580" spans="4:6">
      <c r="D580" t="s">
        <v>185</v>
      </c>
      <c r="E580"/>
      <c r="F580">
        <v>103.92</v>
      </c>
    </row>
    <row r="581" spans="5:6">
      <c r="E581">
        <v>98115</v>
      </c>
      <c r="F581">
        <v>103.92</v>
      </c>
    </row>
    <row r="582" spans="1:6">
      <c r="A582" t="s">
        <v>400</v>
      </c>
      <c r="B582"/>
      <c r="C582"/>
      <c r="F582">
        <v>36.624</v>
      </c>
    </row>
    <row r="583" spans="2:6">
      <c r="B583" t="s">
        <v>401</v>
      </c>
      <c r="C583"/>
      <c r="D583"/>
      <c r="F583">
        <v>36.624</v>
      </c>
    </row>
    <row r="584" spans="3:6">
      <c r="C584" t="s">
        <v>135</v>
      </c>
      <c r="D584"/>
      <c r="E584"/>
      <c r="F584">
        <v>36.624</v>
      </c>
    </row>
    <row r="585" spans="4:6">
      <c r="D585" t="s">
        <v>136</v>
      </c>
      <c r="E585"/>
      <c r="F585">
        <v>36.624</v>
      </c>
    </row>
    <row r="586" spans="5:6">
      <c r="E586">
        <v>90004</v>
      </c>
      <c r="F586">
        <v>36.624</v>
      </c>
    </row>
    <row r="587" spans="1:6">
      <c r="A587" t="s">
        <v>402</v>
      </c>
      <c r="B587"/>
      <c r="C587"/>
      <c r="D587"/>
      <c r="F587">
        <v>369.912</v>
      </c>
    </row>
    <row r="588" spans="2:6">
      <c r="B588" t="s">
        <v>403</v>
      </c>
      <c r="C588"/>
      <c r="D588"/>
      <c r="F588">
        <v>369.912</v>
      </c>
    </row>
    <row r="589" spans="3:6">
      <c r="C589" t="s">
        <v>404</v>
      </c>
      <c r="D589"/>
      <c r="E589"/>
      <c r="F589">
        <v>369.912</v>
      </c>
    </row>
    <row r="590" spans="4:6">
      <c r="D590" t="s">
        <v>136</v>
      </c>
      <c r="E590"/>
      <c r="F590">
        <v>369.912</v>
      </c>
    </row>
    <row r="591" spans="5:6">
      <c r="E591">
        <v>90805</v>
      </c>
      <c r="F591">
        <v>369.912</v>
      </c>
    </row>
    <row r="592" spans="1:6">
      <c r="A592" t="s">
        <v>405</v>
      </c>
      <c r="B592"/>
      <c r="C592"/>
      <c r="F592">
        <v>1479.256</v>
      </c>
    </row>
    <row r="593" spans="2:6">
      <c r="B593" t="s">
        <v>406</v>
      </c>
      <c r="C593"/>
      <c r="D593"/>
      <c r="F593">
        <v>1479.256</v>
      </c>
    </row>
    <row r="594" spans="3:6">
      <c r="C594" t="s">
        <v>407</v>
      </c>
      <c r="D594"/>
      <c r="E594"/>
      <c r="F594">
        <v>1363.96</v>
      </c>
    </row>
    <row r="595" spans="4:6">
      <c r="D595" t="s">
        <v>128</v>
      </c>
      <c r="E595"/>
      <c r="F595">
        <v>1363.96</v>
      </c>
    </row>
    <row r="596" spans="5:6">
      <c r="E596">
        <v>28806</v>
      </c>
      <c r="F596">
        <v>1363.96</v>
      </c>
    </row>
    <row r="597" spans="3:6">
      <c r="C597" t="s">
        <v>408</v>
      </c>
      <c r="D597"/>
      <c r="E597"/>
      <c r="F597">
        <v>115.296</v>
      </c>
    </row>
    <row r="598" spans="4:6">
      <c r="D598" t="s">
        <v>128</v>
      </c>
      <c r="E598"/>
      <c r="F598">
        <v>115.296</v>
      </c>
    </row>
    <row r="599" spans="5:6">
      <c r="E599">
        <v>28540</v>
      </c>
      <c r="F599">
        <v>115.296</v>
      </c>
    </row>
    <row r="600" spans="1:6">
      <c r="A600" t="s">
        <v>409</v>
      </c>
      <c r="B600"/>
      <c r="C600"/>
      <c r="F600">
        <v>438.84</v>
      </c>
    </row>
    <row r="601" spans="2:6">
      <c r="B601" t="s">
        <v>410</v>
      </c>
      <c r="C601"/>
      <c r="D601"/>
      <c r="F601">
        <v>438.84</v>
      </c>
    </row>
    <row r="602" spans="3:6">
      <c r="C602" t="s">
        <v>131</v>
      </c>
      <c r="D602"/>
      <c r="E602"/>
      <c r="F602">
        <v>50.136</v>
      </c>
    </row>
    <row r="603" spans="4:6">
      <c r="D603" t="s">
        <v>132</v>
      </c>
      <c r="E603"/>
      <c r="F603">
        <v>50.136</v>
      </c>
    </row>
    <row r="604" spans="5:6">
      <c r="E604">
        <v>77070</v>
      </c>
      <c r="F604">
        <v>50.136</v>
      </c>
    </row>
    <row r="605" spans="3:6">
      <c r="C605" t="s">
        <v>204</v>
      </c>
      <c r="F605">
        <v>388.704</v>
      </c>
    </row>
    <row r="606" spans="4:6">
      <c r="D606" t="s">
        <v>168</v>
      </c>
      <c r="F606">
        <v>388.704</v>
      </c>
    </row>
    <row r="607" spans="5:6">
      <c r="E607">
        <v>10035</v>
      </c>
      <c r="F607">
        <v>388.704</v>
      </c>
    </row>
    <row r="608" spans="1:6">
      <c r="A608" t="s">
        <v>411</v>
      </c>
      <c r="B608"/>
      <c r="C608"/>
      <c r="F608">
        <v>330.4</v>
      </c>
    </row>
    <row r="609" spans="2:6">
      <c r="B609" t="s">
        <v>412</v>
      </c>
      <c r="C609"/>
      <c r="D609"/>
      <c r="F609">
        <v>330.4</v>
      </c>
    </row>
    <row r="610" spans="3:6">
      <c r="C610" t="s">
        <v>413</v>
      </c>
      <c r="D610"/>
      <c r="E610"/>
      <c r="F610">
        <v>330.4</v>
      </c>
    </row>
    <row r="611" spans="4:6">
      <c r="D611" t="s">
        <v>136</v>
      </c>
      <c r="E611"/>
      <c r="F611">
        <v>330.4</v>
      </c>
    </row>
    <row r="612" spans="5:6">
      <c r="E612">
        <v>92691</v>
      </c>
      <c r="F612">
        <v>330.4</v>
      </c>
    </row>
    <row r="613" spans="1:6">
      <c r="A613" t="s">
        <v>414</v>
      </c>
      <c r="B613"/>
      <c r="C613"/>
      <c r="D613"/>
      <c r="E613"/>
      <c r="F613">
        <v>115.2</v>
      </c>
    </row>
    <row r="614" spans="2:6">
      <c r="B614" t="s">
        <v>415</v>
      </c>
      <c r="C614"/>
      <c r="F614">
        <v>115.2</v>
      </c>
    </row>
    <row r="615" spans="3:6">
      <c r="C615" t="s">
        <v>175</v>
      </c>
      <c r="D615"/>
      <c r="F615">
        <v>82.8</v>
      </c>
    </row>
    <row r="616" spans="4:6">
      <c r="D616" t="s">
        <v>176</v>
      </c>
      <c r="F616">
        <v>82.8</v>
      </c>
    </row>
    <row r="617" spans="5:6">
      <c r="E617">
        <v>19134</v>
      </c>
      <c r="F617">
        <v>82.8</v>
      </c>
    </row>
    <row r="618" spans="3:6">
      <c r="C618" t="s">
        <v>184</v>
      </c>
      <c r="D618"/>
      <c r="E618"/>
      <c r="F618">
        <v>32.4</v>
      </c>
    </row>
    <row r="619" spans="4:6">
      <c r="D619" t="s">
        <v>185</v>
      </c>
      <c r="E619"/>
      <c r="F619">
        <v>32.4</v>
      </c>
    </row>
    <row r="620" spans="5:6">
      <c r="E620">
        <v>98105</v>
      </c>
      <c r="F620">
        <v>32.4</v>
      </c>
    </row>
    <row r="621" spans="1:6">
      <c r="A621" t="s">
        <v>416</v>
      </c>
      <c r="B621"/>
      <c r="C621"/>
      <c r="F621">
        <v>74.112</v>
      </c>
    </row>
    <row r="622" spans="2:6">
      <c r="B622" t="s">
        <v>417</v>
      </c>
      <c r="C622"/>
      <c r="D622"/>
      <c r="F622">
        <v>74.112</v>
      </c>
    </row>
    <row r="623" spans="3:6">
      <c r="C623" t="s">
        <v>334</v>
      </c>
      <c r="D623"/>
      <c r="E623"/>
      <c r="F623">
        <v>74.112</v>
      </c>
    </row>
    <row r="624" spans="4:6">
      <c r="D624" t="s">
        <v>128</v>
      </c>
      <c r="E624"/>
      <c r="F624">
        <v>74.112</v>
      </c>
    </row>
    <row r="625" spans="5:6">
      <c r="E625">
        <v>28205</v>
      </c>
      <c r="F625">
        <v>74.112</v>
      </c>
    </row>
    <row r="626" spans="1:6">
      <c r="A626" t="s">
        <v>418</v>
      </c>
      <c r="B626"/>
      <c r="C626"/>
      <c r="F626">
        <v>15.552</v>
      </c>
    </row>
    <row r="627" spans="2:6">
      <c r="B627" t="s">
        <v>419</v>
      </c>
      <c r="C627"/>
      <c r="D627"/>
      <c r="F627">
        <v>15.552</v>
      </c>
    </row>
    <row r="628" spans="3:6">
      <c r="C628" t="s">
        <v>175</v>
      </c>
      <c r="D628"/>
      <c r="E628"/>
      <c r="F628">
        <v>15.552</v>
      </c>
    </row>
    <row r="629" spans="4:6">
      <c r="D629" t="s">
        <v>176</v>
      </c>
      <c r="E629"/>
      <c r="F629">
        <v>15.552</v>
      </c>
    </row>
    <row r="630" spans="5:6">
      <c r="E630">
        <v>19143</v>
      </c>
      <c r="F630">
        <v>15.552</v>
      </c>
    </row>
    <row r="631" spans="1:6">
      <c r="A631" t="s">
        <v>420</v>
      </c>
      <c r="B631"/>
      <c r="C631"/>
      <c r="D631"/>
      <c r="E631"/>
      <c r="F631">
        <v>1038.84</v>
      </c>
    </row>
    <row r="632" spans="2:6">
      <c r="B632" t="s">
        <v>421</v>
      </c>
      <c r="C632"/>
      <c r="F632">
        <v>1038.84</v>
      </c>
    </row>
    <row r="633" spans="3:6">
      <c r="C633" t="s">
        <v>135</v>
      </c>
      <c r="D633"/>
      <c r="F633">
        <v>1038.84</v>
      </c>
    </row>
    <row r="634" spans="4:6">
      <c r="D634" t="s">
        <v>136</v>
      </c>
      <c r="F634">
        <v>1038.84</v>
      </c>
    </row>
    <row r="635" spans="5:6">
      <c r="E635">
        <v>90004</v>
      </c>
      <c r="F635">
        <v>1038.84</v>
      </c>
    </row>
    <row r="636" spans="1:6">
      <c r="A636" t="s">
        <v>422</v>
      </c>
      <c r="B636"/>
      <c r="C636"/>
      <c r="D636"/>
      <c r="E636"/>
      <c r="F636">
        <v>340.92</v>
      </c>
    </row>
    <row r="637" spans="2:6">
      <c r="B637" t="s">
        <v>423</v>
      </c>
      <c r="C637"/>
      <c r="D637"/>
      <c r="E637"/>
      <c r="F637">
        <v>340.92</v>
      </c>
    </row>
    <row r="638" spans="3:6">
      <c r="C638" t="s">
        <v>188</v>
      </c>
      <c r="D638"/>
      <c r="F638">
        <v>340.92</v>
      </c>
    </row>
    <row r="639" spans="4:6">
      <c r="D639" t="s">
        <v>136</v>
      </c>
      <c r="E639"/>
      <c r="F639">
        <v>340.92</v>
      </c>
    </row>
    <row r="640" spans="5:6">
      <c r="E640">
        <v>94110</v>
      </c>
      <c r="F640">
        <v>340.92</v>
      </c>
    </row>
    <row r="641" spans="1:6">
      <c r="A641" t="s">
        <v>424</v>
      </c>
      <c r="B641"/>
      <c r="C641"/>
      <c r="D641"/>
      <c r="F641">
        <v>1618.37</v>
      </c>
    </row>
    <row r="642" spans="2:6">
      <c r="B642" t="s">
        <v>425</v>
      </c>
      <c r="C642"/>
      <c r="D642"/>
      <c r="E642"/>
      <c r="F642">
        <v>1618.37</v>
      </c>
    </row>
    <row r="643" spans="3:6">
      <c r="C643" t="s">
        <v>184</v>
      </c>
      <c r="F643">
        <v>1618.37</v>
      </c>
    </row>
    <row r="644" spans="4:6">
      <c r="D644" t="s">
        <v>185</v>
      </c>
      <c r="F644">
        <v>1618.37</v>
      </c>
    </row>
    <row r="645" spans="5:6">
      <c r="E645">
        <v>98103</v>
      </c>
      <c r="F645">
        <v>1618.37</v>
      </c>
    </row>
    <row r="646" spans="1:6">
      <c r="A646" t="s">
        <v>426</v>
      </c>
      <c r="B646"/>
      <c r="C646"/>
      <c r="D646"/>
      <c r="F646">
        <v>12.96</v>
      </c>
    </row>
    <row r="647" spans="2:6">
      <c r="B647" t="s">
        <v>427</v>
      </c>
      <c r="C647"/>
      <c r="D647"/>
      <c r="E647"/>
      <c r="F647">
        <v>12.96</v>
      </c>
    </row>
    <row r="648" spans="3:6">
      <c r="C648" t="s">
        <v>428</v>
      </c>
      <c r="F648">
        <v>12.96</v>
      </c>
    </row>
    <row r="649" spans="4:6">
      <c r="D649" t="s">
        <v>280</v>
      </c>
      <c r="F649">
        <v>12.96</v>
      </c>
    </row>
    <row r="650" spans="5:6">
      <c r="E650">
        <v>55407</v>
      </c>
      <c r="F650">
        <v>12.96</v>
      </c>
    </row>
    <row r="651" spans="1:6">
      <c r="A651" t="s">
        <v>429</v>
      </c>
      <c r="B651"/>
      <c r="C651"/>
      <c r="D651"/>
      <c r="F651">
        <v>110.666</v>
      </c>
    </row>
    <row r="652" spans="2:6">
      <c r="B652" t="s">
        <v>430</v>
      </c>
      <c r="F652">
        <v>110.666</v>
      </c>
    </row>
    <row r="653" spans="3:6">
      <c r="C653" t="s">
        <v>382</v>
      </c>
      <c r="F653">
        <v>103.056</v>
      </c>
    </row>
    <row r="654" spans="4:6">
      <c r="D654" t="s">
        <v>138</v>
      </c>
      <c r="F654">
        <v>103.056</v>
      </c>
    </row>
    <row r="655" spans="5:6">
      <c r="E655">
        <v>43055</v>
      </c>
      <c r="F655">
        <v>103.056</v>
      </c>
    </row>
    <row r="656" spans="3:6">
      <c r="C656" t="s">
        <v>431</v>
      </c>
      <c r="D656"/>
      <c r="F656">
        <v>7.61</v>
      </c>
    </row>
    <row r="657" spans="4:6">
      <c r="D657" t="s">
        <v>136</v>
      </c>
      <c r="E657"/>
      <c r="F657">
        <v>7.61</v>
      </c>
    </row>
    <row r="658" spans="5:6">
      <c r="E658">
        <v>92037</v>
      </c>
      <c r="F658">
        <v>7.61</v>
      </c>
    </row>
    <row r="659" spans="1:6">
      <c r="A659" t="s">
        <v>432</v>
      </c>
      <c r="B659"/>
      <c r="F659">
        <v>75.88</v>
      </c>
    </row>
    <row r="660" spans="2:6">
      <c r="B660" t="s">
        <v>433</v>
      </c>
      <c r="C660"/>
      <c r="F660">
        <v>75.88</v>
      </c>
    </row>
    <row r="661" spans="3:6">
      <c r="C661" t="s">
        <v>287</v>
      </c>
      <c r="D661"/>
      <c r="F661">
        <v>75.88</v>
      </c>
    </row>
    <row r="662" spans="4:6">
      <c r="D662" t="s">
        <v>288</v>
      </c>
      <c r="E662"/>
      <c r="F662">
        <v>75.88</v>
      </c>
    </row>
    <row r="663" spans="5:6">
      <c r="E663">
        <v>22153</v>
      </c>
      <c r="F663">
        <v>75.88</v>
      </c>
    </row>
    <row r="664" spans="1:6">
      <c r="A664" t="s">
        <v>434</v>
      </c>
      <c r="B664"/>
      <c r="C664"/>
      <c r="F664">
        <v>51.312</v>
      </c>
    </row>
    <row r="665" spans="2:6">
      <c r="B665" t="s">
        <v>435</v>
      </c>
      <c r="C665"/>
      <c r="D665"/>
      <c r="F665">
        <v>51.312</v>
      </c>
    </row>
    <row r="666" spans="3:6">
      <c r="C666" t="s">
        <v>188</v>
      </c>
      <c r="D666"/>
      <c r="F666">
        <v>51.312</v>
      </c>
    </row>
    <row r="667" spans="4:6">
      <c r="D667" t="s">
        <v>136</v>
      </c>
      <c r="E667"/>
      <c r="F667">
        <v>51.312</v>
      </c>
    </row>
    <row r="668" spans="5:6">
      <c r="E668">
        <v>94122</v>
      </c>
      <c r="F668">
        <v>51.312</v>
      </c>
    </row>
    <row r="669" spans="1:6">
      <c r="A669" t="s">
        <v>436</v>
      </c>
      <c r="B669"/>
      <c r="C669"/>
      <c r="D669"/>
      <c r="F669">
        <v>25.472</v>
      </c>
    </row>
    <row r="670" spans="2:6">
      <c r="B670" t="s">
        <v>437</v>
      </c>
      <c r="C670"/>
      <c r="F670">
        <v>25.472</v>
      </c>
    </row>
    <row r="671" spans="3:6">
      <c r="C671" t="s">
        <v>175</v>
      </c>
      <c r="D671"/>
      <c r="F671">
        <v>25.472</v>
      </c>
    </row>
    <row r="672" spans="4:6">
      <c r="D672" t="s">
        <v>176</v>
      </c>
      <c r="E672"/>
      <c r="F672">
        <v>25.472</v>
      </c>
    </row>
    <row r="673" spans="5:6">
      <c r="E673">
        <v>19143</v>
      </c>
      <c r="F673">
        <v>25.472</v>
      </c>
    </row>
    <row r="674" spans="1:6">
      <c r="A674" t="s">
        <v>438</v>
      </c>
      <c r="B674"/>
      <c r="C674"/>
      <c r="F674">
        <v>179.95</v>
      </c>
    </row>
    <row r="675" spans="2:6">
      <c r="B675" t="s">
        <v>439</v>
      </c>
      <c r="C675"/>
      <c r="F675">
        <v>179.95</v>
      </c>
    </row>
    <row r="676" spans="3:6">
      <c r="C676" t="s">
        <v>188</v>
      </c>
      <c r="D676"/>
      <c r="F676">
        <v>179.95</v>
      </c>
    </row>
    <row r="677" spans="4:6">
      <c r="D677" t="s">
        <v>136</v>
      </c>
      <c r="E677"/>
      <c r="F677">
        <v>179.95</v>
      </c>
    </row>
    <row r="678" spans="5:6">
      <c r="E678">
        <v>94110</v>
      </c>
      <c r="F678">
        <v>179.95</v>
      </c>
    </row>
    <row r="679" spans="1:6">
      <c r="A679" t="s">
        <v>440</v>
      </c>
      <c r="B679"/>
      <c r="C679"/>
      <c r="F679">
        <v>30.88</v>
      </c>
    </row>
    <row r="680" spans="2:6">
      <c r="B680" t="s">
        <v>441</v>
      </c>
      <c r="C680"/>
      <c r="F680">
        <v>30.88</v>
      </c>
    </row>
    <row r="681" spans="3:6">
      <c r="C681" t="s">
        <v>182</v>
      </c>
      <c r="D681"/>
      <c r="F681">
        <v>25.92</v>
      </c>
    </row>
    <row r="682" spans="4:6">
      <c r="D682" t="s">
        <v>183</v>
      </c>
      <c r="E682"/>
      <c r="F682">
        <v>25.92</v>
      </c>
    </row>
    <row r="683" spans="5:6">
      <c r="E683">
        <v>60610</v>
      </c>
      <c r="F683">
        <v>25.92</v>
      </c>
    </row>
    <row r="684" spans="3:6">
      <c r="C684" t="s">
        <v>442</v>
      </c>
      <c r="D684"/>
      <c r="F684">
        <v>4.96</v>
      </c>
    </row>
    <row r="685" spans="4:6">
      <c r="D685" t="s">
        <v>146</v>
      </c>
      <c r="E685"/>
      <c r="F685">
        <v>4.96</v>
      </c>
    </row>
    <row r="686" spans="5:6">
      <c r="E686">
        <v>84041</v>
      </c>
      <c r="F686">
        <v>4.96</v>
      </c>
    </row>
    <row r="687" spans="1:6">
      <c r="A687" t="s">
        <v>443</v>
      </c>
      <c r="B687"/>
      <c r="C687"/>
      <c r="F687">
        <v>19.312</v>
      </c>
    </row>
    <row r="688" spans="2:6">
      <c r="B688" t="s">
        <v>444</v>
      </c>
      <c r="C688"/>
      <c r="F688">
        <v>19.312</v>
      </c>
    </row>
    <row r="689" spans="3:6">
      <c r="C689" t="s">
        <v>175</v>
      </c>
      <c r="D689"/>
      <c r="F689">
        <v>19.312</v>
      </c>
    </row>
    <row r="690" spans="4:6">
      <c r="D690" t="s">
        <v>176</v>
      </c>
      <c r="E690"/>
      <c r="F690">
        <v>19.312</v>
      </c>
    </row>
    <row r="691" spans="5:6">
      <c r="E691">
        <v>19140</v>
      </c>
      <c r="F691">
        <v>19.312</v>
      </c>
    </row>
    <row r="692" spans="1:6">
      <c r="A692" t="s">
        <v>445</v>
      </c>
      <c r="B692"/>
      <c r="C692"/>
      <c r="F692">
        <v>28.556</v>
      </c>
    </row>
    <row r="693" spans="2:6">
      <c r="B693" t="s">
        <v>446</v>
      </c>
      <c r="C693"/>
      <c r="D693"/>
      <c r="F693">
        <v>28.556</v>
      </c>
    </row>
    <row r="694" spans="3:6">
      <c r="C694" t="s">
        <v>447</v>
      </c>
      <c r="D694"/>
      <c r="F694">
        <v>14.576</v>
      </c>
    </row>
    <row r="695" spans="4:6">
      <c r="D695" t="s">
        <v>122</v>
      </c>
      <c r="E695"/>
      <c r="F695">
        <v>14.576</v>
      </c>
    </row>
    <row r="696" spans="5:6">
      <c r="E696">
        <v>85323</v>
      </c>
      <c r="F696">
        <v>14.576</v>
      </c>
    </row>
    <row r="697" spans="3:6">
      <c r="C697" t="s">
        <v>135</v>
      </c>
      <c r="D697"/>
      <c r="F697">
        <v>13.98</v>
      </c>
    </row>
    <row r="698" spans="4:6">
      <c r="D698" t="s">
        <v>136</v>
      </c>
      <c r="F698">
        <v>13.98</v>
      </c>
    </row>
    <row r="699" spans="5:6">
      <c r="E699">
        <v>90004</v>
      </c>
      <c r="F699">
        <v>13.98</v>
      </c>
    </row>
    <row r="700" spans="1:6">
      <c r="A700" t="s">
        <v>448</v>
      </c>
      <c r="B700"/>
      <c r="C700"/>
      <c r="D700"/>
      <c r="E700"/>
      <c r="F700">
        <v>20.7</v>
      </c>
    </row>
    <row r="701" spans="2:6">
      <c r="B701" t="s">
        <v>449</v>
      </c>
      <c r="C701"/>
      <c r="D701"/>
      <c r="E701"/>
      <c r="F701">
        <v>20.7</v>
      </c>
    </row>
    <row r="702" spans="3:6">
      <c r="C702" t="s">
        <v>204</v>
      </c>
      <c r="F702">
        <v>20.7</v>
      </c>
    </row>
    <row r="703" spans="4:6">
      <c r="D703" t="s">
        <v>168</v>
      </c>
      <c r="F703">
        <v>20.7</v>
      </c>
    </row>
    <row r="704" spans="5:6">
      <c r="E704">
        <v>10009</v>
      </c>
      <c r="F704">
        <v>20.7</v>
      </c>
    </row>
    <row r="705" spans="1:6">
      <c r="A705" t="s">
        <v>450</v>
      </c>
      <c r="B705"/>
      <c r="C705"/>
      <c r="D705"/>
      <c r="E705"/>
      <c r="F705">
        <v>238.896</v>
      </c>
    </row>
    <row r="706" spans="2:6">
      <c r="B706" t="s">
        <v>451</v>
      </c>
      <c r="C706"/>
      <c r="F706">
        <v>238.896</v>
      </c>
    </row>
    <row r="707" spans="3:6">
      <c r="C707" t="s">
        <v>329</v>
      </c>
      <c r="D707"/>
      <c r="F707">
        <v>238.896</v>
      </c>
    </row>
    <row r="708" spans="4:6">
      <c r="D708" t="s">
        <v>217</v>
      </c>
      <c r="E708"/>
      <c r="F708">
        <v>238.896</v>
      </c>
    </row>
    <row r="709" spans="5:6">
      <c r="E709">
        <v>80013</v>
      </c>
      <c r="F709">
        <v>238.896</v>
      </c>
    </row>
    <row r="710" spans="1:6">
      <c r="A710" t="s">
        <v>452</v>
      </c>
      <c r="B710"/>
      <c r="C710"/>
      <c r="F710">
        <v>20.04</v>
      </c>
    </row>
    <row r="711" spans="2:6">
      <c r="B711" t="s">
        <v>453</v>
      </c>
      <c r="C711"/>
      <c r="F711">
        <v>20.04</v>
      </c>
    </row>
    <row r="712" spans="3:6">
      <c r="C712" t="s">
        <v>454</v>
      </c>
      <c r="D712"/>
      <c r="F712">
        <v>20.04</v>
      </c>
    </row>
    <row r="713" spans="4:6">
      <c r="D713" t="s">
        <v>136</v>
      </c>
      <c r="E713"/>
      <c r="F713">
        <v>20.04</v>
      </c>
    </row>
    <row r="714" spans="5:6">
      <c r="E714">
        <v>95661</v>
      </c>
      <c r="F714">
        <v>20.04</v>
      </c>
    </row>
    <row r="715" spans="1:6">
      <c r="A715" t="s">
        <v>455</v>
      </c>
      <c r="B715"/>
      <c r="C715"/>
      <c r="D715"/>
      <c r="F715">
        <v>101.564</v>
      </c>
    </row>
    <row r="716" spans="2:6">
      <c r="B716" t="s">
        <v>456</v>
      </c>
      <c r="C716"/>
      <c r="D716"/>
      <c r="E716"/>
      <c r="F716">
        <v>101.564</v>
      </c>
    </row>
    <row r="717" spans="3:6">
      <c r="C717" t="s">
        <v>457</v>
      </c>
      <c r="D717"/>
      <c r="E717"/>
      <c r="F717">
        <v>66.284</v>
      </c>
    </row>
    <row r="718" spans="4:6">
      <c r="D718" t="s">
        <v>132</v>
      </c>
      <c r="F718">
        <v>66.284</v>
      </c>
    </row>
    <row r="719" spans="5:6">
      <c r="E719">
        <v>75220</v>
      </c>
      <c r="F719">
        <v>66.284</v>
      </c>
    </row>
    <row r="720" spans="3:6">
      <c r="C720" t="s">
        <v>135</v>
      </c>
      <c r="D720"/>
      <c r="F720">
        <v>20.04</v>
      </c>
    </row>
    <row r="721" spans="4:6">
      <c r="D721" t="s">
        <v>136</v>
      </c>
      <c r="E721"/>
      <c r="F721">
        <v>20.04</v>
      </c>
    </row>
    <row r="722" spans="5:6">
      <c r="E722">
        <v>90032</v>
      </c>
      <c r="F722">
        <v>20.04</v>
      </c>
    </row>
    <row r="723" spans="3:6">
      <c r="C723" t="s">
        <v>188</v>
      </c>
      <c r="D723"/>
      <c r="F723">
        <v>15.24</v>
      </c>
    </row>
    <row r="724" spans="4:6">
      <c r="D724" t="s">
        <v>136</v>
      </c>
      <c r="E724"/>
      <c r="F724">
        <v>15.24</v>
      </c>
    </row>
    <row r="725" spans="5:6">
      <c r="E725">
        <v>94122</v>
      </c>
      <c r="F725">
        <v>15.24</v>
      </c>
    </row>
    <row r="726" spans="1:6">
      <c r="A726" t="s">
        <v>458</v>
      </c>
      <c r="B726"/>
      <c r="C726"/>
      <c r="D726"/>
      <c r="F726">
        <v>1086.728</v>
      </c>
    </row>
    <row r="727" spans="2:6">
      <c r="B727" t="s">
        <v>459</v>
      </c>
      <c r="C727"/>
      <c r="D727"/>
      <c r="E727"/>
      <c r="F727">
        <v>1086.728</v>
      </c>
    </row>
    <row r="728" spans="3:6">
      <c r="C728" t="s">
        <v>224</v>
      </c>
      <c r="F728">
        <v>641.96</v>
      </c>
    </row>
    <row r="729" spans="4:6">
      <c r="D729" t="s">
        <v>288</v>
      </c>
      <c r="F729">
        <v>641.96</v>
      </c>
    </row>
    <row r="730" spans="5:6">
      <c r="E730">
        <v>22204</v>
      </c>
      <c r="F730">
        <v>641.96</v>
      </c>
    </row>
    <row r="731" spans="3:6">
      <c r="C731" t="s">
        <v>460</v>
      </c>
      <c r="D731"/>
      <c r="F731">
        <v>444.768</v>
      </c>
    </row>
    <row r="732" spans="4:6">
      <c r="D732" t="s">
        <v>136</v>
      </c>
      <c r="E732"/>
      <c r="F732">
        <v>444.768</v>
      </c>
    </row>
    <row r="733" spans="5:6">
      <c r="E733">
        <v>90604</v>
      </c>
      <c r="F733">
        <v>444.768</v>
      </c>
    </row>
    <row r="734" spans="1:6">
      <c r="A734" t="s">
        <v>461</v>
      </c>
      <c r="B734"/>
      <c r="C734"/>
      <c r="F734">
        <v>16.72</v>
      </c>
    </row>
    <row r="735" spans="2:6">
      <c r="B735" t="s">
        <v>462</v>
      </c>
      <c r="C735"/>
      <c r="D735"/>
      <c r="F735">
        <v>16.72</v>
      </c>
    </row>
    <row r="736" spans="3:6">
      <c r="C736" t="s">
        <v>196</v>
      </c>
      <c r="D736"/>
      <c r="F736">
        <v>9.568</v>
      </c>
    </row>
    <row r="737" spans="4:6">
      <c r="D737" t="s">
        <v>172</v>
      </c>
      <c r="E737"/>
      <c r="F737">
        <v>9.568</v>
      </c>
    </row>
    <row r="738" spans="5:6">
      <c r="E738">
        <v>33180</v>
      </c>
      <c r="F738">
        <v>9.568</v>
      </c>
    </row>
    <row r="739" spans="3:6">
      <c r="C739" t="s">
        <v>382</v>
      </c>
      <c r="D739"/>
      <c r="F739">
        <v>7.152</v>
      </c>
    </row>
    <row r="740" spans="4:6">
      <c r="D740" t="s">
        <v>138</v>
      </c>
      <c r="E740"/>
      <c r="F740">
        <v>7.152</v>
      </c>
    </row>
    <row r="741" spans="5:6">
      <c r="E741">
        <v>43055</v>
      </c>
      <c r="F741">
        <v>7.152</v>
      </c>
    </row>
    <row r="742" spans="1:6">
      <c r="A742" t="s">
        <v>463</v>
      </c>
      <c r="B742"/>
      <c r="F742">
        <v>45</v>
      </c>
    </row>
    <row r="743" spans="2:6">
      <c r="B743" t="s">
        <v>464</v>
      </c>
      <c r="C743"/>
      <c r="F743">
        <v>45</v>
      </c>
    </row>
    <row r="744" spans="3:6">
      <c r="C744" t="s">
        <v>465</v>
      </c>
      <c r="D744"/>
      <c r="F744">
        <v>45</v>
      </c>
    </row>
    <row r="745" spans="4:6">
      <c r="D745" t="s">
        <v>466</v>
      </c>
      <c r="E745"/>
      <c r="F745">
        <v>45</v>
      </c>
    </row>
    <row r="746" spans="5:6">
      <c r="E746">
        <v>19901</v>
      </c>
      <c r="F746">
        <v>45</v>
      </c>
    </row>
    <row r="747" spans="1:6">
      <c r="A747" t="s">
        <v>467</v>
      </c>
      <c r="B747"/>
      <c r="C747"/>
      <c r="F747">
        <v>159.166</v>
      </c>
    </row>
    <row r="748" spans="2:6">
      <c r="B748" t="s">
        <v>468</v>
      </c>
      <c r="C748"/>
      <c r="F748">
        <v>159.166</v>
      </c>
    </row>
    <row r="749" spans="3:6">
      <c r="C749" t="s">
        <v>211</v>
      </c>
      <c r="D749"/>
      <c r="F749">
        <v>107.982</v>
      </c>
    </row>
    <row r="750" spans="4:6">
      <c r="D750" t="s">
        <v>138</v>
      </c>
      <c r="E750"/>
      <c r="F750">
        <v>107.982</v>
      </c>
    </row>
    <row r="751" spans="5:6">
      <c r="E751">
        <v>43229</v>
      </c>
      <c r="F751">
        <v>107.982</v>
      </c>
    </row>
    <row r="752" spans="3:6">
      <c r="C752" t="s">
        <v>237</v>
      </c>
      <c r="F752">
        <v>51.184</v>
      </c>
    </row>
    <row r="753" spans="4:6">
      <c r="D753" t="s">
        <v>132</v>
      </c>
      <c r="F753">
        <v>51.184</v>
      </c>
    </row>
    <row r="754" spans="5:6">
      <c r="E754">
        <v>75701</v>
      </c>
      <c r="F754">
        <v>51.184</v>
      </c>
    </row>
    <row r="755" spans="1:6">
      <c r="A755" t="s">
        <v>469</v>
      </c>
      <c r="B755"/>
      <c r="C755"/>
      <c r="D755"/>
      <c r="E755"/>
      <c r="F755">
        <v>376.744</v>
      </c>
    </row>
    <row r="756" spans="2:6">
      <c r="B756" t="s">
        <v>470</v>
      </c>
      <c r="C756"/>
      <c r="F756">
        <v>376.744</v>
      </c>
    </row>
    <row r="757" spans="3:6">
      <c r="C757" t="s">
        <v>135</v>
      </c>
      <c r="D757"/>
      <c r="F757">
        <v>55.176</v>
      </c>
    </row>
    <row r="758" spans="4:6">
      <c r="D758" t="s">
        <v>136</v>
      </c>
      <c r="F758">
        <v>55.176</v>
      </c>
    </row>
    <row r="759" spans="5:6">
      <c r="E759">
        <v>90032</v>
      </c>
      <c r="F759">
        <v>55.176</v>
      </c>
    </row>
    <row r="760" spans="3:6">
      <c r="C760" t="s">
        <v>188</v>
      </c>
      <c r="D760"/>
      <c r="E760"/>
      <c r="F760">
        <v>321.568</v>
      </c>
    </row>
    <row r="761" spans="4:6">
      <c r="D761" t="s">
        <v>136</v>
      </c>
      <c r="E761"/>
      <c r="F761">
        <v>321.568</v>
      </c>
    </row>
    <row r="762" spans="5:6">
      <c r="E762">
        <v>94109</v>
      </c>
      <c r="F762">
        <v>321.568</v>
      </c>
    </row>
    <row r="763" spans="1:6">
      <c r="A763" t="s">
        <v>471</v>
      </c>
      <c r="B763"/>
      <c r="C763"/>
      <c r="D763"/>
      <c r="E763"/>
      <c r="F763">
        <v>17.46</v>
      </c>
    </row>
    <row r="764" spans="2:6">
      <c r="B764" t="s">
        <v>472</v>
      </c>
      <c r="C764"/>
      <c r="F764">
        <v>17.46</v>
      </c>
    </row>
    <row r="765" spans="3:6">
      <c r="C765" t="s">
        <v>167</v>
      </c>
      <c r="D765"/>
      <c r="F765">
        <v>17.46</v>
      </c>
    </row>
    <row r="766" spans="4:6">
      <c r="D766" t="s">
        <v>168</v>
      </c>
      <c r="F766">
        <v>17.46</v>
      </c>
    </row>
    <row r="767" spans="5:6">
      <c r="E767">
        <v>14609</v>
      </c>
      <c r="F767">
        <v>17.46</v>
      </c>
    </row>
    <row r="768" spans="1:6">
      <c r="A768" t="s">
        <v>473</v>
      </c>
      <c r="B768"/>
      <c r="C768"/>
      <c r="D768"/>
      <c r="E768"/>
      <c r="F768">
        <v>646.776</v>
      </c>
    </row>
    <row r="769" spans="2:6">
      <c r="B769" t="s">
        <v>474</v>
      </c>
      <c r="C769"/>
      <c r="F769">
        <v>646.776</v>
      </c>
    </row>
    <row r="770" spans="3:6">
      <c r="C770" t="s">
        <v>287</v>
      </c>
      <c r="F770">
        <v>646.776</v>
      </c>
    </row>
    <row r="771" spans="4:6">
      <c r="D771" t="s">
        <v>138</v>
      </c>
      <c r="F771">
        <v>646.776</v>
      </c>
    </row>
    <row r="772" spans="5:6">
      <c r="E772">
        <v>45503</v>
      </c>
      <c r="F772">
        <v>646.776</v>
      </c>
    </row>
    <row r="773" spans="1:6">
      <c r="A773" t="s">
        <v>475</v>
      </c>
      <c r="B773"/>
      <c r="C773"/>
      <c r="D773"/>
      <c r="E773"/>
      <c r="F773">
        <v>42.6</v>
      </c>
    </row>
    <row r="774" spans="2:6">
      <c r="B774" t="s">
        <v>476</v>
      </c>
      <c r="C774"/>
      <c r="F774">
        <v>42.6</v>
      </c>
    </row>
    <row r="775" spans="3:6">
      <c r="C775" t="s">
        <v>188</v>
      </c>
      <c r="D775"/>
      <c r="F775">
        <v>42.6</v>
      </c>
    </row>
    <row r="776" spans="4:6">
      <c r="D776" t="s">
        <v>136</v>
      </c>
      <c r="E776"/>
      <c r="F776">
        <v>42.6</v>
      </c>
    </row>
    <row r="777" spans="5:6">
      <c r="E777">
        <v>94110</v>
      </c>
      <c r="F777">
        <v>42.6</v>
      </c>
    </row>
    <row r="778" spans="1:6">
      <c r="A778" t="s">
        <v>477</v>
      </c>
      <c r="B778"/>
      <c r="C778"/>
      <c r="F778">
        <v>76.12</v>
      </c>
    </row>
    <row r="779" spans="2:6">
      <c r="B779" t="s">
        <v>478</v>
      </c>
      <c r="C779"/>
      <c r="D779"/>
      <c r="F779">
        <v>76.12</v>
      </c>
    </row>
    <row r="780" spans="3:6">
      <c r="C780" t="s">
        <v>431</v>
      </c>
      <c r="D780"/>
      <c r="F780">
        <v>76.12</v>
      </c>
    </row>
    <row r="781" spans="4:6">
      <c r="D781" t="s">
        <v>136</v>
      </c>
      <c r="E781"/>
      <c r="F781">
        <v>76.12</v>
      </c>
    </row>
    <row r="782" spans="5:6">
      <c r="E782">
        <v>92024</v>
      </c>
      <c r="F782">
        <v>76.12</v>
      </c>
    </row>
    <row r="783" spans="1:6">
      <c r="A783" t="s">
        <v>479</v>
      </c>
      <c r="B783"/>
      <c r="C783"/>
      <c r="D783"/>
      <c r="F783">
        <v>126.3</v>
      </c>
    </row>
    <row r="784" spans="2:6">
      <c r="B784" t="s">
        <v>480</v>
      </c>
      <c r="C784"/>
      <c r="F784">
        <v>126.3</v>
      </c>
    </row>
    <row r="785" spans="3:6">
      <c r="C785" t="s">
        <v>481</v>
      </c>
      <c r="D785"/>
      <c r="F785">
        <v>126.3</v>
      </c>
    </row>
    <row r="786" spans="4:6">
      <c r="D786" t="s">
        <v>482</v>
      </c>
      <c r="E786"/>
      <c r="F786">
        <v>126.3</v>
      </c>
    </row>
    <row r="787" spans="5:6">
      <c r="E787">
        <v>64118</v>
      </c>
      <c r="F787">
        <v>126.3</v>
      </c>
    </row>
    <row r="788" spans="1:6">
      <c r="A788" t="s">
        <v>483</v>
      </c>
      <c r="B788"/>
      <c r="C788"/>
      <c r="F788">
        <v>348.928</v>
      </c>
    </row>
    <row r="789" spans="2:6">
      <c r="B789" t="s">
        <v>484</v>
      </c>
      <c r="C789"/>
      <c r="D789"/>
      <c r="F789">
        <v>348.928</v>
      </c>
    </row>
    <row r="790" spans="3:6">
      <c r="C790" t="s">
        <v>251</v>
      </c>
      <c r="D790"/>
      <c r="F790">
        <v>348.928</v>
      </c>
    </row>
    <row r="791" spans="4:6">
      <c r="D791" t="s">
        <v>136</v>
      </c>
      <c r="E791"/>
      <c r="F791">
        <v>348.928</v>
      </c>
    </row>
    <row r="792" spans="5:6">
      <c r="E792">
        <v>93534</v>
      </c>
      <c r="F792">
        <v>348.928</v>
      </c>
    </row>
    <row r="793" spans="1:6">
      <c r="A793" t="s">
        <v>485</v>
      </c>
      <c r="B793"/>
      <c r="C793"/>
      <c r="D793"/>
      <c r="F793">
        <v>21.744</v>
      </c>
    </row>
    <row r="794" spans="2:6">
      <c r="B794" t="s">
        <v>486</v>
      </c>
      <c r="C794"/>
      <c r="F794">
        <v>21.744</v>
      </c>
    </row>
    <row r="795" spans="3:6">
      <c r="C795" t="s">
        <v>487</v>
      </c>
      <c r="D795"/>
      <c r="F795">
        <v>21.744</v>
      </c>
    </row>
    <row r="796" spans="4:6">
      <c r="D796" t="s">
        <v>138</v>
      </c>
      <c r="E796"/>
      <c r="F796">
        <v>21.744</v>
      </c>
    </row>
    <row r="797" spans="5:6">
      <c r="E797">
        <v>44312</v>
      </c>
      <c r="F797">
        <v>21.744</v>
      </c>
    </row>
    <row r="798" spans="1:6">
      <c r="A798" t="s">
        <v>488</v>
      </c>
      <c r="B798"/>
      <c r="C798"/>
      <c r="F798">
        <v>479.97</v>
      </c>
    </row>
    <row r="799" spans="2:6">
      <c r="B799" t="s">
        <v>489</v>
      </c>
      <c r="C799"/>
      <c r="D799"/>
      <c r="F799">
        <v>479.97</v>
      </c>
    </row>
    <row r="800" spans="3:6">
      <c r="C800" t="s">
        <v>490</v>
      </c>
      <c r="D800"/>
      <c r="F800">
        <v>479.97</v>
      </c>
    </row>
    <row r="801" spans="4:6">
      <c r="D801" t="s">
        <v>491</v>
      </c>
      <c r="E801"/>
      <c r="F801">
        <v>479.97</v>
      </c>
    </row>
    <row r="802" spans="5:6">
      <c r="E802">
        <v>39212</v>
      </c>
      <c r="F802">
        <v>479.97</v>
      </c>
    </row>
    <row r="803" spans="1:6">
      <c r="A803" t="s">
        <v>492</v>
      </c>
      <c r="B803"/>
      <c r="C803"/>
      <c r="D803"/>
      <c r="F803">
        <v>105.42</v>
      </c>
    </row>
    <row r="804" spans="2:6">
      <c r="B804" t="s">
        <v>493</v>
      </c>
      <c r="C804"/>
      <c r="F804">
        <v>105.42</v>
      </c>
    </row>
    <row r="805" spans="3:6">
      <c r="C805" t="s">
        <v>494</v>
      </c>
      <c r="D805"/>
      <c r="F805">
        <v>105.42</v>
      </c>
    </row>
    <row r="806" spans="4:6">
      <c r="D806" t="s">
        <v>495</v>
      </c>
      <c r="E806"/>
      <c r="F806">
        <v>105.42</v>
      </c>
    </row>
    <row r="807" spans="5:6">
      <c r="E807">
        <v>72701</v>
      </c>
      <c r="F807">
        <v>105.42</v>
      </c>
    </row>
    <row r="808" spans="1:6">
      <c r="A808" t="s">
        <v>496</v>
      </c>
      <c r="B808"/>
      <c r="C808"/>
      <c r="F808">
        <v>18.882</v>
      </c>
    </row>
    <row r="809" spans="2:6">
      <c r="B809" t="s">
        <v>497</v>
      </c>
      <c r="C809"/>
      <c r="D809"/>
      <c r="F809">
        <v>18.882</v>
      </c>
    </row>
    <row r="810" spans="3:6">
      <c r="C810" t="s">
        <v>329</v>
      </c>
      <c r="D810"/>
      <c r="F810">
        <v>18.882</v>
      </c>
    </row>
    <row r="811" spans="4:6">
      <c r="D811" t="s">
        <v>217</v>
      </c>
      <c r="E811"/>
      <c r="F811">
        <v>18.882</v>
      </c>
    </row>
    <row r="812" spans="5:6">
      <c r="E812">
        <v>80013</v>
      </c>
      <c r="F812">
        <v>18.882</v>
      </c>
    </row>
    <row r="813" spans="1:1">
      <c r="A813" t="s">
        <v>498</v>
      </c>
    </row>
    <row r="814" spans="2:2">
      <c r="B814" t="s">
        <v>499</v>
      </c>
    </row>
    <row r="815" spans="3:3">
      <c r="C815" t="s">
        <v>182</v>
      </c>
    </row>
    <row r="816" spans="4:4">
      <c r="D816" t="s">
        <v>183</v>
      </c>
    </row>
    <row r="817" spans="5:5">
      <c r="E817">
        <v>60610</v>
      </c>
    </row>
    <row r="818" spans="1:6">
      <c r="A818" t="s">
        <v>500</v>
      </c>
      <c r="B818"/>
      <c r="C818"/>
      <c r="D818"/>
      <c r="F818">
        <v>36.336</v>
      </c>
    </row>
    <row r="819" spans="2:6">
      <c r="B819" t="s">
        <v>501</v>
      </c>
      <c r="C819"/>
      <c r="D819"/>
      <c r="E819"/>
      <c r="F819">
        <v>36.336</v>
      </c>
    </row>
    <row r="820" spans="3:6">
      <c r="C820" t="s">
        <v>175</v>
      </c>
      <c r="F820">
        <v>36.336</v>
      </c>
    </row>
    <row r="821" spans="4:6">
      <c r="D821" t="s">
        <v>176</v>
      </c>
      <c r="F821">
        <v>36.336</v>
      </c>
    </row>
    <row r="822" spans="5:6">
      <c r="E822">
        <v>19134</v>
      </c>
      <c r="F822">
        <v>36.336</v>
      </c>
    </row>
    <row r="823" spans="1:6">
      <c r="A823" t="s">
        <v>502</v>
      </c>
      <c r="B823"/>
      <c r="C823"/>
      <c r="D823"/>
      <c r="F823">
        <v>27.68</v>
      </c>
    </row>
    <row r="824" spans="2:6">
      <c r="B824" t="s">
        <v>503</v>
      </c>
      <c r="C824"/>
      <c r="D824"/>
      <c r="E824"/>
      <c r="F824">
        <v>27.68</v>
      </c>
    </row>
    <row r="825" spans="3:6">
      <c r="C825" t="s">
        <v>184</v>
      </c>
      <c r="D825"/>
      <c r="E825"/>
      <c r="F825">
        <v>27.68</v>
      </c>
    </row>
    <row r="826" spans="4:6">
      <c r="D826" t="s">
        <v>185</v>
      </c>
      <c r="F826">
        <v>27.68</v>
      </c>
    </row>
    <row r="827" spans="5:6">
      <c r="E827">
        <v>98115</v>
      </c>
      <c r="F827">
        <v>27.68</v>
      </c>
    </row>
    <row r="828" spans="1:6">
      <c r="A828" t="s">
        <v>504</v>
      </c>
      <c r="B828"/>
      <c r="C828"/>
      <c r="D828"/>
      <c r="F828">
        <v>4.812</v>
      </c>
    </row>
    <row r="829" spans="2:6">
      <c r="B829" t="s">
        <v>505</v>
      </c>
      <c r="C829"/>
      <c r="D829"/>
      <c r="E829"/>
      <c r="F829">
        <v>4.812</v>
      </c>
    </row>
    <row r="830" spans="3:6">
      <c r="C830" t="s">
        <v>408</v>
      </c>
      <c r="F830">
        <v>4.812</v>
      </c>
    </row>
    <row r="831" spans="4:6">
      <c r="D831" t="s">
        <v>172</v>
      </c>
      <c r="F831">
        <v>4.812</v>
      </c>
    </row>
    <row r="832" spans="5:6">
      <c r="E832">
        <v>32216</v>
      </c>
      <c r="F832">
        <v>4.812</v>
      </c>
    </row>
    <row r="833" spans="1:6">
      <c r="A833" t="s">
        <v>506</v>
      </c>
      <c r="B833"/>
      <c r="C833"/>
      <c r="F833">
        <v>295.4</v>
      </c>
    </row>
    <row r="834" spans="2:6">
      <c r="B834" t="s">
        <v>507</v>
      </c>
      <c r="C834"/>
      <c r="F834">
        <v>295.4</v>
      </c>
    </row>
    <row r="835" spans="3:6">
      <c r="C835" t="s">
        <v>204</v>
      </c>
      <c r="D835"/>
      <c r="F835">
        <v>295.4</v>
      </c>
    </row>
    <row r="836" spans="4:6">
      <c r="D836" t="s">
        <v>168</v>
      </c>
      <c r="F836">
        <v>295.4</v>
      </c>
    </row>
    <row r="837" spans="5:6">
      <c r="E837">
        <v>10035</v>
      </c>
      <c r="F837">
        <v>295.4</v>
      </c>
    </row>
    <row r="838" spans="1:6">
      <c r="A838" t="s">
        <v>508</v>
      </c>
      <c r="B838"/>
      <c r="C838"/>
      <c r="F838">
        <v>108.208</v>
      </c>
    </row>
    <row r="839" spans="2:6">
      <c r="B839" t="s">
        <v>509</v>
      </c>
      <c r="C839"/>
      <c r="D839"/>
      <c r="F839">
        <v>108.208</v>
      </c>
    </row>
    <row r="840" spans="3:6">
      <c r="C840" t="s">
        <v>510</v>
      </c>
      <c r="F840">
        <v>4.608</v>
      </c>
    </row>
    <row r="841" spans="4:6">
      <c r="D841" t="s">
        <v>172</v>
      </c>
      <c r="F841">
        <v>4.608</v>
      </c>
    </row>
    <row r="842" spans="5:6">
      <c r="E842">
        <v>33433</v>
      </c>
      <c r="F842">
        <v>4.608</v>
      </c>
    </row>
    <row r="843" spans="3:6">
      <c r="C843" t="s">
        <v>162</v>
      </c>
      <c r="D843"/>
      <c r="E843"/>
      <c r="F843">
        <v>103.6</v>
      </c>
    </row>
    <row r="844" spans="4:6">
      <c r="D844" t="s">
        <v>163</v>
      </c>
      <c r="F844">
        <v>103.6</v>
      </c>
    </row>
    <row r="845" spans="5:6">
      <c r="E845">
        <v>48227</v>
      </c>
      <c r="F845">
        <v>103.6</v>
      </c>
    </row>
    <row r="846" spans="1:6">
      <c r="A846" t="s">
        <v>511</v>
      </c>
      <c r="F846">
        <v>89.264</v>
      </c>
    </row>
    <row r="847" spans="2:6">
      <c r="B847" t="s">
        <v>512</v>
      </c>
      <c r="F847">
        <v>89.264</v>
      </c>
    </row>
    <row r="848" spans="3:6">
      <c r="C848" t="s">
        <v>513</v>
      </c>
      <c r="F848">
        <v>9.344</v>
      </c>
    </row>
    <row r="849" spans="4:6">
      <c r="D849" t="s">
        <v>132</v>
      </c>
      <c r="F849">
        <v>9.344</v>
      </c>
    </row>
    <row r="850" spans="5:6">
      <c r="E850">
        <v>78041</v>
      </c>
      <c r="F850">
        <v>9.344</v>
      </c>
    </row>
    <row r="851" spans="3:6">
      <c r="C851" t="s">
        <v>135</v>
      </c>
      <c r="D851"/>
      <c r="F851">
        <v>79.92</v>
      </c>
    </row>
    <row r="852" spans="4:6">
      <c r="D852" t="s">
        <v>136</v>
      </c>
      <c r="E852"/>
      <c r="F852">
        <v>79.92</v>
      </c>
    </row>
    <row r="853" spans="5:6">
      <c r="E853">
        <v>90036</v>
      </c>
      <c r="F853">
        <v>79.92</v>
      </c>
    </row>
    <row r="854" spans="1:6">
      <c r="A854" t="s">
        <v>514</v>
      </c>
      <c r="B854"/>
      <c r="C854"/>
      <c r="D854"/>
      <c r="F854">
        <v>7.08</v>
      </c>
    </row>
    <row r="855" spans="2:6">
      <c r="B855" t="s">
        <v>515</v>
      </c>
      <c r="C855"/>
      <c r="D855"/>
      <c r="E855"/>
      <c r="F855">
        <v>7.08</v>
      </c>
    </row>
    <row r="856" spans="3:6">
      <c r="C856" t="s">
        <v>516</v>
      </c>
      <c r="F856">
        <v>7.08</v>
      </c>
    </row>
    <row r="857" spans="4:6">
      <c r="D857" t="s">
        <v>122</v>
      </c>
      <c r="F857">
        <v>7.08</v>
      </c>
    </row>
    <row r="858" spans="5:6">
      <c r="E858">
        <v>85254</v>
      </c>
      <c r="F858">
        <v>7.08</v>
      </c>
    </row>
    <row r="859" spans="1:6">
      <c r="A859" t="s">
        <v>517</v>
      </c>
      <c r="B859"/>
      <c r="C859"/>
      <c r="D859"/>
      <c r="F859">
        <v>23.36</v>
      </c>
    </row>
    <row r="860" spans="2:6">
      <c r="B860" t="s">
        <v>518</v>
      </c>
      <c r="C860"/>
      <c r="D860"/>
      <c r="E860"/>
      <c r="F860">
        <v>23.36</v>
      </c>
    </row>
    <row r="861" spans="3:6">
      <c r="C861" t="s">
        <v>204</v>
      </c>
      <c r="D861"/>
      <c r="E861"/>
      <c r="F861">
        <v>23.36</v>
      </c>
    </row>
    <row r="862" spans="4:6">
      <c r="D862" t="s">
        <v>168</v>
      </c>
      <c r="F862">
        <v>23.36</v>
      </c>
    </row>
    <row r="863" spans="5:6">
      <c r="E863">
        <v>10009</v>
      </c>
      <c r="F863">
        <v>23.36</v>
      </c>
    </row>
    <row r="864" spans="1:6">
      <c r="A864" t="s">
        <v>519</v>
      </c>
      <c r="B864"/>
      <c r="C864"/>
      <c r="D864"/>
      <c r="F864">
        <v>1613.958</v>
      </c>
    </row>
    <row r="865" spans="2:6">
      <c r="B865" t="s">
        <v>520</v>
      </c>
      <c r="C865"/>
      <c r="D865"/>
      <c r="E865"/>
      <c r="F865">
        <v>1613.958</v>
      </c>
    </row>
    <row r="866" spans="3:6">
      <c r="C866" t="s">
        <v>521</v>
      </c>
      <c r="F866">
        <v>747.558</v>
      </c>
    </row>
    <row r="867" spans="4:6">
      <c r="D867" t="s">
        <v>183</v>
      </c>
      <c r="F867">
        <v>747.558</v>
      </c>
    </row>
    <row r="868" spans="5:6">
      <c r="E868">
        <v>62521</v>
      </c>
      <c r="F868">
        <v>747.558</v>
      </c>
    </row>
    <row r="869" spans="3:6">
      <c r="C869" t="s">
        <v>490</v>
      </c>
      <c r="D869"/>
      <c r="F869">
        <v>866.4</v>
      </c>
    </row>
    <row r="870" spans="4:6">
      <c r="D870" t="s">
        <v>491</v>
      </c>
      <c r="E870"/>
      <c r="F870">
        <v>866.4</v>
      </c>
    </row>
    <row r="871" spans="5:6">
      <c r="E871">
        <v>39212</v>
      </c>
      <c r="F871">
        <v>866.4</v>
      </c>
    </row>
    <row r="872" spans="1:6">
      <c r="A872" t="s">
        <v>522</v>
      </c>
      <c r="B872"/>
      <c r="C872"/>
      <c r="F872">
        <v>2.624</v>
      </c>
    </row>
    <row r="873" spans="2:6">
      <c r="B873" t="s">
        <v>523</v>
      </c>
      <c r="C873"/>
      <c r="D873"/>
      <c r="F873">
        <v>2.624</v>
      </c>
    </row>
    <row r="874" spans="3:6">
      <c r="C874" t="s">
        <v>149</v>
      </c>
      <c r="D874"/>
      <c r="F874">
        <v>2.624</v>
      </c>
    </row>
    <row r="875" spans="4:6">
      <c r="D875" t="s">
        <v>138</v>
      </c>
      <c r="E875"/>
      <c r="F875">
        <v>2.624</v>
      </c>
    </row>
    <row r="876" spans="5:6">
      <c r="E876">
        <v>45231</v>
      </c>
      <c r="F876">
        <v>2.624</v>
      </c>
    </row>
    <row r="877" spans="1:6">
      <c r="A877" t="s">
        <v>524</v>
      </c>
      <c r="B877"/>
      <c r="C877"/>
      <c r="D877"/>
      <c r="F877">
        <v>104.01</v>
      </c>
    </row>
    <row r="878" spans="2:6">
      <c r="B878" t="s">
        <v>525</v>
      </c>
      <c r="C878"/>
      <c r="F878">
        <v>104.01</v>
      </c>
    </row>
    <row r="879" spans="3:6">
      <c r="C879" t="s">
        <v>526</v>
      </c>
      <c r="D879"/>
      <c r="F879">
        <v>104.01</v>
      </c>
    </row>
    <row r="880" spans="4:6">
      <c r="D880" t="s">
        <v>288</v>
      </c>
      <c r="E880"/>
      <c r="F880">
        <v>104.01</v>
      </c>
    </row>
    <row r="881" spans="5:6">
      <c r="E881">
        <v>22980</v>
      </c>
      <c r="F881">
        <v>104.01</v>
      </c>
    </row>
    <row r="882" spans="1:6">
      <c r="A882" t="s">
        <v>527</v>
      </c>
      <c r="B882"/>
      <c r="C882"/>
      <c r="F882">
        <v>14.62</v>
      </c>
    </row>
    <row r="883" spans="2:6">
      <c r="B883" t="s">
        <v>528</v>
      </c>
      <c r="C883"/>
      <c r="F883">
        <v>14.62</v>
      </c>
    </row>
    <row r="884" spans="3:6">
      <c r="C884" t="s">
        <v>529</v>
      </c>
      <c r="D884"/>
      <c r="F884">
        <v>14.62</v>
      </c>
    </row>
    <row r="885" spans="4:6">
      <c r="D885" t="s">
        <v>530</v>
      </c>
      <c r="E885"/>
      <c r="F885">
        <v>14.62</v>
      </c>
    </row>
    <row r="886" spans="5:6">
      <c r="E886">
        <v>73034</v>
      </c>
      <c r="F886">
        <v>14.62</v>
      </c>
    </row>
    <row r="887" spans="1:6">
      <c r="A887" t="s">
        <v>531</v>
      </c>
      <c r="B887"/>
      <c r="C887"/>
      <c r="F887">
        <v>429.6</v>
      </c>
    </row>
    <row r="888" spans="2:6">
      <c r="B888" t="s">
        <v>532</v>
      </c>
      <c r="C888"/>
      <c r="F888">
        <v>429.6</v>
      </c>
    </row>
    <row r="889" spans="3:6">
      <c r="C889" t="s">
        <v>175</v>
      </c>
      <c r="D889"/>
      <c r="F889">
        <v>429.6</v>
      </c>
    </row>
    <row r="890" spans="4:6">
      <c r="D890" t="s">
        <v>176</v>
      </c>
      <c r="E890"/>
      <c r="F890">
        <v>429.6</v>
      </c>
    </row>
    <row r="891" spans="5:6">
      <c r="E891">
        <v>19140</v>
      </c>
      <c r="F891">
        <v>429.6</v>
      </c>
    </row>
    <row r="892" spans="1:6">
      <c r="A892" t="s">
        <v>533</v>
      </c>
      <c r="B892"/>
      <c r="C892"/>
      <c r="F892">
        <v>104.46</v>
      </c>
    </row>
    <row r="893" spans="2:6">
      <c r="B893" t="s">
        <v>534</v>
      </c>
      <c r="C893"/>
      <c r="D893"/>
      <c r="F893">
        <v>104.46</v>
      </c>
    </row>
    <row r="894" spans="3:6">
      <c r="C894" t="s">
        <v>135</v>
      </c>
      <c r="D894"/>
      <c r="F894">
        <v>20.7</v>
      </c>
    </row>
    <row r="895" spans="4:6">
      <c r="D895" t="s">
        <v>136</v>
      </c>
      <c r="E895"/>
      <c r="F895">
        <v>20.7</v>
      </c>
    </row>
    <row r="896" spans="5:6">
      <c r="E896">
        <v>90045</v>
      </c>
      <c r="F896">
        <v>20.7</v>
      </c>
    </row>
    <row r="897" spans="3:6">
      <c r="C897" t="s">
        <v>431</v>
      </c>
      <c r="D897"/>
      <c r="F897">
        <v>83.76</v>
      </c>
    </row>
    <row r="898" spans="4:6">
      <c r="D898" t="s">
        <v>136</v>
      </c>
      <c r="F898">
        <v>83.76</v>
      </c>
    </row>
    <row r="899" spans="5:6">
      <c r="E899">
        <v>92105</v>
      </c>
      <c r="F899">
        <v>83.76</v>
      </c>
    </row>
    <row r="900" spans="1:6">
      <c r="A900" t="s">
        <v>535</v>
      </c>
      <c r="F900">
        <v>11.992</v>
      </c>
    </row>
    <row r="901" spans="2:6">
      <c r="B901" t="s">
        <v>536</v>
      </c>
      <c r="F901">
        <v>11.992</v>
      </c>
    </row>
    <row r="902" spans="3:6">
      <c r="C902" t="s">
        <v>537</v>
      </c>
      <c r="F902">
        <v>11.992</v>
      </c>
    </row>
    <row r="903" spans="4:6">
      <c r="D903" t="s">
        <v>183</v>
      </c>
      <c r="F903">
        <v>11.992</v>
      </c>
    </row>
    <row r="904" spans="5:6">
      <c r="E904">
        <v>60201</v>
      </c>
      <c r="F904">
        <v>11.992</v>
      </c>
    </row>
    <row r="905" spans="1:6">
      <c r="A905" t="s">
        <v>538</v>
      </c>
      <c r="B905"/>
      <c r="C905"/>
      <c r="D905"/>
      <c r="E905"/>
      <c r="F905">
        <v>390.008</v>
      </c>
    </row>
    <row r="906" spans="2:6">
      <c r="B906" t="s">
        <v>539</v>
      </c>
      <c r="C906"/>
      <c r="F906">
        <v>390.008</v>
      </c>
    </row>
    <row r="907" spans="3:6">
      <c r="C907" t="s">
        <v>135</v>
      </c>
      <c r="D907"/>
      <c r="F907">
        <v>383.8</v>
      </c>
    </row>
    <row r="908" spans="4:6">
      <c r="D908" t="s">
        <v>136</v>
      </c>
      <c r="F908">
        <v>383.8</v>
      </c>
    </row>
    <row r="909" spans="5:6">
      <c r="E909">
        <v>90004</v>
      </c>
      <c r="F909">
        <v>383.8</v>
      </c>
    </row>
    <row r="910" spans="3:6">
      <c r="C910" t="s">
        <v>175</v>
      </c>
      <c r="D910"/>
      <c r="E910"/>
      <c r="F910">
        <v>6.208</v>
      </c>
    </row>
    <row r="911" spans="4:6">
      <c r="D911" t="s">
        <v>176</v>
      </c>
      <c r="E911"/>
      <c r="F911">
        <v>6.208</v>
      </c>
    </row>
    <row r="912" spans="5:6">
      <c r="E912">
        <v>19134</v>
      </c>
      <c r="F912">
        <v>6.208</v>
      </c>
    </row>
    <row r="913" spans="1:6">
      <c r="A913" t="s">
        <v>540</v>
      </c>
      <c r="B913"/>
      <c r="C913"/>
      <c r="D913"/>
      <c r="F913">
        <v>772.95</v>
      </c>
    </row>
    <row r="914" spans="2:6">
      <c r="B914" t="s">
        <v>541</v>
      </c>
      <c r="C914"/>
      <c r="D914"/>
      <c r="F914">
        <v>772.95</v>
      </c>
    </row>
    <row r="915" spans="3:6">
      <c r="C915" t="s">
        <v>542</v>
      </c>
      <c r="D915"/>
      <c r="E915"/>
      <c r="F915">
        <v>617.7</v>
      </c>
    </row>
    <row r="916" spans="4:6">
      <c r="D916" t="s">
        <v>183</v>
      </c>
      <c r="E916"/>
      <c r="F916">
        <v>617.7</v>
      </c>
    </row>
    <row r="917" spans="5:6">
      <c r="E917">
        <v>61701</v>
      </c>
      <c r="F917">
        <v>617.7</v>
      </c>
    </row>
    <row r="918" spans="3:6">
      <c r="C918" t="s">
        <v>543</v>
      </c>
      <c r="D918"/>
      <c r="E918"/>
      <c r="F918">
        <v>155.25</v>
      </c>
    </row>
    <row r="919" spans="4:6">
      <c r="D919" t="s">
        <v>185</v>
      </c>
      <c r="E919"/>
      <c r="F919">
        <v>155.25</v>
      </c>
    </row>
    <row r="920" spans="5:6">
      <c r="E920">
        <v>98502</v>
      </c>
      <c r="F920">
        <v>155.25</v>
      </c>
    </row>
    <row r="921" spans="1:6">
      <c r="A921" t="s">
        <v>544</v>
      </c>
      <c r="B921"/>
      <c r="C921"/>
      <c r="D921"/>
      <c r="E921"/>
      <c r="F921">
        <v>67.8</v>
      </c>
    </row>
    <row r="922" spans="2:6">
      <c r="B922" t="s">
        <v>545</v>
      </c>
      <c r="C922"/>
      <c r="F922">
        <v>67.8</v>
      </c>
    </row>
    <row r="923" spans="3:6">
      <c r="C923" t="s">
        <v>188</v>
      </c>
      <c r="D923"/>
      <c r="F923">
        <v>67.8</v>
      </c>
    </row>
    <row r="924" spans="4:6">
      <c r="D924" t="s">
        <v>136</v>
      </c>
      <c r="E924"/>
      <c r="F924">
        <v>67.8</v>
      </c>
    </row>
    <row r="925" spans="5:6">
      <c r="E925">
        <v>94110</v>
      </c>
      <c r="F925">
        <v>67.8</v>
      </c>
    </row>
    <row r="926" spans="1:6">
      <c r="A926" t="s">
        <v>546</v>
      </c>
      <c r="B926"/>
      <c r="C926"/>
      <c r="F926">
        <v>85.662</v>
      </c>
    </row>
    <row r="927" spans="2:6">
      <c r="B927" t="s">
        <v>547</v>
      </c>
      <c r="C927"/>
      <c r="D927"/>
      <c r="F927">
        <v>85.662</v>
      </c>
    </row>
    <row r="928" spans="3:6">
      <c r="C928" t="s">
        <v>548</v>
      </c>
      <c r="D928"/>
      <c r="F928">
        <v>58.112</v>
      </c>
    </row>
    <row r="929" spans="4:6">
      <c r="D929" t="s">
        <v>132</v>
      </c>
      <c r="E929"/>
      <c r="F929">
        <v>58.112</v>
      </c>
    </row>
    <row r="930" spans="5:6">
      <c r="E930">
        <v>76106</v>
      </c>
      <c r="F930">
        <v>58.112</v>
      </c>
    </row>
    <row r="931" spans="3:6">
      <c r="C931" t="s">
        <v>549</v>
      </c>
      <c r="F931">
        <v>7.56</v>
      </c>
    </row>
    <row r="932" spans="4:6">
      <c r="D932" t="s">
        <v>550</v>
      </c>
      <c r="F932">
        <v>7.56</v>
      </c>
    </row>
    <row r="933" spans="5:6">
      <c r="E933">
        <v>7960</v>
      </c>
      <c r="F933">
        <v>7.56</v>
      </c>
    </row>
    <row r="934" spans="3:6">
      <c r="C934" t="s">
        <v>167</v>
      </c>
      <c r="D934"/>
      <c r="E934"/>
      <c r="F934">
        <v>19.99</v>
      </c>
    </row>
    <row r="935" spans="4:6">
      <c r="D935" t="s">
        <v>280</v>
      </c>
      <c r="E935"/>
      <c r="F935">
        <v>19.99</v>
      </c>
    </row>
    <row r="936" spans="5:6">
      <c r="E936">
        <v>55901</v>
      </c>
      <c r="F936">
        <v>19.99</v>
      </c>
    </row>
    <row r="937" spans="1:6">
      <c r="A937" t="s">
        <v>551</v>
      </c>
      <c r="B937"/>
      <c r="C937"/>
      <c r="D937"/>
      <c r="E937"/>
      <c r="F937">
        <v>18.28</v>
      </c>
    </row>
    <row r="938" spans="2:6">
      <c r="B938" t="s">
        <v>552</v>
      </c>
      <c r="C938"/>
      <c r="F938">
        <v>18.28</v>
      </c>
    </row>
    <row r="939" spans="3:6">
      <c r="C939" t="s">
        <v>553</v>
      </c>
      <c r="D939"/>
      <c r="E939"/>
      <c r="F939">
        <v>18.28</v>
      </c>
    </row>
    <row r="940" spans="4:6">
      <c r="D940" t="s">
        <v>136</v>
      </c>
      <c r="E940"/>
      <c r="F940">
        <v>18.28</v>
      </c>
    </row>
    <row r="941" spans="5:6">
      <c r="E941">
        <v>92704</v>
      </c>
      <c r="F941">
        <v>18.28</v>
      </c>
    </row>
    <row r="942" spans="1:6">
      <c r="A942" t="s">
        <v>554</v>
      </c>
      <c r="B942"/>
      <c r="C942"/>
      <c r="D942"/>
      <c r="F942">
        <v>678.1</v>
      </c>
    </row>
    <row r="943" spans="2:6">
      <c r="B943" t="s">
        <v>555</v>
      </c>
      <c r="C943"/>
      <c r="D943"/>
      <c r="E943"/>
      <c r="F943">
        <v>678.1</v>
      </c>
    </row>
    <row r="944" spans="3:6">
      <c r="C944" t="s">
        <v>162</v>
      </c>
      <c r="D944"/>
      <c r="E944"/>
      <c r="F944">
        <v>12.22</v>
      </c>
    </row>
    <row r="945" spans="4:6">
      <c r="D945" t="s">
        <v>163</v>
      </c>
      <c r="E945"/>
      <c r="F945">
        <v>12.22</v>
      </c>
    </row>
    <row r="946" spans="5:6">
      <c r="E946">
        <v>48227</v>
      </c>
      <c r="F946">
        <v>12.22</v>
      </c>
    </row>
    <row r="947" spans="3:6">
      <c r="C947" t="s">
        <v>556</v>
      </c>
      <c r="D947"/>
      <c r="E947"/>
      <c r="F947">
        <v>665.88</v>
      </c>
    </row>
    <row r="948" spans="4:6">
      <c r="D948" t="s">
        <v>155</v>
      </c>
      <c r="E948"/>
      <c r="F948">
        <v>665.88</v>
      </c>
    </row>
    <row r="949" spans="5:6">
      <c r="E949">
        <v>53711</v>
      </c>
      <c r="F949">
        <v>665.88</v>
      </c>
    </row>
    <row r="950" spans="1:6">
      <c r="A950" t="s">
        <v>557</v>
      </c>
      <c r="B950"/>
      <c r="C950"/>
      <c r="D950"/>
      <c r="F950">
        <v>335.648</v>
      </c>
    </row>
    <row r="951" spans="2:6">
      <c r="B951" t="s">
        <v>558</v>
      </c>
      <c r="C951"/>
      <c r="D951"/>
      <c r="E951"/>
      <c r="F951">
        <v>335.648</v>
      </c>
    </row>
    <row r="952" spans="3:6">
      <c r="C952" t="s">
        <v>394</v>
      </c>
      <c r="D952"/>
      <c r="E952"/>
      <c r="F952">
        <v>44.75</v>
      </c>
    </row>
    <row r="953" spans="4:6">
      <c r="D953" t="s">
        <v>253</v>
      </c>
      <c r="E953"/>
      <c r="F953">
        <v>44.75</v>
      </c>
    </row>
    <row r="954" spans="5:6">
      <c r="E954">
        <v>52601</v>
      </c>
      <c r="F954">
        <v>44.75</v>
      </c>
    </row>
    <row r="955" spans="3:6">
      <c r="C955" t="s">
        <v>175</v>
      </c>
      <c r="D955"/>
      <c r="E955"/>
      <c r="F955">
        <v>290.898</v>
      </c>
    </row>
    <row r="956" spans="4:6">
      <c r="D956" t="s">
        <v>176</v>
      </c>
      <c r="E956"/>
      <c r="F956">
        <v>290.898</v>
      </c>
    </row>
    <row r="957" spans="5:6">
      <c r="E957">
        <v>19143</v>
      </c>
      <c r="F957">
        <v>290.898</v>
      </c>
    </row>
    <row r="958" spans="1:6">
      <c r="A958" t="s">
        <v>559</v>
      </c>
      <c r="B958"/>
      <c r="C958"/>
      <c r="D958"/>
      <c r="F958">
        <v>837.056</v>
      </c>
    </row>
    <row r="959" spans="2:6">
      <c r="B959" t="s">
        <v>560</v>
      </c>
      <c r="C959"/>
      <c r="D959"/>
      <c r="E959"/>
      <c r="F959">
        <v>837.056</v>
      </c>
    </row>
    <row r="960" spans="3:6">
      <c r="C960" t="s">
        <v>561</v>
      </c>
      <c r="D960"/>
      <c r="E960"/>
      <c r="F960">
        <v>301.96</v>
      </c>
    </row>
    <row r="961" spans="4:6">
      <c r="D961" t="s">
        <v>562</v>
      </c>
      <c r="E961"/>
      <c r="F961">
        <v>301.96</v>
      </c>
    </row>
    <row r="962" spans="5:6">
      <c r="E962">
        <v>29203</v>
      </c>
      <c r="F962">
        <v>301.96</v>
      </c>
    </row>
    <row r="963" spans="3:6">
      <c r="C963" t="s">
        <v>204</v>
      </c>
      <c r="D963"/>
      <c r="F963">
        <v>323.136</v>
      </c>
    </row>
    <row r="964" spans="4:6">
      <c r="D964" t="s">
        <v>168</v>
      </c>
      <c r="E964"/>
      <c r="F964">
        <v>323.136</v>
      </c>
    </row>
    <row r="965" spans="5:6">
      <c r="E965">
        <v>10009</v>
      </c>
      <c r="F965">
        <v>323.136</v>
      </c>
    </row>
    <row r="966" spans="3:6">
      <c r="C966" t="s">
        <v>563</v>
      </c>
      <c r="F966">
        <v>211.96</v>
      </c>
    </row>
    <row r="967" spans="4:6">
      <c r="D967" t="s">
        <v>163</v>
      </c>
      <c r="F967">
        <v>211.96</v>
      </c>
    </row>
    <row r="968" spans="5:6">
      <c r="E968">
        <v>48185</v>
      </c>
      <c r="F968">
        <v>211.96</v>
      </c>
    </row>
    <row r="969" spans="1:6">
      <c r="A969" t="s">
        <v>564</v>
      </c>
      <c r="B969"/>
      <c r="C969"/>
      <c r="D969"/>
      <c r="E969"/>
      <c r="F969">
        <v>7.78</v>
      </c>
    </row>
    <row r="970" spans="2:6">
      <c r="B970" t="s">
        <v>565</v>
      </c>
      <c r="C970"/>
      <c r="D970"/>
      <c r="E970"/>
      <c r="F970">
        <v>7.78</v>
      </c>
    </row>
    <row r="971" spans="3:6">
      <c r="C971" t="s">
        <v>188</v>
      </c>
      <c r="D971"/>
      <c r="E971"/>
      <c r="F971">
        <v>7.78</v>
      </c>
    </row>
    <row r="972" spans="4:6">
      <c r="D972" t="s">
        <v>136</v>
      </c>
      <c r="E972"/>
      <c r="F972">
        <v>7.78</v>
      </c>
    </row>
    <row r="973" spans="5:6">
      <c r="E973">
        <v>94109</v>
      </c>
      <c r="F973">
        <v>7.78</v>
      </c>
    </row>
    <row r="974" spans="1:6">
      <c r="A974" t="s">
        <v>566</v>
      </c>
      <c r="B974"/>
      <c r="C974"/>
      <c r="D974"/>
      <c r="E974"/>
      <c r="F974">
        <v>191.984</v>
      </c>
    </row>
    <row r="975" spans="2:6">
      <c r="B975" t="s">
        <v>567</v>
      </c>
      <c r="C975"/>
      <c r="D975"/>
      <c r="E975"/>
      <c r="F975">
        <v>191.984</v>
      </c>
    </row>
    <row r="976" spans="3:6">
      <c r="C976" t="s">
        <v>204</v>
      </c>
      <c r="D976"/>
      <c r="E976"/>
      <c r="F976">
        <v>191.984</v>
      </c>
    </row>
    <row r="977" spans="4:6">
      <c r="D977" t="s">
        <v>168</v>
      </c>
      <c r="E977"/>
      <c r="F977">
        <v>191.984</v>
      </c>
    </row>
    <row r="978" spans="5:6">
      <c r="E978">
        <v>10035</v>
      </c>
      <c r="F978">
        <v>191.984</v>
      </c>
    </row>
    <row r="979" spans="1:6">
      <c r="A979" t="s">
        <v>568</v>
      </c>
      <c r="B979"/>
      <c r="C979"/>
      <c r="D979"/>
      <c r="F979">
        <v>51.828</v>
      </c>
    </row>
    <row r="980" spans="2:6">
      <c r="B980" t="s">
        <v>569</v>
      </c>
      <c r="C980"/>
      <c r="D980"/>
      <c r="E980"/>
      <c r="F980">
        <v>51.828</v>
      </c>
    </row>
    <row r="981" spans="3:6">
      <c r="C981" t="s">
        <v>216</v>
      </c>
      <c r="D981"/>
      <c r="E981"/>
      <c r="F981">
        <v>43.176</v>
      </c>
    </row>
    <row r="982" spans="4:6">
      <c r="D982" t="s">
        <v>217</v>
      </c>
      <c r="E982"/>
      <c r="F982">
        <v>43.176</v>
      </c>
    </row>
    <row r="983" spans="5:6">
      <c r="E983">
        <v>80219</v>
      </c>
      <c r="F983">
        <v>43.176</v>
      </c>
    </row>
    <row r="984" spans="3:6">
      <c r="C984" t="s">
        <v>131</v>
      </c>
      <c r="D984"/>
      <c r="F984">
        <v>8.652</v>
      </c>
    </row>
    <row r="985" spans="4:6">
      <c r="D985" t="s">
        <v>132</v>
      </c>
      <c r="E985"/>
      <c r="F985">
        <v>8.652</v>
      </c>
    </row>
    <row r="986" spans="5:6">
      <c r="E986">
        <v>77095</v>
      </c>
      <c r="F986">
        <v>8.652</v>
      </c>
    </row>
    <row r="987" spans="1:6">
      <c r="A987" t="s">
        <v>570</v>
      </c>
      <c r="B987"/>
      <c r="C987"/>
      <c r="D987"/>
      <c r="E987"/>
      <c r="F987">
        <v>484.65</v>
      </c>
    </row>
    <row r="988" spans="2:6">
      <c r="B988" t="s">
        <v>571</v>
      </c>
      <c r="C988"/>
      <c r="D988"/>
      <c r="E988"/>
      <c r="F988">
        <v>484.65</v>
      </c>
    </row>
    <row r="989" spans="3:6">
      <c r="C989" t="s">
        <v>572</v>
      </c>
      <c r="D989"/>
      <c r="E989"/>
      <c r="F989">
        <v>484.65</v>
      </c>
    </row>
    <row r="990" spans="4:6">
      <c r="D990" t="s">
        <v>136</v>
      </c>
      <c r="E990"/>
      <c r="F990">
        <v>484.65</v>
      </c>
    </row>
    <row r="991" spans="5:6">
      <c r="E991">
        <v>92563</v>
      </c>
      <c r="F991">
        <v>484.65</v>
      </c>
    </row>
    <row r="992" spans="1:6">
      <c r="A992" t="s">
        <v>573</v>
      </c>
      <c r="B992"/>
      <c r="C992"/>
      <c r="D992"/>
      <c r="F992">
        <v>59.52</v>
      </c>
    </row>
    <row r="993" spans="2:6">
      <c r="B993" t="s">
        <v>574</v>
      </c>
      <c r="C993"/>
      <c r="D993"/>
      <c r="E993"/>
      <c r="F993">
        <v>59.52</v>
      </c>
    </row>
    <row r="994" spans="3:6">
      <c r="C994" t="s">
        <v>575</v>
      </c>
      <c r="D994"/>
      <c r="E994"/>
      <c r="F994">
        <v>59.52</v>
      </c>
    </row>
    <row r="995" spans="4:6">
      <c r="D995" t="s">
        <v>168</v>
      </c>
      <c r="E995"/>
      <c r="F995">
        <v>59.52</v>
      </c>
    </row>
    <row r="996" spans="5:6">
      <c r="E996">
        <v>13021</v>
      </c>
      <c r="F996">
        <v>59.52</v>
      </c>
    </row>
    <row r="997" spans="1:6">
      <c r="A997" t="s">
        <v>576</v>
      </c>
      <c r="B997"/>
      <c r="C997"/>
      <c r="D997"/>
      <c r="F997">
        <v>61.44</v>
      </c>
    </row>
    <row r="998" spans="2:6">
      <c r="B998" t="s">
        <v>577</v>
      </c>
      <c r="C998"/>
      <c r="D998"/>
      <c r="E998"/>
      <c r="F998">
        <v>61.44</v>
      </c>
    </row>
    <row r="999" spans="3:6">
      <c r="C999" t="s">
        <v>211</v>
      </c>
      <c r="D999"/>
      <c r="E999"/>
      <c r="F999">
        <v>61.44</v>
      </c>
    </row>
    <row r="1000" spans="4:6">
      <c r="D1000" t="s">
        <v>304</v>
      </c>
      <c r="E1000"/>
      <c r="F1000">
        <v>61.44</v>
      </c>
    </row>
    <row r="1001" spans="5:6">
      <c r="E1001">
        <v>47201</v>
      </c>
      <c r="F1001">
        <v>61.44</v>
      </c>
    </row>
    <row r="1002" spans="1:6">
      <c r="A1002" t="s">
        <v>578</v>
      </c>
      <c r="B1002"/>
      <c r="C1002"/>
      <c r="D1002"/>
      <c r="F1002">
        <v>363.524</v>
      </c>
    </row>
    <row r="1003" spans="2:6">
      <c r="B1003" t="s">
        <v>579</v>
      </c>
      <c r="C1003"/>
      <c r="D1003"/>
      <c r="E1003"/>
      <c r="F1003">
        <v>363.524</v>
      </c>
    </row>
    <row r="1004" spans="3:6">
      <c r="C1004" t="s">
        <v>580</v>
      </c>
      <c r="D1004"/>
      <c r="E1004"/>
      <c r="F1004">
        <v>24.56</v>
      </c>
    </row>
    <row r="1005" spans="4:6">
      <c r="D1005" t="s">
        <v>288</v>
      </c>
      <c r="E1005"/>
      <c r="F1005">
        <v>24.56</v>
      </c>
    </row>
    <row r="1006" spans="5:6">
      <c r="E1006">
        <v>22304</v>
      </c>
      <c r="F1006">
        <v>24.56</v>
      </c>
    </row>
    <row r="1007" spans="3:6">
      <c r="C1007" t="s">
        <v>182</v>
      </c>
      <c r="D1007"/>
      <c r="F1007">
        <v>328.224</v>
      </c>
    </row>
    <row r="1008" spans="4:6">
      <c r="D1008" t="s">
        <v>183</v>
      </c>
      <c r="E1008"/>
      <c r="F1008">
        <v>328.224</v>
      </c>
    </row>
    <row r="1009" spans="5:6">
      <c r="E1009">
        <v>60610</v>
      </c>
      <c r="F1009">
        <v>328.224</v>
      </c>
    </row>
    <row r="1010" spans="3:6">
      <c r="C1010" t="s">
        <v>141</v>
      </c>
      <c r="D1010"/>
      <c r="E1010"/>
      <c r="F1010">
        <v>10.74</v>
      </c>
    </row>
    <row r="1011" spans="4:6">
      <c r="D1011" t="s">
        <v>142</v>
      </c>
      <c r="E1011"/>
      <c r="F1011">
        <v>10.74</v>
      </c>
    </row>
    <row r="1012" spans="5:6">
      <c r="E1012">
        <v>40214</v>
      </c>
      <c r="F1012">
        <v>10.74</v>
      </c>
    </row>
    <row r="1013" spans="1:6">
      <c r="A1013" t="s">
        <v>581</v>
      </c>
      <c r="B1013"/>
      <c r="C1013"/>
      <c r="F1013">
        <v>74.6</v>
      </c>
    </row>
    <row r="1014" spans="2:6">
      <c r="B1014" t="s">
        <v>582</v>
      </c>
      <c r="C1014"/>
      <c r="F1014">
        <v>74.6</v>
      </c>
    </row>
    <row r="1015" spans="3:6">
      <c r="C1015" t="s">
        <v>211</v>
      </c>
      <c r="D1015"/>
      <c r="F1015">
        <v>40.096</v>
      </c>
    </row>
    <row r="1016" spans="4:6">
      <c r="D1016" t="s">
        <v>138</v>
      </c>
      <c r="E1016"/>
      <c r="F1016">
        <v>40.096</v>
      </c>
    </row>
    <row r="1017" spans="5:6">
      <c r="E1017">
        <v>43229</v>
      </c>
      <c r="F1017">
        <v>40.096</v>
      </c>
    </row>
    <row r="1018" spans="3:6">
      <c r="C1018" t="s">
        <v>408</v>
      </c>
      <c r="F1018">
        <v>34.504</v>
      </c>
    </row>
    <row r="1019" spans="4:6">
      <c r="D1019" t="s">
        <v>172</v>
      </c>
      <c r="F1019">
        <v>34.504</v>
      </c>
    </row>
    <row r="1020" spans="5:6">
      <c r="E1020">
        <v>32216</v>
      </c>
      <c r="F1020">
        <v>34.504</v>
      </c>
    </row>
    <row r="1021" spans="1:6">
      <c r="A1021" t="s">
        <v>583</v>
      </c>
      <c r="F1021">
        <v>8.288</v>
      </c>
    </row>
    <row r="1022" spans="2:6">
      <c r="B1022" t="s">
        <v>584</v>
      </c>
      <c r="F1022">
        <v>8.288</v>
      </c>
    </row>
    <row r="1023" spans="3:6">
      <c r="C1023" t="s">
        <v>359</v>
      </c>
      <c r="F1023">
        <v>8.288</v>
      </c>
    </row>
    <row r="1024" spans="4:6">
      <c r="D1024" t="s">
        <v>360</v>
      </c>
      <c r="F1024">
        <v>8.288</v>
      </c>
    </row>
    <row r="1025" spans="5:6">
      <c r="E1025">
        <v>89115</v>
      </c>
      <c r="F1025">
        <v>8.288</v>
      </c>
    </row>
    <row r="1026" spans="1:6">
      <c r="A1026" t="s">
        <v>585</v>
      </c>
      <c r="B1026"/>
      <c r="C1026"/>
      <c r="D1026"/>
      <c r="E1026"/>
      <c r="F1026">
        <v>10.67</v>
      </c>
    </row>
    <row r="1027" spans="2:6">
      <c r="B1027" t="s">
        <v>586</v>
      </c>
      <c r="C1027"/>
      <c r="D1027"/>
      <c r="E1027"/>
      <c r="F1027">
        <v>10.67</v>
      </c>
    </row>
    <row r="1028" spans="3:6">
      <c r="C1028" t="s">
        <v>240</v>
      </c>
      <c r="D1028"/>
      <c r="E1028"/>
      <c r="F1028">
        <v>10.67</v>
      </c>
    </row>
    <row r="1029" spans="4:6">
      <c r="D1029" t="s">
        <v>142</v>
      </c>
      <c r="E1029"/>
      <c r="F1029">
        <v>10.67</v>
      </c>
    </row>
    <row r="1030" spans="5:6">
      <c r="E1030">
        <v>42420</v>
      </c>
      <c r="F1030">
        <v>10.67</v>
      </c>
    </row>
    <row r="1031" spans="1:6">
      <c r="A1031" t="s">
        <v>587</v>
      </c>
      <c r="B1031"/>
      <c r="C1031"/>
      <c r="D1031"/>
      <c r="E1031"/>
      <c r="F1031">
        <v>28.4</v>
      </c>
    </row>
    <row r="1032" spans="2:6">
      <c r="B1032" t="s">
        <v>588</v>
      </c>
      <c r="C1032"/>
      <c r="F1032">
        <v>28.4</v>
      </c>
    </row>
    <row r="1033" spans="3:6">
      <c r="C1033" t="s">
        <v>589</v>
      </c>
      <c r="D1033"/>
      <c r="F1033">
        <v>28.4</v>
      </c>
    </row>
    <row r="1034" spans="4:6">
      <c r="D1034" t="s">
        <v>590</v>
      </c>
      <c r="E1034"/>
      <c r="F1034">
        <v>28.4</v>
      </c>
    </row>
    <row r="1035" spans="5:6">
      <c r="E1035">
        <v>88220</v>
      </c>
      <c r="F1035">
        <v>28.4</v>
      </c>
    </row>
    <row r="1036" spans="1:6">
      <c r="A1036" t="s">
        <v>591</v>
      </c>
      <c r="B1036"/>
      <c r="C1036"/>
      <c r="D1036"/>
      <c r="E1036"/>
      <c r="F1036">
        <v>68.28</v>
      </c>
    </row>
    <row r="1037" spans="2:6">
      <c r="B1037" t="s">
        <v>592</v>
      </c>
      <c r="C1037"/>
      <c r="D1037"/>
      <c r="E1037"/>
      <c r="F1037">
        <v>68.28</v>
      </c>
    </row>
    <row r="1038" spans="3:6">
      <c r="C1038" t="s">
        <v>593</v>
      </c>
      <c r="D1038"/>
      <c r="E1038"/>
      <c r="F1038">
        <v>10.23</v>
      </c>
    </row>
    <row r="1039" spans="4:6">
      <c r="D1039" t="s">
        <v>136</v>
      </c>
      <c r="E1039"/>
      <c r="F1039">
        <v>10.23</v>
      </c>
    </row>
    <row r="1040" spans="5:6">
      <c r="E1040">
        <v>95123</v>
      </c>
      <c r="F1040">
        <v>10.23</v>
      </c>
    </row>
    <row r="1041" spans="3:6">
      <c r="C1041" t="s">
        <v>594</v>
      </c>
      <c r="D1041"/>
      <c r="F1041">
        <v>58.05</v>
      </c>
    </row>
    <row r="1042" spans="4:6">
      <c r="D1042" t="s">
        <v>163</v>
      </c>
      <c r="E1042"/>
      <c r="F1042">
        <v>58.05</v>
      </c>
    </row>
    <row r="1043" spans="5:6">
      <c r="E1043">
        <v>48183</v>
      </c>
      <c r="F1043">
        <v>58.05</v>
      </c>
    </row>
    <row r="1044" spans="1:6">
      <c r="A1044" t="s">
        <v>595</v>
      </c>
      <c r="B1044"/>
      <c r="C1044"/>
      <c r="F1044">
        <v>35.91</v>
      </c>
    </row>
    <row r="1045" spans="2:6">
      <c r="B1045" t="s">
        <v>596</v>
      </c>
      <c r="C1045"/>
      <c r="F1045">
        <v>35.91</v>
      </c>
    </row>
    <row r="1046" spans="3:6">
      <c r="C1046" t="s">
        <v>204</v>
      </c>
      <c r="D1046"/>
      <c r="F1046">
        <v>35.91</v>
      </c>
    </row>
    <row r="1047" spans="4:6">
      <c r="D1047" t="s">
        <v>168</v>
      </c>
      <c r="E1047"/>
      <c r="F1047">
        <v>35.91</v>
      </c>
    </row>
    <row r="1048" spans="5:6">
      <c r="E1048">
        <v>10024</v>
      </c>
      <c r="F1048">
        <v>35.91</v>
      </c>
    </row>
    <row r="1049" spans="1:6">
      <c r="A1049" t="s">
        <v>597</v>
      </c>
      <c r="B1049"/>
      <c r="F1049">
        <v>2329.81</v>
      </c>
    </row>
    <row r="1050" spans="2:6">
      <c r="B1050" t="s">
        <v>598</v>
      </c>
      <c r="C1050"/>
      <c r="F1050">
        <v>2329.81</v>
      </c>
    </row>
    <row r="1051" spans="3:6">
      <c r="C1051" t="s">
        <v>204</v>
      </c>
      <c r="D1051"/>
      <c r="F1051">
        <v>2309.65</v>
      </c>
    </row>
    <row r="1052" spans="4:6">
      <c r="D1052" t="s">
        <v>168</v>
      </c>
      <c r="E1052"/>
      <c r="F1052">
        <v>2309.65</v>
      </c>
    </row>
    <row r="1053" spans="5:6">
      <c r="E1053">
        <v>10024</v>
      </c>
      <c r="F1053">
        <v>2309.65</v>
      </c>
    </row>
    <row r="1054" spans="3:6">
      <c r="C1054" t="s">
        <v>167</v>
      </c>
      <c r="D1054"/>
      <c r="E1054"/>
      <c r="F1054">
        <v>20.16</v>
      </c>
    </row>
    <row r="1055" spans="4:6">
      <c r="D1055" t="s">
        <v>280</v>
      </c>
      <c r="E1055"/>
      <c r="F1055">
        <v>20.16</v>
      </c>
    </row>
    <row r="1056" spans="5:6">
      <c r="E1056">
        <v>55901</v>
      </c>
      <c r="F1056">
        <v>20.16</v>
      </c>
    </row>
    <row r="1057" spans="1:6">
      <c r="A1057" t="s">
        <v>599</v>
      </c>
      <c r="B1057"/>
      <c r="C1057"/>
      <c r="D1057"/>
      <c r="E1057"/>
      <c r="F1057">
        <v>12.192</v>
      </c>
    </row>
    <row r="1058" spans="2:6">
      <c r="B1058" t="s">
        <v>600</v>
      </c>
      <c r="C1058"/>
      <c r="F1058">
        <v>12.192</v>
      </c>
    </row>
    <row r="1059" spans="3:6">
      <c r="C1059" t="s">
        <v>175</v>
      </c>
      <c r="D1059"/>
      <c r="F1059">
        <v>12.192</v>
      </c>
    </row>
    <row r="1060" spans="4:6">
      <c r="D1060" t="s">
        <v>176</v>
      </c>
      <c r="E1060"/>
      <c r="F1060">
        <v>12.192</v>
      </c>
    </row>
    <row r="1061" spans="5:6">
      <c r="E1061">
        <v>19140</v>
      </c>
      <c r="F1061">
        <v>12.192</v>
      </c>
    </row>
    <row r="1062" spans="1:6">
      <c r="A1062" t="s">
        <v>601</v>
      </c>
      <c r="B1062"/>
      <c r="C1062"/>
      <c r="D1062"/>
      <c r="E1062"/>
      <c r="F1062">
        <v>979.95</v>
      </c>
    </row>
    <row r="1063" spans="2:6">
      <c r="B1063" t="s">
        <v>602</v>
      </c>
      <c r="C1063"/>
      <c r="D1063"/>
      <c r="E1063"/>
      <c r="F1063">
        <v>979.95</v>
      </c>
    </row>
    <row r="1064" spans="3:6">
      <c r="C1064" t="s">
        <v>603</v>
      </c>
      <c r="D1064"/>
      <c r="E1064"/>
      <c r="F1064">
        <v>979.95</v>
      </c>
    </row>
    <row r="1065" spans="4:6">
      <c r="D1065" t="s">
        <v>604</v>
      </c>
      <c r="E1065"/>
      <c r="F1065">
        <v>979.95</v>
      </c>
    </row>
    <row r="1066" spans="5:6">
      <c r="E1066">
        <v>36116</v>
      </c>
      <c r="F1066">
        <v>979.95</v>
      </c>
    </row>
    <row r="1067" spans="1:6">
      <c r="A1067" t="s">
        <v>605</v>
      </c>
      <c r="B1067"/>
      <c r="C1067"/>
      <c r="D1067"/>
      <c r="E1067"/>
      <c r="F1067">
        <v>189.882</v>
      </c>
    </row>
    <row r="1068" spans="2:6">
      <c r="B1068" t="s">
        <v>606</v>
      </c>
      <c r="C1068"/>
      <c r="D1068"/>
      <c r="E1068"/>
      <c r="F1068">
        <v>189.882</v>
      </c>
    </row>
    <row r="1069" spans="3:6">
      <c r="C1069" t="s">
        <v>380</v>
      </c>
      <c r="D1069"/>
      <c r="E1069"/>
      <c r="F1069">
        <v>189.882</v>
      </c>
    </row>
    <row r="1070" spans="4:6">
      <c r="D1070" t="s">
        <v>381</v>
      </c>
      <c r="E1070"/>
      <c r="F1070">
        <v>189.882</v>
      </c>
    </row>
    <row r="1071" spans="5:6">
      <c r="E1071">
        <v>38109</v>
      </c>
      <c r="F1071">
        <v>189.882</v>
      </c>
    </row>
    <row r="1072" spans="1:6">
      <c r="A1072" t="s">
        <v>607</v>
      </c>
      <c r="B1072"/>
      <c r="C1072"/>
      <c r="D1072"/>
      <c r="E1072"/>
      <c r="F1072">
        <v>30.36</v>
      </c>
    </row>
    <row r="1073" spans="2:6">
      <c r="B1073" t="s">
        <v>608</v>
      </c>
      <c r="C1073"/>
      <c r="D1073"/>
      <c r="E1073"/>
      <c r="F1073">
        <v>30.36</v>
      </c>
    </row>
    <row r="1074" spans="3:6">
      <c r="C1074" t="s">
        <v>276</v>
      </c>
      <c r="F1074">
        <v>30.36</v>
      </c>
    </row>
    <row r="1075" spans="4:6">
      <c r="D1075" t="s">
        <v>138</v>
      </c>
      <c r="F1075">
        <v>30.36</v>
      </c>
    </row>
    <row r="1076" spans="5:6">
      <c r="E1076">
        <v>44105</v>
      </c>
      <c r="F1076">
        <v>30.36</v>
      </c>
    </row>
    <row r="1077" spans="1:6">
      <c r="A1077" t="s">
        <v>609</v>
      </c>
      <c r="B1077"/>
      <c r="C1077"/>
      <c r="D1077"/>
      <c r="E1077"/>
      <c r="F1077">
        <v>3.282</v>
      </c>
    </row>
    <row r="1078" spans="2:6">
      <c r="B1078" t="s">
        <v>610</v>
      </c>
      <c r="C1078"/>
      <c r="D1078"/>
      <c r="E1078"/>
      <c r="F1078">
        <v>3.282</v>
      </c>
    </row>
    <row r="1079" spans="3:6">
      <c r="C1079" t="s">
        <v>164</v>
      </c>
      <c r="D1079"/>
      <c r="E1079"/>
      <c r="F1079">
        <v>3.282</v>
      </c>
    </row>
    <row r="1080" spans="4:6">
      <c r="D1080" t="s">
        <v>128</v>
      </c>
      <c r="F1080">
        <v>3.282</v>
      </c>
    </row>
    <row r="1081" spans="5:6">
      <c r="E1081">
        <v>28403</v>
      </c>
      <c r="F1081">
        <v>3.282</v>
      </c>
    </row>
    <row r="1082" spans="1:6">
      <c r="A1082" t="s">
        <v>611</v>
      </c>
      <c r="B1082"/>
      <c r="C1082"/>
      <c r="D1082"/>
      <c r="E1082"/>
      <c r="F1082">
        <v>2879.912</v>
      </c>
    </row>
    <row r="1083" spans="2:6">
      <c r="B1083" t="s">
        <v>612</v>
      </c>
      <c r="C1083"/>
      <c r="D1083"/>
      <c r="E1083"/>
      <c r="F1083">
        <v>2879.912</v>
      </c>
    </row>
    <row r="1084" spans="3:6">
      <c r="C1084" t="s">
        <v>182</v>
      </c>
      <c r="F1084">
        <v>2735.952</v>
      </c>
    </row>
    <row r="1085" spans="4:6">
      <c r="D1085" t="s">
        <v>183</v>
      </c>
      <c r="F1085">
        <v>2735.952</v>
      </c>
    </row>
    <row r="1086" spans="5:6">
      <c r="E1086">
        <v>60610</v>
      </c>
      <c r="F1086">
        <v>2735.952</v>
      </c>
    </row>
    <row r="1087" spans="3:6">
      <c r="C1087" t="s">
        <v>199</v>
      </c>
      <c r="D1087"/>
      <c r="E1087"/>
      <c r="F1087">
        <v>143.96</v>
      </c>
    </row>
    <row r="1088" spans="4:6">
      <c r="D1088" t="s">
        <v>288</v>
      </c>
      <c r="E1088"/>
      <c r="F1088">
        <v>143.96</v>
      </c>
    </row>
    <row r="1089" spans="5:6">
      <c r="E1089">
        <v>23223</v>
      </c>
      <c r="F1089">
        <v>143.96</v>
      </c>
    </row>
    <row r="1090" spans="1:6">
      <c r="A1090" t="s">
        <v>613</v>
      </c>
      <c r="B1090"/>
      <c r="C1090"/>
      <c r="F1090">
        <v>249.184</v>
      </c>
    </row>
    <row r="1091" spans="2:6">
      <c r="B1091" t="s">
        <v>614</v>
      </c>
      <c r="C1091"/>
      <c r="D1091"/>
      <c r="F1091">
        <v>249.184</v>
      </c>
    </row>
    <row r="1092" spans="3:6">
      <c r="C1092" t="s">
        <v>127</v>
      </c>
      <c r="D1092"/>
      <c r="E1092"/>
      <c r="F1092">
        <v>129.568</v>
      </c>
    </row>
    <row r="1093" spans="4:6">
      <c r="D1093" t="s">
        <v>136</v>
      </c>
      <c r="E1093"/>
      <c r="F1093">
        <v>129.568</v>
      </c>
    </row>
    <row r="1094" spans="5:6">
      <c r="E1094">
        <v>94521</v>
      </c>
      <c r="F1094">
        <v>129.568</v>
      </c>
    </row>
    <row r="1095" spans="3:6">
      <c r="C1095" t="s">
        <v>615</v>
      </c>
      <c r="D1095"/>
      <c r="F1095">
        <v>119.616</v>
      </c>
    </row>
    <row r="1096" spans="4:6">
      <c r="D1096" t="s">
        <v>136</v>
      </c>
      <c r="F1096">
        <v>119.616</v>
      </c>
    </row>
    <row r="1097" spans="5:6">
      <c r="E1097">
        <v>92627</v>
      </c>
      <c r="F1097">
        <v>119.616</v>
      </c>
    </row>
    <row r="1098" spans="1:6">
      <c r="A1098" t="s">
        <v>616</v>
      </c>
      <c r="B1098"/>
      <c r="C1098"/>
      <c r="D1098"/>
      <c r="E1098"/>
      <c r="F1098">
        <v>132.52</v>
      </c>
    </row>
    <row r="1099" spans="2:6">
      <c r="B1099" t="s">
        <v>617</v>
      </c>
      <c r="C1099"/>
      <c r="D1099"/>
      <c r="E1099"/>
      <c r="F1099">
        <v>132.52</v>
      </c>
    </row>
    <row r="1100" spans="3:6">
      <c r="C1100" t="s">
        <v>618</v>
      </c>
      <c r="F1100">
        <v>132.52</v>
      </c>
    </row>
    <row r="1101" spans="4:6">
      <c r="D1101" t="s">
        <v>163</v>
      </c>
      <c r="F1101">
        <v>132.52</v>
      </c>
    </row>
    <row r="1102" spans="5:6">
      <c r="E1102">
        <v>48307</v>
      </c>
      <c r="F1102">
        <v>132.52</v>
      </c>
    </row>
    <row r="1103" spans="1:6">
      <c r="A1103" t="s">
        <v>619</v>
      </c>
      <c r="B1103"/>
      <c r="C1103"/>
      <c r="D1103"/>
      <c r="E1103"/>
      <c r="F1103">
        <v>49.12</v>
      </c>
    </row>
    <row r="1104" spans="2:6">
      <c r="B1104" t="s">
        <v>620</v>
      </c>
      <c r="C1104"/>
      <c r="D1104"/>
      <c r="E1104"/>
      <c r="F1104">
        <v>49.12</v>
      </c>
    </row>
    <row r="1105" spans="3:6">
      <c r="C1105" t="s">
        <v>131</v>
      </c>
      <c r="D1105"/>
      <c r="E1105"/>
      <c r="F1105">
        <v>2.08</v>
      </c>
    </row>
    <row r="1106" spans="4:6">
      <c r="D1106" t="s">
        <v>132</v>
      </c>
      <c r="E1106"/>
      <c r="F1106">
        <v>2.08</v>
      </c>
    </row>
    <row r="1107" spans="5:6">
      <c r="E1107">
        <v>77070</v>
      </c>
      <c r="F1107">
        <v>2.08</v>
      </c>
    </row>
    <row r="1108" spans="3:6">
      <c r="C1108" t="s">
        <v>164</v>
      </c>
      <c r="F1108">
        <v>47.04</v>
      </c>
    </row>
    <row r="1109" spans="4:6">
      <c r="D1109" t="s">
        <v>466</v>
      </c>
      <c r="F1109">
        <v>47.04</v>
      </c>
    </row>
    <row r="1110" spans="5:6">
      <c r="E1110">
        <v>19805</v>
      </c>
      <c r="F1110">
        <v>47.04</v>
      </c>
    </row>
    <row r="1111" spans="1:6">
      <c r="A1111" t="s">
        <v>621</v>
      </c>
      <c r="B1111"/>
      <c r="F1111">
        <v>85.14</v>
      </c>
    </row>
    <row r="1112" spans="2:6">
      <c r="B1112" t="s">
        <v>622</v>
      </c>
      <c r="C1112"/>
      <c r="F1112">
        <v>85.14</v>
      </c>
    </row>
    <row r="1113" spans="3:6">
      <c r="C1113" t="s">
        <v>204</v>
      </c>
      <c r="F1113">
        <v>85.14</v>
      </c>
    </row>
    <row r="1114" spans="4:6">
      <c r="D1114" t="s">
        <v>168</v>
      </c>
      <c r="F1114">
        <v>85.14</v>
      </c>
    </row>
    <row r="1115" spans="5:6">
      <c r="E1115">
        <v>10009</v>
      </c>
      <c r="F1115">
        <v>85.14</v>
      </c>
    </row>
    <row r="1116" spans="1:6">
      <c r="A1116" t="s">
        <v>623</v>
      </c>
      <c r="F1116">
        <v>71.372</v>
      </c>
    </row>
    <row r="1117" spans="2:6">
      <c r="B1117" t="s">
        <v>624</v>
      </c>
      <c r="C1117"/>
      <c r="D1117"/>
      <c r="E1117"/>
      <c r="F1117">
        <v>71.372</v>
      </c>
    </row>
    <row r="1118" spans="3:6">
      <c r="C1118" t="s">
        <v>175</v>
      </c>
      <c r="D1118"/>
      <c r="E1118"/>
      <c r="F1118">
        <v>71.372</v>
      </c>
    </row>
    <row r="1119" spans="4:6">
      <c r="D1119" t="s">
        <v>176</v>
      </c>
      <c r="E1119"/>
      <c r="F1119">
        <v>71.372</v>
      </c>
    </row>
    <row r="1120" spans="5:6">
      <c r="E1120">
        <v>19140</v>
      </c>
      <c r="F1120">
        <v>71.372</v>
      </c>
    </row>
    <row r="1121" spans="1:6">
      <c r="A1121" t="s">
        <v>625</v>
      </c>
      <c r="B1121"/>
      <c r="C1121"/>
      <c r="F1121">
        <v>8.82</v>
      </c>
    </row>
    <row r="1122" spans="2:6">
      <c r="B1122" t="s">
        <v>626</v>
      </c>
      <c r="C1122"/>
      <c r="D1122"/>
      <c r="F1122">
        <v>8.82</v>
      </c>
    </row>
    <row r="1123" spans="3:6">
      <c r="C1123" t="s">
        <v>627</v>
      </c>
      <c r="D1123"/>
      <c r="E1123"/>
      <c r="F1123">
        <v>8.82</v>
      </c>
    </row>
    <row r="1124" spans="4:6">
      <c r="D1124" t="s">
        <v>185</v>
      </c>
      <c r="E1124"/>
      <c r="F1124">
        <v>8.82</v>
      </c>
    </row>
    <row r="1125" spans="5:6">
      <c r="E1125">
        <v>98270</v>
      </c>
      <c r="F1125">
        <v>8.82</v>
      </c>
    </row>
    <row r="1126" spans="1:6">
      <c r="A1126" t="s">
        <v>628</v>
      </c>
      <c r="B1126"/>
      <c r="C1126"/>
      <c r="D1126"/>
      <c r="E1126"/>
      <c r="F1126">
        <v>839.43</v>
      </c>
    </row>
    <row r="1127" spans="2:6">
      <c r="B1127" t="s">
        <v>629</v>
      </c>
      <c r="C1127"/>
      <c r="D1127"/>
      <c r="E1127"/>
      <c r="F1127">
        <v>839.43</v>
      </c>
    </row>
    <row r="1128" spans="3:6">
      <c r="C1128" t="s">
        <v>630</v>
      </c>
      <c r="F1128">
        <v>839.43</v>
      </c>
    </row>
    <row r="1129" spans="4:6">
      <c r="D1129" t="s">
        <v>482</v>
      </c>
      <c r="F1129">
        <v>839.43</v>
      </c>
    </row>
    <row r="1130" spans="5:6">
      <c r="E1130">
        <v>64055</v>
      </c>
      <c r="F1130">
        <v>839.43</v>
      </c>
    </row>
    <row r="1131" spans="1:6">
      <c r="A1131" t="s">
        <v>631</v>
      </c>
      <c r="B1131"/>
      <c r="C1131"/>
      <c r="D1131"/>
      <c r="E1131"/>
      <c r="F1131">
        <v>4.89</v>
      </c>
    </row>
    <row r="1132" spans="2:6">
      <c r="B1132" t="s">
        <v>632</v>
      </c>
      <c r="C1132"/>
      <c r="D1132"/>
      <c r="E1132"/>
      <c r="F1132">
        <v>4.89</v>
      </c>
    </row>
    <row r="1133" spans="3:6">
      <c r="C1133" t="s">
        <v>224</v>
      </c>
      <c r="F1133">
        <v>4.89</v>
      </c>
    </row>
    <row r="1134" spans="4:6">
      <c r="D1134" t="s">
        <v>288</v>
      </c>
      <c r="F1134">
        <v>4.89</v>
      </c>
    </row>
    <row r="1135" spans="5:6">
      <c r="E1135">
        <v>22204</v>
      </c>
      <c r="F1135">
        <v>4.89</v>
      </c>
    </row>
    <row r="1136" spans="1:6">
      <c r="A1136" t="s">
        <v>633</v>
      </c>
      <c r="B1136"/>
      <c r="C1136"/>
      <c r="D1136"/>
      <c r="E1136"/>
      <c r="F1136">
        <v>97.264</v>
      </c>
    </row>
    <row r="1137" spans="2:6">
      <c r="B1137" t="s">
        <v>634</v>
      </c>
      <c r="C1137"/>
      <c r="D1137"/>
      <c r="E1137"/>
      <c r="F1137">
        <v>97.264</v>
      </c>
    </row>
    <row r="1138" spans="3:6">
      <c r="C1138" t="s">
        <v>131</v>
      </c>
      <c r="F1138">
        <v>97.264</v>
      </c>
    </row>
    <row r="1139" spans="4:6">
      <c r="D1139" t="s">
        <v>132</v>
      </c>
      <c r="F1139">
        <v>97.264</v>
      </c>
    </row>
    <row r="1140" spans="5:6">
      <c r="E1140">
        <v>77036</v>
      </c>
      <c r="F1140">
        <v>97.264</v>
      </c>
    </row>
    <row r="1141" spans="1:6">
      <c r="A1141" t="s">
        <v>635</v>
      </c>
      <c r="B1141"/>
      <c r="C1141"/>
      <c r="D1141"/>
      <c r="E1141"/>
      <c r="F1141">
        <v>7.16</v>
      </c>
    </row>
    <row r="1142" spans="2:6">
      <c r="B1142" t="s">
        <v>636</v>
      </c>
      <c r="C1142"/>
      <c r="D1142"/>
      <c r="E1142"/>
      <c r="F1142">
        <v>7.16</v>
      </c>
    </row>
    <row r="1143" spans="3:6">
      <c r="C1143" t="s">
        <v>637</v>
      </c>
      <c r="D1143"/>
      <c r="E1143"/>
      <c r="F1143">
        <v>7.16</v>
      </c>
    </row>
    <row r="1144" spans="4:6">
      <c r="D1144" t="s">
        <v>638</v>
      </c>
      <c r="F1144">
        <v>7.16</v>
      </c>
    </row>
    <row r="1145" spans="5:6">
      <c r="E1145">
        <v>6824</v>
      </c>
      <c r="F1145">
        <v>7.16</v>
      </c>
    </row>
    <row r="1146" spans="1:6">
      <c r="A1146" t="s">
        <v>639</v>
      </c>
      <c r="F1146">
        <v>11.36</v>
      </c>
    </row>
    <row r="1147" spans="2:6">
      <c r="B1147" t="s">
        <v>640</v>
      </c>
      <c r="F1147">
        <v>11.36</v>
      </c>
    </row>
    <row r="1148" spans="3:6">
      <c r="C1148" t="s">
        <v>204</v>
      </c>
      <c r="F1148">
        <v>11.36</v>
      </c>
    </row>
    <row r="1149" spans="4:6">
      <c r="D1149" t="s">
        <v>168</v>
      </c>
      <c r="F1149">
        <v>11.36</v>
      </c>
    </row>
    <row r="1150" spans="5:6">
      <c r="E1150">
        <v>10009</v>
      </c>
      <c r="F1150">
        <v>11.36</v>
      </c>
    </row>
    <row r="1151" spans="1:6">
      <c r="A1151" t="s">
        <v>641</v>
      </c>
      <c r="B1151"/>
      <c r="C1151"/>
      <c r="D1151"/>
      <c r="E1151"/>
      <c r="F1151">
        <v>957.5775</v>
      </c>
    </row>
    <row r="1152" spans="2:6">
      <c r="B1152" t="s">
        <v>642</v>
      </c>
      <c r="C1152"/>
      <c r="D1152"/>
      <c r="E1152"/>
      <c r="F1152">
        <v>957.5775</v>
      </c>
    </row>
    <row r="1153" spans="3:6">
      <c r="C1153" t="s">
        <v>643</v>
      </c>
      <c r="F1153">
        <v>957.5775</v>
      </c>
    </row>
    <row r="1154" spans="4:6">
      <c r="D1154" t="s">
        <v>172</v>
      </c>
      <c r="F1154">
        <v>957.5775</v>
      </c>
    </row>
    <row r="1155" spans="5:6">
      <c r="E1155">
        <v>33311</v>
      </c>
      <c r="F1155">
        <v>957.5775</v>
      </c>
    </row>
    <row r="1156" spans="1:6">
      <c r="A1156" t="s">
        <v>644</v>
      </c>
      <c r="F1156">
        <v>93.98</v>
      </c>
    </row>
    <row r="1157" spans="2:6">
      <c r="B1157" t="s">
        <v>645</v>
      </c>
      <c r="C1157"/>
      <c r="D1157"/>
      <c r="E1157"/>
      <c r="F1157">
        <v>93.98</v>
      </c>
    </row>
    <row r="1158" spans="3:6">
      <c r="C1158" t="s">
        <v>184</v>
      </c>
      <c r="D1158"/>
      <c r="E1158"/>
      <c r="F1158">
        <v>93.98</v>
      </c>
    </row>
    <row r="1159" spans="4:6">
      <c r="D1159" t="s">
        <v>185</v>
      </c>
      <c r="E1159"/>
      <c r="F1159">
        <v>93.98</v>
      </c>
    </row>
    <row r="1160" spans="5:6">
      <c r="E1160">
        <v>98115</v>
      </c>
      <c r="F1160">
        <v>93.98</v>
      </c>
    </row>
    <row r="1161" spans="1:6">
      <c r="A1161" t="s">
        <v>646</v>
      </c>
      <c r="B1161"/>
      <c r="C1161"/>
      <c r="D1161"/>
      <c r="E1161"/>
      <c r="F1161">
        <v>51.52</v>
      </c>
    </row>
    <row r="1162" spans="2:6">
      <c r="B1162" t="s">
        <v>647</v>
      </c>
      <c r="C1162"/>
      <c r="F1162">
        <v>51.52</v>
      </c>
    </row>
    <row r="1163" spans="3:6">
      <c r="C1163" t="s">
        <v>457</v>
      </c>
      <c r="D1163"/>
      <c r="F1163">
        <v>51.52</v>
      </c>
    </row>
    <row r="1164" spans="4:6">
      <c r="D1164" t="s">
        <v>132</v>
      </c>
      <c r="E1164"/>
      <c r="F1164">
        <v>51.52</v>
      </c>
    </row>
    <row r="1165" spans="5:6">
      <c r="E1165">
        <v>75220</v>
      </c>
      <c r="F1165">
        <v>51.52</v>
      </c>
    </row>
    <row r="1166" spans="1:6">
      <c r="A1166" t="s">
        <v>648</v>
      </c>
      <c r="B1166"/>
      <c r="C1166"/>
      <c r="F1166">
        <v>9.94</v>
      </c>
    </row>
    <row r="1167" spans="2:6">
      <c r="B1167" t="s">
        <v>649</v>
      </c>
      <c r="C1167"/>
      <c r="F1167">
        <v>9.94</v>
      </c>
    </row>
    <row r="1168" spans="3:6">
      <c r="C1168" t="s">
        <v>465</v>
      </c>
      <c r="D1168"/>
      <c r="F1168">
        <v>9.94</v>
      </c>
    </row>
    <row r="1169" spans="4:6">
      <c r="D1169" t="s">
        <v>466</v>
      </c>
      <c r="E1169"/>
      <c r="F1169">
        <v>9.94</v>
      </c>
    </row>
    <row r="1170" spans="5:6">
      <c r="E1170">
        <v>19901</v>
      </c>
      <c r="F1170">
        <v>9.94</v>
      </c>
    </row>
    <row r="1171" spans="1:6">
      <c r="A1171" t="s">
        <v>650</v>
      </c>
      <c r="B1171"/>
      <c r="C1171"/>
      <c r="D1171"/>
      <c r="E1171"/>
      <c r="F1171">
        <v>32.4</v>
      </c>
    </row>
    <row r="1172" spans="2:6">
      <c r="B1172" t="s">
        <v>651</v>
      </c>
      <c r="C1172"/>
      <c r="D1172"/>
      <c r="E1172"/>
      <c r="F1172">
        <v>32.4</v>
      </c>
    </row>
    <row r="1173" spans="3:6">
      <c r="C1173" t="s">
        <v>542</v>
      </c>
      <c r="D1173"/>
      <c r="E1173"/>
      <c r="F1173">
        <v>32.4</v>
      </c>
    </row>
    <row r="1174" spans="4:6">
      <c r="D1174" t="s">
        <v>304</v>
      </c>
      <c r="E1174"/>
      <c r="F1174">
        <v>32.4</v>
      </c>
    </row>
    <row r="1175" spans="5:6">
      <c r="E1175">
        <v>47401</v>
      </c>
      <c r="F1175">
        <v>32.4</v>
      </c>
    </row>
    <row r="1176" spans="1:6">
      <c r="A1176" t="s">
        <v>652</v>
      </c>
      <c r="B1176"/>
      <c r="C1176"/>
      <c r="D1176"/>
      <c r="F1176">
        <v>173.8</v>
      </c>
    </row>
    <row r="1177" spans="2:6">
      <c r="B1177" t="s">
        <v>653</v>
      </c>
      <c r="C1177"/>
      <c r="D1177"/>
      <c r="E1177"/>
      <c r="F1177">
        <v>173.8</v>
      </c>
    </row>
    <row r="1178" spans="3:6">
      <c r="C1178" t="s">
        <v>490</v>
      </c>
      <c r="D1178"/>
      <c r="E1178"/>
      <c r="F1178">
        <v>173.8</v>
      </c>
    </row>
    <row r="1179" spans="4:6">
      <c r="D1179" t="s">
        <v>491</v>
      </c>
      <c r="E1179"/>
      <c r="F1179">
        <v>173.8</v>
      </c>
    </row>
    <row r="1180" spans="5:6">
      <c r="E1180">
        <v>39212</v>
      </c>
      <c r="F1180">
        <v>173.8</v>
      </c>
    </row>
    <row r="1181" spans="1:6">
      <c r="A1181" t="s">
        <v>654</v>
      </c>
      <c r="B1181"/>
      <c r="C1181"/>
      <c r="D1181"/>
      <c r="F1181">
        <v>208.56</v>
      </c>
    </row>
    <row r="1182" spans="2:6">
      <c r="B1182" t="s">
        <v>655</v>
      </c>
      <c r="C1182"/>
      <c r="D1182"/>
      <c r="E1182"/>
      <c r="F1182">
        <v>208.56</v>
      </c>
    </row>
    <row r="1183" spans="3:6">
      <c r="C1183" t="s">
        <v>376</v>
      </c>
      <c r="D1183"/>
      <c r="E1183"/>
      <c r="F1183">
        <v>208.56</v>
      </c>
    </row>
    <row r="1184" spans="4:6">
      <c r="D1184" t="s">
        <v>168</v>
      </c>
      <c r="E1184"/>
      <c r="F1184">
        <v>208.56</v>
      </c>
    </row>
    <row r="1185" spans="5:6">
      <c r="E1185">
        <v>12180</v>
      </c>
      <c r="F1185">
        <v>208.56</v>
      </c>
    </row>
    <row r="1186" spans="1:6">
      <c r="A1186" t="s">
        <v>656</v>
      </c>
      <c r="F1186">
        <v>3278.68</v>
      </c>
    </row>
    <row r="1187" spans="2:6">
      <c r="B1187" t="s">
        <v>657</v>
      </c>
      <c r="F1187">
        <v>3278.68</v>
      </c>
    </row>
    <row r="1188" spans="3:6">
      <c r="C1188" t="s">
        <v>127</v>
      </c>
      <c r="F1188">
        <v>34.44</v>
      </c>
    </row>
    <row r="1189" spans="4:6">
      <c r="D1189" t="s">
        <v>658</v>
      </c>
      <c r="F1189">
        <v>34.44</v>
      </c>
    </row>
    <row r="1190" spans="5:6">
      <c r="E1190">
        <v>3301</v>
      </c>
      <c r="F1190">
        <v>34.44</v>
      </c>
    </row>
    <row r="1191" spans="3:6">
      <c r="C1191" t="s">
        <v>490</v>
      </c>
      <c r="D1191"/>
      <c r="E1191"/>
      <c r="F1191">
        <v>19.05</v>
      </c>
    </row>
    <row r="1192" spans="4:6">
      <c r="D1192" t="s">
        <v>163</v>
      </c>
      <c r="E1192"/>
      <c r="F1192">
        <v>19.05</v>
      </c>
    </row>
    <row r="1193" spans="5:6">
      <c r="E1193">
        <v>49201</v>
      </c>
      <c r="F1193">
        <v>19.05</v>
      </c>
    </row>
    <row r="1194" spans="3:6">
      <c r="C1194" t="s">
        <v>175</v>
      </c>
      <c r="D1194"/>
      <c r="F1194">
        <v>3083.43</v>
      </c>
    </row>
    <row r="1195" spans="4:6">
      <c r="D1195" t="s">
        <v>176</v>
      </c>
      <c r="E1195"/>
      <c r="F1195">
        <v>3083.43</v>
      </c>
    </row>
    <row r="1196" spans="5:6">
      <c r="E1196">
        <v>19140</v>
      </c>
      <c r="F1196">
        <v>3083.43</v>
      </c>
    </row>
    <row r="1197" spans="3:6">
      <c r="C1197" t="s">
        <v>659</v>
      </c>
      <c r="D1197"/>
      <c r="E1197"/>
      <c r="F1197">
        <v>141.76</v>
      </c>
    </row>
    <row r="1198" spans="4:6">
      <c r="D1198" t="s">
        <v>660</v>
      </c>
      <c r="E1198"/>
      <c r="F1198">
        <v>141.76</v>
      </c>
    </row>
    <row r="1199" spans="5:6">
      <c r="E1199">
        <v>97206</v>
      </c>
      <c r="F1199">
        <v>141.76</v>
      </c>
    </row>
    <row r="1200" spans="1:6">
      <c r="A1200" t="s">
        <v>661</v>
      </c>
      <c r="B1200"/>
      <c r="C1200"/>
      <c r="F1200">
        <v>2.91</v>
      </c>
    </row>
    <row r="1201" spans="2:6">
      <c r="B1201" t="s">
        <v>662</v>
      </c>
      <c r="C1201"/>
      <c r="D1201"/>
      <c r="F1201">
        <v>2.91</v>
      </c>
    </row>
    <row r="1202" spans="3:6">
      <c r="C1202" t="s">
        <v>211</v>
      </c>
      <c r="D1202"/>
      <c r="F1202">
        <v>2.91</v>
      </c>
    </row>
    <row r="1203" spans="4:6">
      <c r="D1203" t="s">
        <v>304</v>
      </c>
      <c r="E1203"/>
      <c r="F1203">
        <v>2.91</v>
      </c>
    </row>
    <row r="1204" spans="5:6">
      <c r="E1204">
        <v>47201</v>
      </c>
      <c r="F1204">
        <v>2.91</v>
      </c>
    </row>
    <row r="1205" spans="1:6">
      <c r="A1205" t="s">
        <v>663</v>
      </c>
      <c r="B1205"/>
      <c r="F1205">
        <v>38.64</v>
      </c>
    </row>
    <row r="1206" spans="2:6">
      <c r="B1206" t="s">
        <v>664</v>
      </c>
      <c r="C1206"/>
      <c r="F1206">
        <v>38.64</v>
      </c>
    </row>
    <row r="1207" spans="3:6">
      <c r="C1207" t="s">
        <v>665</v>
      </c>
      <c r="D1207"/>
      <c r="F1207">
        <v>10.44</v>
      </c>
    </row>
    <row r="1208" spans="4:6">
      <c r="D1208" t="s">
        <v>132</v>
      </c>
      <c r="E1208"/>
      <c r="F1208">
        <v>10.44</v>
      </c>
    </row>
    <row r="1209" spans="5:6">
      <c r="E1209">
        <v>75043</v>
      </c>
      <c r="F1209">
        <v>10.44</v>
      </c>
    </row>
    <row r="1210" spans="3:6">
      <c r="C1210" t="s">
        <v>269</v>
      </c>
      <c r="F1210">
        <v>7.56</v>
      </c>
    </row>
    <row r="1211" spans="4:6">
      <c r="D1211" t="s">
        <v>195</v>
      </c>
      <c r="F1211">
        <v>7.56</v>
      </c>
    </row>
    <row r="1212" spans="5:6">
      <c r="E1212">
        <v>1852</v>
      </c>
      <c r="F1212">
        <v>7.56</v>
      </c>
    </row>
    <row r="1213" spans="3:6">
      <c r="C1213" t="s">
        <v>659</v>
      </c>
      <c r="D1213"/>
      <c r="E1213"/>
      <c r="F1213">
        <v>1.08</v>
      </c>
    </row>
    <row r="1214" spans="4:6">
      <c r="D1214" t="s">
        <v>660</v>
      </c>
      <c r="E1214"/>
      <c r="F1214">
        <v>1.08</v>
      </c>
    </row>
    <row r="1215" spans="5:6">
      <c r="E1215">
        <v>97206</v>
      </c>
      <c r="F1215">
        <v>1.08</v>
      </c>
    </row>
    <row r="1216" spans="3:6">
      <c r="C1216" t="s">
        <v>666</v>
      </c>
      <c r="F1216">
        <v>19.56</v>
      </c>
    </row>
    <row r="1217" spans="4:6">
      <c r="D1217" t="s">
        <v>183</v>
      </c>
      <c r="F1217">
        <v>19.56</v>
      </c>
    </row>
    <row r="1218" spans="5:6">
      <c r="E1218">
        <v>62301</v>
      </c>
      <c r="F1218">
        <v>19.56</v>
      </c>
    </row>
    <row r="1219" spans="1:6">
      <c r="A1219" t="s">
        <v>667</v>
      </c>
      <c r="B1219"/>
      <c r="C1219"/>
      <c r="D1219"/>
      <c r="E1219"/>
      <c r="F1219">
        <v>160.72</v>
      </c>
    </row>
    <row r="1220" spans="2:6">
      <c r="B1220" t="s">
        <v>668</v>
      </c>
      <c r="C1220"/>
      <c r="F1220">
        <v>160.72</v>
      </c>
    </row>
    <row r="1221" spans="3:6">
      <c r="C1221" t="s">
        <v>404</v>
      </c>
      <c r="F1221">
        <v>160.72</v>
      </c>
    </row>
    <row r="1222" spans="4:6">
      <c r="D1222" t="s">
        <v>136</v>
      </c>
      <c r="F1222">
        <v>160.72</v>
      </c>
    </row>
    <row r="1223" spans="5:6">
      <c r="E1223">
        <v>90805</v>
      </c>
      <c r="F1223">
        <v>160.72</v>
      </c>
    </row>
    <row r="1224" spans="1:6">
      <c r="A1224" t="s">
        <v>669</v>
      </c>
      <c r="B1224"/>
      <c r="C1224"/>
      <c r="D1224"/>
      <c r="E1224"/>
      <c r="F1224">
        <v>14.44</v>
      </c>
    </row>
    <row r="1225" spans="2:6">
      <c r="B1225" t="s">
        <v>670</v>
      </c>
      <c r="C1225"/>
      <c r="F1225">
        <v>14.44</v>
      </c>
    </row>
    <row r="1226" spans="3:6">
      <c r="C1226" t="s">
        <v>671</v>
      </c>
      <c r="F1226">
        <v>2.808</v>
      </c>
    </row>
    <row r="1227" spans="4:6">
      <c r="D1227" t="s">
        <v>183</v>
      </c>
      <c r="F1227">
        <v>2.808</v>
      </c>
    </row>
    <row r="1228" spans="5:6">
      <c r="E1228">
        <v>60540</v>
      </c>
      <c r="F1228">
        <v>2.808</v>
      </c>
    </row>
    <row r="1229" spans="3:6">
      <c r="C1229" t="s">
        <v>175</v>
      </c>
      <c r="D1229"/>
      <c r="E1229"/>
      <c r="F1229">
        <v>11.632</v>
      </c>
    </row>
    <row r="1230" spans="4:6">
      <c r="D1230" t="s">
        <v>176</v>
      </c>
      <c r="E1230"/>
      <c r="F1230">
        <v>11.632</v>
      </c>
    </row>
    <row r="1231" spans="5:6">
      <c r="E1231">
        <v>19134</v>
      </c>
      <c r="F1231">
        <v>11.632</v>
      </c>
    </row>
    <row r="1232" spans="1:6">
      <c r="A1232" t="s">
        <v>672</v>
      </c>
      <c r="B1232"/>
      <c r="C1232"/>
      <c r="D1232"/>
      <c r="F1232">
        <v>239.97</v>
      </c>
    </row>
    <row r="1233" spans="2:6">
      <c r="B1233" t="s">
        <v>673</v>
      </c>
      <c r="C1233"/>
      <c r="D1233"/>
      <c r="E1233"/>
      <c r="F1233">
        <v>239.97</v>
      </c>
    </row>
    <row r="1234" spans="3:6">
      <c r="C1234" t="s">
        <v>674</v>
      </c>
      <c r="D1234"/>
      <c r="E1234"/>
      <c r="F1234">
        <v>239.97</v>
      </c>
    </row>
    <row r="1235" spans="4:6">
      <c r="D1235" t="s">
        <v>550</v>
      </c>
      <c r="E1235"/>
      <c r="F1235">
        <v>239.97</v>
      </c>
    </row>
    <row r="1236" spans="5:6">
      <c r="E1236">
        <v>7109</v>
      </c>
      <c r="F1236">
        <v>239.97</v>
      </c>
    </row>
    <row r="1237" spans="1:6">
      <c r="A1237" t="s">
        <v>675</v>
      </c>
      <c r="B1237"/>
      <c r="C1237"/>
      <c r="D1237"/>
      <c r="F1237">
        <v>1.112</v>
      </c>
    </row>
    <row r="1238" spans="2:6">
      <c r="B1238" t="s">
        <v>676</v>
      </c>
      <c r="C1238"/>
      <c r="D1238"/>
      <c r="E1238"/>
      <c r="F1238">
        <v>1.112</v>
      </c>
    </row>
    <row r="1239" spans="3:6">
      <c r="C1239" t="s">
        <v>131</v>
      </c>
      <c r="D1239"/>
      <c r="E1239"/>
      <c r="F1239">
        <v>1.112</v>
      </c>
    </row>
    <row r="1240" spans="4:6">
      <c r="D1240" t="s">
        <v>132</v>
      </c>
      <c r="E1240"/>
      <c r="F1240">
        <v>1.112</v>
      </c>
    </row>
    <row r="1241" spans="5:6">
      <c r="E1241">
        <v>77041</v>
      </c>
      <c r="F1241">
        <v>1.112</v>
      </c>
    </row>
    <row r="1242" spans="1:6">
      <c r="A1242" t="s">
        <v>677</v>
      </c>
      <c r="B1242"/>
      <c r="C1242"/>
      <c r="D1242"/>
      <c r="F1242">
        <v>17.012</v>
      </c>
    </row>
    <row r="1243" spans="2:6">
      <c r="B1243" t="s">
        <v>678</v>
      </c>
      <c r="C1243"/>
      <c r="D1243"/>
      <c r="E1243"/>
      <c r="F1243">
        <v>17.012</v>
      </c>
    </row>
    <row r="1244" spans="3:6">
      <c r="C1244" t="s">
        <v>204</v>
      </c>
      <c r="D1244"/>
      <c r="E1244"/>
      <c r="F1244">
        <v>14.624</v>
      </c>
    </row>
    <row r="1245" spans="4:6">
      <c r="D1245" t="s">
        <v>168</v>
      </c>
      <c r="E1245"/>
      <c r="F1245">
        <v>14.624</v>
      </c>
    </row>
    <row r="1246" spans="5:6">
      <c r="E1246">
        <v>10024</v>
      </c>
      <c r="F1246">
        <v>14.624</v>
      </c>
    </row>
    <row r="1247" spans="3:6">
      <c r="C1247" t="s">
        <v>365</v>
      </c>
      <c r="D1247"/>
      <c r="F1247">
        <v>2.388</v>
      </c>
    </row>
    <row r="1248" spans="4:6">
      <c r="D1248" t="s">
        <v>122</v>
      </c>
      <c r="E1248"/>
      <c r="F1248">
        <v>2.388</v>
      </c>
    </row>
    <row r="1249" spans="5:6">
      <c r="E1249">
        <v>85023</v>
      </c>
      <c r="F1249">
        <v>2.388</v>
      </c>
    </row>
    <row r="1250" spans="1:6">
      <c r="A1250" t="s">
        <v>679</v>
      </c>
      <c r="B1250"/>
      <c r="C1250"/>
      <c r="F1250">
        <v>5.98</v>
      </c>
    </row>
    <row r="1251" spans="2:6">
      <c r="B1251" t="s">
        <v>680</v>
      </c>
      <c r="C1251"/>
      <c r="D1251"/>
      <c r="F1251">
        <v>5.98</v>
      </c>
    </row>
    <row r="1252" spans="3:6">
      <c r="C1252" t="s">
        <v>135</v>
      </c>
      <c r="D1252"/>
      <c r="F1252">
        <v>5.98</v>
      </c>
    </row>
    <row r="1253" spans="4:6">
      <c r="D1253" t="s">
        <v>136</v>
      </c>
      <c r="E1253"/>
      <c r="F1253">
        <v>5.98</v>
      </c>
    </row>
    <row r="1254" spans="5:6">
      <c r="E1254">
        <v>90045</v>
      </c>
      <c r="F1254">
        <v>5.98</v>
      </c>
    </row>
    <row r="1255" spans="1:6">
      <c r="A1255" t="s">
        <v>681</v>
      </c>
      <c r="B1255"/>
      <c r="F1255">
        <v>3.392</v>
      </c>
    </row>
    <row r="1256" spans="2:6">
      <c r="B1256" t="s">
        <v>682</v>
      </c>
      <c r="C1256"/>
      <c r="F1256">
        <v>3.392</v>
      </c>
    </row>
    <row r="1257" spans="3:6">
      <c r="C1257" t="s">
        <v>141</v>
      </c>
      <c r="D1257"/>
      <c r="F1257">
        <v>3.392</v>
      </c>
    </row>
    <row r="1258" spans="4:6">
      <c r="D1258" t="s">
        <v>217</v>
      </c>
      <c r="E1258"/>
      <c r="F1258">
        <v>3.392</v>
      </c>
    </row>
    <row r="1259" spans="5:6">
      <c r="E1259">
        <v>80027</v>
      </c>
      <c r="F1259">
        <v>3.392</v>
      </c>
    </row>
    <row r="1260" spans="1:6">
      <c r="A1260" t="s">
        <v>683</v>
      </c>
      <c r="B1260"/>
      <c r="C1260"/>
      <c r="F1260">
        <v>347.448</v>
      </c>
    </row>
    <row r="1261" spans="2:6">
      <c r="B1261" t="s">
        <v>684</v>
      </c>
      <c r="C1261"/>
      <c r="D1261"/>
      <c r="F1261">
        <v>347.448</v>
      </c>
    </row>
    <row r="1262" spans="3:6">
      <c r="C1262" t="s">
        <v>561</v>
      </c>
      <c r="D1262"/>
      <c r="F1262">
        <v>161.568</v>
      </c>
    </row>
    <row r="1263" spans="4:6">
      <c r="D1263" t="s">
        <v>381</v>
      </c>
      <c r="E1263"/>
      <c r="F1263">
        <v>161.568</v>
      </c>
    </row>
    <row r="1264" spans="5:6">
      <c r="E1264">
        <v>38401</v>
      </c>
      <c r="F1264">
        <v>161.568</v>
      </c>
    </row>
    <row r="1265" spans="3:6">
      <c r="C1265" t="s">
        <v>490</v>
      </c>
      <c r="D1265"/>
      <c r="E1265"/>
      <c r="F1265">
        <v>185.88</v>
      </c>
    </row>
    <row r="1266" spans="4:6">
      <c r="D1266" t="s">
        <v>491</v>
      </c>
      <c r="E1266"/>
      <c r="F1266">
        <v>185.88</v>
      </c>
    </row>
    <row r="1267" spans="5:6">
      <c r="E1267">
        <v>39212</v>
      </c>
      <c r="F1267">
        <v>185.88</v>
      </c>
    </row>
    <row r="1268" spans="1:6">
      <c r="A1268" t="s">
        <v>685</v>
      </c>
      <c r="B1268"/>
      <c r="C1268"/>
      <c r="D1268"/>
      <c r="E1268"/>
      <c r="F1268">
        <v>151.72</v>
      </c>
    </row>
    <row r="1269" spans="2:6">
      <c r="B1269" t="s">
        <v>686</v>
      </c>
      <c r="C1269"/>
      <c r="D1269"/>
      <c r="E1269"/>
      <c r="F1269">
        <v>151.72</v>
      </c>
    </row>
    <row r="1270" spans="3:6">
      <c r="C1270" t="s">
        <v>431</v>
      </c>
      <c r="D1270"/>
      <c r="E1270"/>
      <c r="F1270">
        <v>151.72</v>
      </c>
    </row>
    <row r="1271" spans="4:6">
      <c r="D1271" t="s">
        <v>136</v>
      </c>
      <c r="E1271"/>
      <c r="F1271">
        <v>151.72</v>
      </c>
    </row>
    <row r="1272" spans="5:6">
      <c r="E1272">
        <v>92037</v>
      </c>
      <c r="F1272">
        <v>151.72</v>
      </c>
    </row>
    <row r="1273" spans="1:6">
      <c r="A1273" t="s">
        <v>687</v>
      </c>
      <c r="B1273"/>
      <c r="C1273"/>
      <c r="D1273"/>
      <c r="F1273">
        <v>9.09</v>
      </c>
    </row>
    <row r="1274" spans="2:6">
      <c r="B1274" t="s">
        <v>688</v>
      </c>
      <c r="C1274"/>
      <c r="D1274"/>
      <c r="E1274"/>
      <c r="F1274">
        <v>9.09</v>
      </c>
    </row>
    <row r="1275" spans="3:6">
      <c r="C1275" t="s">
        <v>431</v>
      </c>
      <c r="D1275"/>
      <c r="E1275"/>
      <c r="F1275">
        <v>9.09</v>
      </c>
    </row>
    <row r="1276" spans="4:6">
      <c r="D1276" t="s">
        <v>136</v>
      </c>
      <c r="E1276"/>
      <c r="F1276">
        <v>9.09</v>
      </c>
    </row>
    <row r="1277" spans="5:6">
      <c r="E1277">
        <v>92024</v>
      </c>
      <c r="F1277">
        <v>9.09</v>
      </c>
    </row>
    <row r="1278" spans="1:6">
      <c r="A1278" t="s">
        <v>689</v>
      </c>
      <c r="B1278"/>
      <c r="C1278"/>
      <c r="D1278"/>
      <c r="F1278">
        <v>96.304</v>
      </c>
    </row>
    <row r="1279" spans="2:6">
      <c r="B1279" t="s">
        <v>690</v>
      </c>
      <c r="C1279"/>
      <c r="D1279"/>
      <c r="E1279"/>
      <c r="F1279">
        <v>96.304</v>
      </c>
    </row>
    <row r="1280" spans="3:6">
      <c r="C1280" t="s">
        <v>691</v>
      </c>
      <c r="D1280"/>
      <c r="E1280"/>
      <c r="F1280">
        <v>11.52</v>
      </c>
    </row>
    <row r="1281" spans="4:6">
      <c r="D1281" t="s">
        <v>185</v>
      </c>
      <c r="E1281"/>
      <c r="F1281">
        <v>11.52</v>
      </c>
    </row>
    <row r="1282" spans="5:6">
      <c r="E1282">
        <v>98026</v>
      </c>
      <c r="F1282">
        <v>11.52</v>
      </c>
    </row>
    <row r="1283" spans="3:6">
      <c r="C1283" t="s">
        <v>692</v>
      </c>
      <c r="D1283"/>
      <c r="E1283"/>
      <c r="F1283">
        <v>84.784</v>
      </c>
    </row>
    <row r="1284" spans="4:6">
      <c r="D1284" t="s">
        <v>660</v>
      </c>
      <c r="E1284"/>
      <c r="F1284">
        <v>84.784</v>
      </c>
    </row>
    <row r="1285" spans="5:6">
      <c r="E1285">
        <v>97301</v>
      </c>
      <c r="F1285">
        <v>84.784</v>
      </c>
    </row>
    <row r="1286" spans="1:6">
      <c r="A1286" t="s">
        <v>693</v>
      </c>
      <c r="B1286"/>
      <c r="C1286"/>
      <c r="D1286"/>
      <c r="F1286">
        <v>8.56</v>
      </c>
    </row>
    <row r="1287" spans="2:6">
      <c r="B1287" t="s">
        <v>694</v>
      </c>
      <c r="C1287"/>
      <c r="D1287"/>
      <c r="E1287"/>
      <c r="F1287">
        <v>8.56</v>
      </c>
    </row>
    <row r="1288" spans="3:6">
      <c r="C1288" t="s">
        <v>188</v>
      </c>
      <c r="D1288"/>
      <c r="E1288"/>
      <c r="F1288">
        <v>8.56</v>
      </c>
    </row>
    <row r="1289" spans="4:6">
      <c r="D1289" t="s">
        <v>136</v>
      </c>
      <c r="E1289"/>
      <c r="F1289">
        <v>8.56</v>
      </c>
    </row>
    <row r="1290" spans="5:6">
      <c r="E1290">
        <v>94109</v>
      </c>
      <c r="F1290">
        <v>8.56</v>
      </c>
    </row>
    <row r="1291" spans="1:6">
      <c r="A1291" t="s">
        <v>5</v>
      </c>
      <c r="B1291"/>
      <c r="C1291"/>
      <c r="D1291"/>
      <c r="F1291">
        <v>51574.818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1043"/>
  <sheetViews>
    <sheetView zoomScale="77" zoomScaleNormal="77" zoomScaleSheetLayoutView="60" workbookViewId="0">
      <selection activeCell="AB32" sqref="AB32"/>
    </sheetView>
  </sheetViews>
  <sheetFormatPr defaultColWidth="8.4375" defaultRowHeight="16.8"/>
  <cols>
    <col min="1" max="1" width="7.9375" customWidth="1"/>
    <col min="2" max="2" width="16.875" customWidth="1"/>
    <col min="3" max="3" width="11.4375" customWidth="1"/>
    <col min="4" max="4" width="11.375" customWidth="1"/>
    <col min="5" max="5" width="14.875" customWidth="1"/>
    <col min="6" max="6" width="13.0625" customWidth="1"/>
    <col min="7" max="7" width="21.5625" customWidth="1"/>
    <col min="8" max="8" width="12.3125" customWidth="1"/>
    <col min="9" max="9" width="13.125" customWidth="1"/>
    <col min="10" max="10" width="17.375" customWidth="1"/>
    <col min="11" max="11" width="19" customWidth="1"/>
    <col min="12" max="12" width="12.5625" customWidth="1"/>
    <col min="13" max="13" width="7.8125" customWidth="1"/>
    <col min="14" max="14" width="18.875" customWidth="1"/>
    <col min="15" max="15" width="14.75" customWidth="1"/>
    <col min="16" max="16" width="14.3125" customWidth="1"/>
    <col min="17" max="17" width="102.8125" customWidth="1"/>
    <col min="18" max="18" width="10.4375" customWidth="1"/>
    <col min="19" max="19" width="9.125" customWidth="1"/>
    <col min="20" max="20" width="9.5" customWidth="1"/>
    <col min="21" max="21" width="11" customWidth="1"/>
    <col min="22" max="22" width="7.625" customWidth="1"/>
    <col min="23" max="23" width="15.25" customWidth="1"/>
    <col min="27" max="27" width="12.1875"/>
    <col min="28" max="28" width="13.25" customWidth="1"/>
    <col min="29" max="29" width="15.6875" customWidth="1"/>
    <col min="30" max="30" width="13.8125" customWidth="1"/>
    <col min="31" max="31" width="14.4375" customWidth="1"/>
    <col min="32" max="32" width="15.75" customWidth="1"/>
    <col min="33" max="33" width="18.9375" customWidth="1"/>
    <col min="34" max="34" width="17.9375" customWidth="1"/>
    <col min="35" max="35" width="12.0625" customWidth="1"/>
    <col min="36" max="36" width="17.25" customWidth="1"/>
    <col min="37" max="37" width="12.875" customWidth="1"/>
  </cols>
  <sheetData>
    <row r="1" ht="17.6" spans="1:24">
      <c r="A1" s="1" t="s">
        <v>695</v>
      </c>
      <c r="B1" s="2" t="s">
        <v>696</v>
      </c>
      <c r="C1" s="3" t="s">
        <v>697</v>
      </c>
      <c r="D1" s="3" t="s">
        <v>698</v>
      </c>
      <c r="E1" s="2" t="s">
        <v>0</v>
      </c>
      <c r="F1" s="2" t="s">
        <v>114</v>
      </c>
      <c r="G1" s="2" t="s">
        <v>115</v>
      </c>
      <c r="H1" s="2" t="s">
        <v>110</v>
      </c>
      <c r="I1" s="2" t="s">
        <v>112</v>
      </c>
      <c r="J1" s="2" t="s">
        <v>116</v>
      </c>
      <c r="K1" s="2" t="s">
        <v>117</v>
      </c>
      <c r="L1" s="2" t="s">
        <v>118</v>
      </c>
      <c r="M1" s="2" t="s">
        <v>113</v>
      </c>
      <c r="N1" s="2" t="s">
        <v>18</v>
      </c>
      <c r="O1" s="2" t="s">
        <v>6</v>
      </c>
      <c r="P1" s="2" t="s">
        <v>15</v>
      </c>
      <c r="Q1" s="2" t="s">
        <v>17</v>
      </c>
      <c r="R1" s="10" t="s">
        <v>699</v>
      </c>
      <c r="S1" s="1" t="s">
        <v>700</v>
      </c>
      <c r="T1" s="11" t="s">
        <v>701</v>
      </c>
      <c r="U1" s="17" t="s">
        <v>702</v>
      </c>
      <c r="V1" s="18" t="s">
        <v>703</v>
      </c>
      <c r="W1" s="18" t="s">
        <v>704</v>
      </c>
      <c r="X1" s="18" t="s">
        <v>705</v>
      </c>
    </row>
    <row r="2" ht="17.6" spans="1:24">
      <c r="A2" s="4">
        <v>1</v>
      </c>
      <c r="B2" s="5" t="s">
        <v>706</v>
      </c>
      <c r="C2" s="6">
        <v>42682</v>
      </c>
      <c r="D2" s="6">
        <v>42685</v>
      </c>
      <c r="E2" s="5" t="s">
        <v>707</v>
      </c>
      <c r="F2" s="5" t="s">
        <v>238</v>
      </c>
      <c r="G2" s="5" t="s">
        <v>239</v>
      </c>
      <c r="H2" s="5" t="s">
        <v>111</v>
      </c>
      <c r="I2" s="5" t="s">
        <v>708</v>
      </c>
      <c r="J2" s="5" t="s">
        <v>240</v>
      </c>
      <c r="K2" s="5" t="s">
        <v>142</v>
      </c>
      <c r="L2" s="5">
        <v>42420</v>
      </c>
      <c r="M2" s="5" t="s">
        <v>709</v>
      </c>
      <c r="N2" s="5" t="s">
        <v>710</v>
      </c>
      <c r="O2" s="5" t="s">
        <v>8</v>
      </c>
      <c r="P2" s="5" t="s">
        <v>711</v>
      </c>
      <c r="Q2" s="5" t="s">
        <v>712</v>
      </c>
      <c r="R2" s="12">
        <v>261.96</v>
      </c>
      <c r="S2" s="13">
        <v>-671086.64</v>
      </c>
      <c r="T2" s="14">
        <v>0</v>
      </c>
      <c r="U2" s="12">
        <v>41.9136</v>
      </c>
      <c r="V2" s="19" cm="1">
        <f t="array" ref="V2:V539">ABS(U2:U539)</f>
        <v>41.9136</v>
      </c>
      <c r="W2" s="20" cm="1">
        <f t="array" ref="W2:W539">R2:R539*(1-T2:T539)</f>
        <v>261.96</v>
      </c>
      <c r="X2" s="21" t="str" cm="1">
        <f t="array" ref="X2">IF(OR(R2:R539&lt;0,T1:T539&lt;0,C2:C540=""),"Check","OK")</f>
        <v>OK</v>
      </c>
    </row>
    <row r="3" ht="17.6" spans="1:24">
      <c r="A3" s="7">
        <v>3</v>
      </c>
      <c r="B3" s="8" t="s">
        <v>713</v>
      </c>
      <c r="C3" s="9">
        <v>42533</v>
      </c>
      <c r="D3" s="9">
        <v>42537</v>
      </c>
      <c r="E3" s="8" t="s">
        <v>707</v>
      </c>
      <c r="F3" s="8" t="s">
        <v>714</v>
      </c>
      <c r="G3" s="8" t="s">
        <v>715</v>
      </c>
      <c r="H3" s="8" t="s">
        <v>716</v>
      </c>
      <c r="I3" s="8" t="s">
        <v>708</v>
      </c>
      <c r="J3" s="8" t="s">
        <v>135</v>
      </c>
      <c r="K3" s="8" t="s">
        <v>136</v>
      </c>
      <c r="L3" s="8">
        <v>90036</v>
      </c>
      <c r="M3" s="8" t="s">
        <v>717</v>
      </c>
      <c r="N3" s="8" t="s">
        <v>718</v>
      </c>
      <c r="O3" s="8" t="s">
        <v>9</v>
      </c>
      <c r="P3" s="8" t="s">
        <v>719</v>
      </c>
      <c r="Q3" s="8" t="s">
        <v>720</v>
      </c>
      <c r="R3" s="15">
        <v>14.62</v>
      </c>
      <c r="S3" s="7">
        <v>2</v>
      </c>
      <c r="T3" s="16">
        <v>0</v>
      </c>
      <c r="U3" s="15">
        <v>6.8714</v>
      </c>
      <c r="V3" s="22">
        <v>6.8714</v>
      </c>
      <c r="W3" s="23">
        <v>14.62</v>
      </c>
      <c r="X3" s="21" t="str" cm="1">
        <f t="array" ref="X3">IF(OR(R3:R540&lt;0,T2:T540&lt;0,C3:C541=""),"Check","OK")</f>
        <v>Check</v>
      </c>
    </row>
    <row r="4" ht="17.6" spans="1:24">
      <c r="A4" s="4">
        <v>4</v>
      </c>
      <c r="B4" s="5" t="s">
        <v>721</v>
      </c>
      <c r="C4" s="6">
        <v>42288</v>
      </c>
      <c r="D4" s="6">
        <v>42295</v>
      </c>
      <c r="E4" s="5" t="s">
        <v>4</v>
      </c>
      <c r="F4" s="5" t="s">
        <v>641</v>
      </c>
      <c r="G4" s="5" t="s">
        <v>642</v>
      </c>
      <c r="H4" s="5" t="s">
        <v>111</v>
      </c>
      <c r="I4" s="5" t="s">
        <v>708</v>
      </c>
      <c r="J4" s="5" t="s">
        <v>643</v>
      </c>
      <c r="K4" s="5" t="s">
        <v>172</v>
      </c>
      <c r="L4" s="5">
        <v>33311</v>
      </c>
      <c r="M4" s="5" t="s">
        <v>709</v>
      </c>
      <c r="N4" s="5" t="s">
        <v>722</v>
      </c>
      <c r="O4" s="5" t="s">
        <v>8</v>
      </c>
      <c r="P4" s="5" t="s">
        <v>723</v>
      </c>
      <c r="Q4" s="5" t="s">
        <v>724</v>
      </c>
      <c r="R4" s="12">
        <v>957.5775</v>
      </c>
      <c r="S4" s="4">
        <v>5</v>
      </c>
      <c r="T4" s="14">
        <v>0.45</v>
      </c>
      <c r="U4" s="12">
        <v>-383.031</v>
      </c>
      <c r="V4" s="19">
        <v>383.031</v>
      </c>
      <c r="W4" s="20">
        <v>526.667625</v>
      </c>
      <c r="X4" s="21" t="str" cm="1">
        <f t="array" ref="X4">IF(OR(R4:R541&lt;0,T3:T541&lt;0,C4:C542=""),"Check","OK")</f>
        <v>Check</v>
      </c>
    </row>
    <row r="5" ht="17.6" spans="1:24">
      <c r="A5" s="7">
        <v>6</v>
      </c>
      <c r="B5" s="8" t="s">
        <v>725</v>
      </c>
      <c r="C5" s="9">
        <v>41799</v>
      </c>
      <c r="D5" s="9">
        <v>41804</v>
      </c>
      <c r="E5" s="8" t="s">
        <v>4</v>
      </c>
      <c r="F5" s="8" t="s">
        <v>200</v>
      </c>
      <c r="G5" s="8" t="s">
        <v>201</v>
      </c>
      <c r="H5" s="8" t="s">
        <v>111</v>
      </c>
      <c r="I5" s="8" t="s">
        <v>708</v>
      </c>
      <c r="J5" s="8" t="s">
        <v>135</v>
      </c>
      <c r="K5" s="8" t="s">
        <v>136</v>
      </c>
      <c r="L5" s="8">
        <v>90032</v>
      </c>
      <c r="M5" s="8" t="s">
        <v>717</v>
      </c>
      <c r="N5" s="8" t="s">
        <v>726</v>
      </c>
      <c r="O5" s="8" t="s">
        <v>8</v>
      </c>
      <c r="P5" s="8" t="s">
        <v>727</v>
      </c>
      <c r="Q5" s="8" t="s">
        <v>728</v>
      </c>
      <c r="R5" s="15">
        <v>48.86</v>
      </c>
      <c r="S5" s="7">
        <v>7</v>
      </c>
      <c r="T5" s="16">
        <v>0</v>
      </c>
      <c r="U5" s="15">
        <v>14.1694</v>
      </c>
      <c r="V5" s="22">
        <v>14.1694</v>
      </c>
      <c r="W5" s="23">
        <v>48.86</v>
      </c>
      <c r="X5" s="21" t="str" cm="1">
        <f t="array" ref="X5">IF(OR(R5:R542&lt;0,T4:T542&lt;0,C5:C543=""),"Check","OK")</f>
        <v>Check</v>
      </c>
    </row>
    <row r="6" ht="17.6" spans="1:27">
      <c r="A6" s="4">
        <v>13</v>
      </c>
      <c r="B6" s="5" t="s">
        <v>729</v>
      </c>
      <c r="C6" s="6">
        <v>42840</v>
      </c>
      <c r="D6" s="6">
        <v>42845</v>
      </c>
      <c r="E6" s="5" t="s">
        <v>4</v>
      </c>
      <c r="F6" s="5" t="s">
        <v>125</v>
      </c>
      <c r="G6" s="5" t="s">
        <v>126</v>
      </c>
      <c r="H6" s="5" t="s">
        <v>111</v>
      </c>
      <c r="I6" s="5" t="s">
        <v>708</v>
      </c>
      <c r="J6" s="5" t="s">
        <v>127</v>
      </c>
      <c r="K6" s="5" t="s">
        <v>128</v>
      </c>
      <c r="L6" s="5">
        <v>28027</v>
      </c>
      <c r="M6" s="5" t="s">
        <v>709</v>
      </c>
      <c r="N6" s="5" t="s">
        <v>730</v>
      </c>
      <c r="O6" s="5" t="s">
        <v>9</v>
      </c>
      <c r="P6" s="5" t="s">
        <v>731</v>
      </c>
      <c r="Q6" s="5" t="s">
        <v>732</v>
      </c>
      <c r="R6" s="12">
        <v>15.552</v>
      </c>
      <c r="S6" s="4">
        <v>3</v>
      </c>
      <c r="T6" s="14">
        <v>0.2</v>
      </c>
      <c r="U6" s="12">
        <v>5.4432</v>
      </c>
      <c r="V6" s="19">
        <v>5.4432</v>
      </c>
      <c r="W6" s="20">
        <v>12.4416</v>
      </c>
      <c r="X6" s="21" t="str" cm="1">
        <f t="array" ref="X6">IF(OR(R6:R543&lt;0,T5:T543&lt;0,C6:C544=""),"Check","OK")</f>
        <v>Check</v>
      </c>
      <c r="AA6" t="s">
        <v>733</v>
      </c>
    </row>
    <row r="7" ht="17.6" spans="1:24">
      <c r="A7" s="7">
        <v>14</v>
      </c>
      <c r="B7" s="8" t="s">
        <v>734</v>
      </c>
      <c r="C7" s="9">
        <v>42709</v>
      </c>
      <c r="D7" s="9">
        <v>42714</v>
      </c>
      <c r="E7" s="8" t="s">
        <v>4</v>
      </c>
      <c r="F7" s="8" t="s">
        <v>361</v>
      </c>
      <c r="G7" s="8" t="s">
        <v>362</v>
      </c>
      <c r="H7" s="8" t="s">
        <v>111</v>
      </c>
      <c r="I7" s="8" t="s">
        <v>708</v>
      </c>
      <c r="J7" s="8" t="s">
        <v>184</v>
      </c>
      <c r="K7" s="8" t="s">
        <v>185</v>
      </c>
      <c r="L7" s="8">
        <v>98103</v>
      </c>
      <c r="M7" s="8" t="s">
        <v>717</v>
      </c>
      <c r="N7" s="8" t="s">
        <v>735</v>
      </c>
      <c r="O7" s="8" t="s">
        <v>9</v>
      </c>
      <c r="P7" s="8" t="s">
        <v>736</v>
      </c>
      <c r="Q7" s="8" t="s">
        <v>737</v>
      </c>
      <c r="R7" s="15">
        <v>407.976</v>
      </c>
      <c r="S7" s="7">
        <v>3</v>
      </c>
      <c r="T7" s="16">
        <v>0.2</v>
      </c>
      <c r="U7" s="15">
        <v>132.5922</v>
      </c>
      <c r="V7" s="22">
        <v>132.5922</v>
      </c>
      <c r="W7" s="23">
        <v>326.3808</v>
      </c>
      <c r="X7" s="21" t="str" cm="1">
        <f t="array" ref="X7">IF(OR(R7:R544&lt;0,T6:T544&lt;0,C7:C545=""),"Check","OK")</f>
        <v>Check</v>
      </c>
    </row>
    <row r="8" ht="17.6" spans="1:24">
      <c r="A8" s="4">
        <v>15</v>
      </c>
      <c r="B8" s="5" t="s">
        <v>738</v>
      </c>
      <c r="C8" s="6">
        <v>42330</v>
      </c>
      <c r="D8" s="6">
        <v>42334</v>
      </c>
      <c r="E8" s="5" t="s">
        <v>4</v>
      </c>
      <c r="F8" s="5" t="s">
        <v>739</v>
      </c>
      <c r="G8" s="5" t="s">
        <v>740</v>
      </c>
      <c r="H8" s="5" t="s">
        <v>741</v>
      </c>
      <c r="I8" s="5" t="s">
        <v>708</v>
      </c>
      <c r="J8" s="5" t="s">
        <v>548</v>
      </c>
      <c r="K8" s="5" t="s">
        <v>132</v>
      </c>
      <c r="L8" s="5">
        <v>76106</v>
      </c>
      <c r="M8" s="5" t="s">
        <v>742</v>
      </c>
      <c r="N8" s="5" t="s">
        <v>743</v>
      </c>
      <c r="O8" s="5" t="s">
        <v>9</v>
      </c>
      <c r="P8" s="5" t="s">
        <v>744</v>
      </c>
      <c r="Q8" s="5" t="s">
        <v>745</v>
      </c>
      <c r="R8" s="12">
        <v>68.81</v>
      </c>
      <c r="S8" s="4">
        <v>5</v>
      </c>
      <c r="T8" s="14">
        <v>0.8</v>
      </c>
      <c r="U8" s="12">
        <v>-123.858</v>
      </c>
      <c r="V8" s="19">
        <v>123.858</v>
      </c>
      <c r="W8" s="20">
        <v>13.762</v>
      </c>
      <c r="X8" s="21" t="str" cm="1">
        <f t="array" ref="X8">IF(OR(R8:R545&lt;0,T7:T545&lt;0,C8:C546=""),"Check","OK")</f>
        <v>Check</v>
      </c>
    </row>
    <row r="9" ht="17.6" spans="1:24">
      <c r="A9" s="7">
        <v>17</v>
      </c>
      <c r="B9" s="8" t="s">
        <v>746</v>
      </c>
      <c r="C9" s="9">
        <v>41954</v>
      </c>
      <c r="D9" s="9">
        <v>41961</v>
      </c>
      <c r="E9" s="8" t="s">
        <v>4</v>
      </c>
      <c r="F9" s="8" t="s">
        <v>554</v>
      </c>
      <c r="G9" s="8" t="s">
        <v>555</v>
      </c>
      <c r="H9" s="8" t="s">
        <v>111</v>
      </c>
      <c r="I9" s="8" t="s">
        <v>708</v>
      </c>
      <c r="J9" s="8" t="s">
        <v>556</v>
      </c>
      <c r="K9" s="8" t="s">
        <v>155</v>
      </c>
      <c r="L9" s="8">
        <v>53711</v>
      </c>
      <c r="M9" s="8" t="s">
        <v>742</v>
      </c>
      <c r="N9" s="8" t="s">
        <v>747</v>
      </c>
      <c r="O9" s="8" t="s">
        <v>9</v>
      </c>
      <c r="P9" s="8" t="s">
        <v>748</v>
      </c>
      <c r="Q9" s="8" t="s">
        <v>749</v>
      </c>
      <c r="R9" s="15">
        <v>665.88</v>
      </c>
      <c r="S9" s="7">
        <v>6</v>
      </c>
      <c r="T9" s="16">
        <v>0</v>
      </c>
      <c r="U9" s="15">
        <v>13.3176</v>
      </c>
      <c r="V9" s="22">
        <v>13.3176</v>
      </c>
      <c r="W9" s="23">
        <v>665.88</v>
      </c>
      <c r="X9" s="21" t="str" cm="1">
        <f t="array" ref="X9">IF(OR(R9:R546&lt;0,T8:T546&lt;0,C9:C547=""),"Check","OK")</f>
        <v>Check</v>
      </c>
    </row>
    <row r="10" ht="17.6" spans="1:24">
      <c r="A10" s="4">
        <v>18</v>
      </c>
      <c r="B10" s="5" t="s">
        <v>750</v>
      </c>
      <c r="C10" s="6">
        <v>41772</v>
      </c>
      <c r="D10" s="6">
        <v>41774</v>
      </c>
      <c r="E10" s="5" t="s">
        <v>707</v>
      </c>
      <c r="F10" s="5" t="s">
        <v>143</v>
      </c>
      <c r="G10" s="5" t="s">
        <v>144</v>
      </c>
      <c r="H10" s="5" t="s">
        <v>111</v>
      </c>
      <c r="I10" s="5" t="s">
        <v>708</v>
      </c>
      <c r="J10" s="5" t="s">
        <v>145</v>
      </c>
      <c r="K10" s="5" t="s">
        <v>146</v>
      </c>
      <c r="L10" s="5">
        <v>84084</v>
      </c>
      <c r="M10" s="5" t="s">
        <v>717</v>
      </c>
      <c r="N10" s="5" t="s">
        <v>751</v>
      </c>
      <c r="O10" s="5" t="s">
        <v>9</v>
      </c>
      <c r="P10" s="5" t="s">
        <v>748</v>
      </c>
      <c r="Q10" s="5" t="s">
        <v>752</v>
      </c>
      <c r="R10" s="12">
        <v>55.5</v>
      </c>
      <c r="S10" s="4">
        <v>2</v>
      </c>
      <c r="T10" s="14">
        <v>0</v>
      </c>
      <c r="U10" s="12">
        <v>9.99</v>
      </c>
      <c r="V10" s="19">
        <v>9.99</v>
      </c>
      <c r="W10" s="20">
        <v>55.5</v>
      </c>
      <c r="X10" s="21" t="str" cm="1">
        <f t="array" ref="X10">IF(OR(R10:R547&lt;0,T9:T547&lt;0,C10:C548=""),"Check","OK")</f>
        <v>Check</v>
      </c>
    </row>
    <row r="11" ht="17.6" spans="1:24">
      <c r="A11" s="7">
        <v>19</v>
      </c>
      <c r="B11" s="8" t="s">
        <v>753</v>
      </c>
      <c r="C11" s="9">
        <v>41878</v>
      </c>
      <c r="D11" s="9">
        <v>41883</v>
      </c>
      <c r="E11" s="8" t="s">
        <v>707</v>
      </c>
      <c r="F11" s="8" t="s">
        <v>693</v>
      </c>
      <c r="G11" s="8" t="s">
        <v>694</v>
      </c>
      <c r="H11" s="8" t="s">
        <v>111</v>
      </c>
      <c r="I11" s="8" t="s">
        <v>708</v>
      </c>
      <c r="J11" s="8" t="s">
        <v>188</v>
      </c>
      <c r="K11" s="8" t="s">
        <v>136</v>
      </c>
      <c r="L11" s="8">
        <v>94109</v>
      </c>
      <c r="M11" s="8" t="s">
        <v>717</v>
      </c>
      <c r="N11" s="8" t="s">
        <v>83</v>
      </c>
      <c r="O11" s="8" t="s">
        <v>9</v>
      </c>
      <c r="P11" s="8" t="s">
        <v>16</v>
      </c>
      <c r="Q11" s="8" t="s">
        <v>82</v>
      </c>
      <c r="R11" s="15">
        <v>8.56</v>
      </c>
      <c r="S11" s="7">
        <v>2</v>
      </c>
      <c r="T11" s="16">
        <v>0</v>
      </c>
      <c r="U11" s="15">
        <v>2.4824</v>
      </c>
      <c r="V11" s="22">
        <v>2.4824</v>
      </c>
      <c r="W11" s="23">
        <v>8.56</v>
      </c>
      <c r="X11" s="21" t="str" cm="1">
        <f t="array" ref="X11">IF(OR(R11:R548&lt;0,T10:T548&lt;0,C11:C549=""),"Check","OK")</f>
        <v>Check</v>
      </c>
    </row>
    <row r="12" ht="17.6" spans="1:33">
      <c r="A12" s="4">
        <v>22</v>
      </c>
      <c r="B12" s="5" t="s">
        <v>754</v>
      </c>
      <c r="C12" s="6">
        <v>42713</v>
      </c>
      <c r="D12" s="6">
        <v>42717</v>
      </c>
      <c r="E12" s="5" t="s">
        <v>4</v>
      </c>
      <c r="F12" s="5" t="s">
        <v>755</v>
      </c>
      <c r="G12" s="5" t="s">
        <v>756</v>
      </c>
      <c r="H12" s="5" t="s">
        <v>716</v>
      </c>
      <c r="I12" s="5" t="s">
        <v>708</v>
      </c>
      <c r="J12" s="5" t="s">
        <v>757</v>
      </c>
      <c r="K12" s="5" t="s">
        <v>124</v>
      </c>
      <c r="L12" s="5">
        <v>68025</v>
      </c>
      <c r="M12" s="5" t="s">
        <v>742</v>
      </c>
      <c r="N12" s="5" t="s">
        <v>69</v>
      </c>
      <c r="O12" s="5" t="s">
        <v>9</v>
      </c>
      <c r="P12" s="5" t="s">
        <v>16</v>
      </c>
      <c r="Q12" s="5" t="s">
        <v>68</v>
      </c>
      <c r="R12" s="12">
        <v>19.46</v>
      </c>
      <c r="S12" s="4">
        <v>7</v>
      </c>
      <c r="T12" s="14">
        <v>0</v>
      </c>
      <c r="U12" s="12">
        <v>5.0596</v>
      </c>
      <c r="V12" s="19">
        <v>5.0596</v>
      </c>
      <c r="W12" s="20">
        <v>19.46</v>
      </c>
      <c r="X12" s="21" t="str" cm="1">
        <f t="array" ref="X12">IF(OR(R12:R549&lt;0,T11:T549&lt;0,C12:C550=""),"Check","OK")</f>
        <v>Check</v>
      </c>
      <c r="AA12" s="24"/>
      <c r="AC12" s="27"/>
      <c r="AF12" s="28"/>
      <c r="AG12" s="28"/>
    </row>
    <row r="13" ht="17.6" spans="1:24">
      <c r="A13" s="7">
        <v>24</v>
      </c>
      <c r="B13" s="8" t="s">
        <v>758</v>
      </c>
      <c r="C13" s="9">
        <v>42932</v>
      </c>
      <c r="D13" s="9">
        <v>42934</v>
      </c>
      <c r="E13" s="8" t="s">
        <v>707</v>
      </c>
      <c r="F13" s="8" t="s">
        <v>623</v>
      </c>
      <c r="G13" s="8" t="s">
        <v>624</v>
      </c>
      <c r="H13" s="8" t="s">
        <v>111</v>
      </c>
      <c r="I13" s="8" t="s">
        <v>708</v>
      </c>
      <c r="J13" s="8" t="s">
        <v>175</v>
      </c>
      <c r="K13" s="8" t="s">
        <v>176</v>
      </c>
      <c r="L13" s="8">
        <v>19140</v>
      </c>
      <c r="M13" s="8" t="s">
        <v>759</v>
      </c>
      <c r="N13" s="8" t="s">
        <v>760</v>
      </c>
      <c r="O13" s="8" t="s">
        <v>8</v>
      </c>
      <c r="P13" s="8" t="s">
        <v>761</v>
      </c>
      <c r="Q13" s="8" t="s">
        <v>762</v>
      </c>
      <c r="R13" s="15">
        <v>71.372</v>
      </c>
      <c r="S13" s="7">
        <v>2</v>
      </c>
      <c r="T13" s="16">
        <v>0.3</v>
      </c>
      <c r="U13" s="15">
        <v>-1.0196</v>
      </c>
      <c r="V13" s="22">
        <v>1.0196</v>
      </c>
      <c r="W13" s="23">
        <v>49.9604</v>
      </c>
      <c r="X13" s="21" t="str" cm="1">
        <f t="array" ref="X13">IF(OR(R13:R550&lt;0,T12:T550&lt;0,C13:C551=""),"Check","OK")</f>
        <v>Check</v>
      </c>
    </row>
    <row r="14" ht="17.6" spans="1:24">
      <c r="A14" s="4">
        <v>25</v>
      </c>
      <c r="B14" s="5" t="s">
        <v>763</v>
      </c>
      <c r="C14" s="6">
        <v>42272</v>
      </c>
      <c r="D14" s="6">
        <v>42277</v>
      </c>
      <c r="E14" s="5" t="s">
        <v>4</v>
      </c>
      <c r="F14" s="5" t="s">
        <v>309</v>
      </c>
      <c r="G14" s="5" t="s">
        <v>310</v>
      </c>
      <c r="H14" s="5" t="s">
        <v>111</v>
      </c>
      <c r="I14" s="5" t="s">
        <v>708</v>
      </c>
      <c r="J14" s="5" t="s">
        <v>311</v>
      </c>
      <c r="K14" s="5" t="s">
        <v>146</v>
      </c>
      <c r="L14" s="5">
        <v>84057</v>
      </c>
      <c r="M14" s="5" t="s">
        <v>717</v>
      </c>
      <c r="N14" s="5" t="s">
        <v>722</v>
      </c>
      <c r="O14" s="5" t="s">
        <v>8</v>
      </c>
      <c r="P14" s="5" t="s">
        <v>723</v>
      </c>
      <c r="Q14" s="5" t="s">
        <v>724</v>
      </c>
      <c r="R14" s="12">
        <v>1044.63</v>
      </c>
      <c r="S14" s="4">
        <v>3</v>
      </c>
      <c r="T14" s="14">
        <v>0</v>
      </c>
      <c r="U14" s="12">
        <v>240.2649</v>
      </c>
      <c r="V14" s="19">
        <v>240.2649</v>
      </c>
      <c r="W14" s="20">
        <v>1044.63</v>
      </c>
      <c r="X14" s="21" t="str" cm="1">
        <f t="array" ref="X14">IF(OR(R14:R551&lt;0,T13:T551&lt;0,C14:C552=""),"Check","OK")</f>
        <v>Check</v>
      </c>
    </row>
    <row r="15" ht="17.6" spans="1:24">
      <c r="A15" s="7">
        <v>26</v>
      </c>
      <c r="B15" s="8" t="s">
        <v>764</v>
      </c>
      <c r="C15" s="9">
        <v>42385</v>
      </c>
      <c r="D15" s="9">
        <v>42389</v>
      </c>
      <c r="E15" s="8" t="s">
        <v>707</v>
      </c>
      <c r="F15" s="8" t="s">
        <v>317</v>
      </c>
      <c r="G15" s="8" t="s">
        <v>318</v>
      </c>
      <c r="H15" s="8" t="s">
        <v>111</v>
      </c>
      <c r="I15" s="8" t="s">
        <v>708</v>
      </c>
      <c r="J15" s="8" t="s">
        <v>135</v>
      </c>
      <c r="K15" s="8" t="s">
        <v>136</v>
      </c>
      <c r="L15" s="8">
        <v>90049</v>
      </c>
      <c r="M15" s="8" t="s">
        <v>717</v>
      </c>
      <c r="N15" s="8" t="s">
        <v>765</v>
      </c>
      <c r="O15" s="8" t="s">
        <v>9</v>
      </c>
      <c r="P15" s="8" t="s">
        <v>736</v>
      </c>
      <c r="Q15" s="8" t="s">
        <v>766</v>
      </c>
      <c r="R15" s="15">
        <v>11.648</v>
      </c>
      <c r="S15" s="7">
        <v>2</v>
      </c>
      <c r="T15" s="16">
        <v>0.2</v>
      </c>
      <c r="U15" s="15">
        <v>4.2224</v>
      </c>
      <c r="V15" s="22">
        <v>4.2224</v>
      </c>
      <c r="W15" s="23">
        <v>9.3184</v>
      </c>
      <c r="X15" s="21" t="str" cm="1">
        <f t="array" ref="X15">IF(OR(R15:R552&lt;0,T14:T552&lt;0,C15:C553=""),"Check","OK")</f>
        <v>Check</v>
      </c>
    </row>
    <row r="16" ht="17.6" spans="1:24">
      <c r="A16" s="4">
        <v>28</v>
      </c>
      <c r="B16" s="5" t="s">
        <v>767</v>
      </c>
      <c r="C16" s="6">
        <v>42264</v>
      </c>
      <c r="D16" s="6">
        <v>42268</v>
      </c>
      <c r="E16" s="5" t="s">
        <v>4</v>
      </c>
      <c r="F16" s="5" t="s">
        <v>656</v>
      </c>
      <c r="G16" s="5" t="s">
        <v>657</v>
      </c>
      <c r="H16" s="5" t="s">
        <v>111</v>
      </c>
      <c r="I16" s="5" t="s">
        <v>708</v>
      </c>
      <c r="J16" s="5" t="s">
        <v>175</v>
      </c>
      <c r="K16" s="5" t="s">
        <v>176</v>
      </c>
      <c r="L16" s="5">
        <v>19140</v>
      </c>
      <c r="M16" s="5" t="s">
        <v>759</v>
      </c>
      <c r="N16" s="5" t="s">
        <v>768</v>
      </c>
      <c r="O16" s="5" t="s">
        <v>8</v>
      </c>
      <c r="P16" s="5" t="s">
        <v>711</v>
      </c>
      <c r="Q16" s="5" t="s">
        <v>769</v>
      </c>
      <c r="R16" s="12">
        <v>3083.43</v>
      </c>
      <c r="S16" s="4">
        <v>7</v>
      </c>
      <c r="T16" s="14">
        <v>0.5</v>
      </c>
      <c r="U16" s="12">
        <v>-1665.0522</v>
      </c>
      <c r="V16" s="19">
        <v>1665.0522</v>
      </c>
      <c r="W16" s="20">
        <v>1541.715</v>
      </c>
      <c r="X16" s="21" t="str" cm="1">
        <f t="array" ref="X16">IF(OR(R16:R553&lt;0,T15:T553&lt;0,C16:C554=""),"Check","OK")</f>
        <v>Check</v>
      </c>
    </row>
    <row r="17" ht="17.6" spans="1:24">
      <c r="A17" s="7">
        <v>35</v>
      </c>
      <c r="B17" s="8" t="s">
        <v>770</v>
      </c>
      <c r="C17" s="9">
        <v>43027</v>
      </c>
      <c r="D17" s="9">
        <v>43031</v>
      </c>
      <c r="E17" s="8" t="s">
        <v>707</v>
      </c>
      <c r="F17" s="8" t="s">
        <v>771</v>
      </c>
      <c r="G17" s="8" t="s">
        <v>772</v>
      </c>
      <c r="H17" s="8" t="s">
        <v>741</v>
      </c>
      <c r="I17" s="8" t="s">
        <v>708</v>
      </c>
      <c r="J17" s="8" t="s">
        <v>131</v>
      </c>
      <c r="K17" s="8" t="s">
        <v>132</v>
      </c>
      <c r="L17" s="8">
        <v>77095</v>
      </c>
      <c r="M17" s="8" t="s">
        <v>742</v>
      </c>
      <c r="N17" s="8" t="s">
        <v>773</v>
      </c>
      <c r="O17" s="8" t="s">
        <v>9</v>
      </c>
      <c r="P17" s="8" t="s">
        <v>731</v>
      </c>
      <c r="Q17" s="8" t="s">
        <v>774</v>
      </c>
      <c r="R17" s="15">
        <v>29.472</v>
      </c>
      <c r="S17" s="7">
        <v>3</v>
      </c>
      <c r="T17" s="16">
        <v>0.2</v>
      </c>
      <c r="U17" s="15">
        <v>9.9468</v>
      </c>
      <c r="V17" s="22">
        <v>9.9468</v>
      </c>
      <c r="W17" s="23">
        <v>23.5776</v>
      </c>
      <c r="X17" s="21" t="str" cm="1">
        <f t="array" ref="X17">IF(OR(R17:R554&lt;0,T16:T554&lt;0,C17:C555=""),"Check","OK")</f>
        <v>Check</v>
      </c>
    </row>
    <row r="18" ht="17.6" spans="1:24">
      <c r="A18" s="4">
        <v>36</v>
      </c>
      <c r="B18" s="5" t="s">
        <v>775</v>
      </c>
      <c r="C18" s="6">
        <v>42712</v>
      </c>
      <c r="D18" s="6">
        <v>42714</v>
      </c>
      <c r="E18" s="5" t="s">
        <v>13</v>
      </c>
      <c r="F18" s="5" t="s">
        <v>776</v>
      </c>
      <c r="G18" s="5" t="s">
        <v>777</v>
      </c>
      <c r="H18" s="5" t="s">
        <v>716</v>
      </c>
      <c r="I18" s="5" t="s">
        <v>708</v>
      </c>
      <c r="J18" s="5" t="s">
        <v>778</v>
      </c>
      <c r="K18" s="5" t="s">
        <v>132</v>
      </c>
      <c r="L18" s="5">
        <v>75080</v>
      </c>
      <c r="M18" s="5" t="s">
        <v>742</v>
      </c>
      <c r="N18" s="5" t="s">
        <v>779</v>
      </c>
      <c r="O18" s="5" t="s">
        <v>10</v>
      </c>
      <c r="P18" s="5" t="s">
        <v>780</v>
      </c>
      <c r="Q18" s="5" t="s">
        <v>781</v>
      </c>
      <c r="R18" s="12">
        <v>1097.544</v>
      </c>
      <c r="S18" s="4">
        <v>7</v>
      </c>
      <c r="T18" s="14">
        <v>0.2</v>
      </c>
      <c r="U18" s="12">
        <v>123.4737</v>
      </c>
      <c r="V18" s="19">
        <v>123.4737</v>
      </c>
      <c r="W18" s="20">
        <v>878.0352</v>
      </c>
      <c r="X18" s="21" t="str" cm="1">
        <f t="array" ref="X18">IF(OR(R18:R555&lt;0,T17:T555&lt;0,C18:C556=""),"Check","OK")</f>
        <v>Check</v>
      </c>
    </row>
    <row r="19" ht="17.6" spans="1:24">
      <c r="A19" s="7">
        <v>38</v>
      </c>
      <c r="B19" s="8" t="s">
        <v>782</v>
      </c>
      <c r="C19" s="9">
        <v>42365</v>
      </c>
      <c r="D19" s="9">
        <v>42369</v>
      </c>
      <c r="E19" s="8" t="s">
        <v>4</v>
      </c>
      <c r="F19" s="8" t="s">
        <v>783</v>
      </c>
      <c r="G19" s="8" t="s">
        <v>784</v>
      </c>
      <c r="H19" s="8" t="s">
        <v>741</v>
      </c>
      <c r="I19" s="8" t="s">
        <v>708</v>
      </c>
      <c r="J19" s="8" t="s">
        <v>131</v>
      </c>
      <c r="K19" s="8" t="s">
        <v>132</v>
      </c>
      <c r="L19" s="8">
        <v>77041</v>
      </c>
      <c r="M19" s="8" t="s">
        <v>742</v>
      </c>
      <c r="N19" s="8" t="s">
        <v>785</v>
      </c>
      <c r="O19" s="8" t="s">
        <v>9</v>
      </c>
      <c r="P19" s="8" t="s">
        <v>786</v>
      </c>
      <c r="Q19" s="8" t="s">
        <v>787</v>
      </c>
      <c r="R19" s="15">
        <v>113.328</v>
      </c>
      <c r="S19" s="7">
        <v>9</v>
      </c>
      <c r="T19" s="16">
        <v>0.2</v>
      </c>
      <c r="U19" s="15">
        <v>35.415</v>
      </c>
      <c r="V19" s="22">
        <v>35.415</v>
      </c>
      <c r="W19" s="23">
        <v>90.6624</v>
      </c>
      <c r="X19" s="21" t="str" cm="1">
        <f t="array" ref="X19">IF(OR(R19:R556&lt;0,T18:T556&lt;0,C19:C557=""),"Check","OK")</f>
        <v>Check</v>
      </c>
    </row>
    <row r="20" ht="17.6" spans="1:24">
      <c r="A20" s="4">
        <v>42</v>
      </c>
      <c r="B20" s="5" t="s">
        <v>788</v>
      </c>
      <c r="C20" s="6">
        <v>42988</v>
      </c>
      <c r="D20" s="6">
        <v>42993</v>
      </c>
      <c r="E20" s="5" t="s">
        <v>4</v>
      </c>
      <c r="F20" s="5" t="s">
        <v>789</v>
      </c>
      <c r="G20" s="5" t="s">
        <v>790</v>
      </c>
      <c r="H20" s="5" t="s">
        <v>716</v>
      </c>
      <c r="I20" s="5" t="s">
        <v>708</v>
      </c>
      <c r="J20" s="5" t="s">
        <v>671</v>
      </c>
      <c r="K20" s="5" t="s">
        <v>183</v>
      </c>
      <c r="L20" s="5">
        <v>60540</v>
      </c>
      <c r="M20" s="5" t="s">
        <v>742</v>
      </c>
      <c r="N20" s="5" t="s">
        <v>791</v>
      </c>
      <c r="O20" s="5" t="s">
        <v>10</v>
      </c>
      <c r="P20" s="5" t="s">
        <v>780</v>
      </c>
      <c r="Q20" s="5" t="s">
        <v>792</v>
      </c>
      <c r="R20" s="12">
        <v>147.168</v>
      </c>
      <c r="S20" s="4">
        <v>4</v>
      </c>
      <c r="T20" s="14">
        <v>0.2</v>
      </c>
      <c r="U20" s="12">
        <v>16.5564</v>
      </c>
      <c r="V20" s="19">
        <v>16.5564</v>
      </c>
      <c r="W20" s="20">
        <v>117.7344</v>
      </c>
      <c r="X20" s="21" t="str" cm="1">
        <f t="array" ref="X20">IF(OR(R20:R557&lt;0,T19:T557&lt;0,C20:C558=""),"Check","OK")</f>
        <v>Check</v>
      </c>
    </row>
    <row r="21" ht="17.6" spans="1:24">
      <c r="A21" s="7">
        <v>43</v>
      </c>
      <c r="B21" s="8" t="s">
        <v>793</v>
      </c>
      <c r="C21" s="9">
        <v>42568</v>
      </c>
      <c r="D21" s="9">
        <v>42573</v>
      </c>
      <c r="E21" s="8" t="s">
        <v>4</v>
      </c>
      <c r="F21" s="8" t="s">
        <v>794</v>
      </c>
      <c r="G21" s="8" t="s">
        <v>795</v>
      </c>
      <c r="H21" s="8" t="s">
        <v>716</v>
      </c>
      <c r="I21" s="8" t="s">
        <v>708</v>
      </c>
      <c r="J21" s="8" t="s">
        <v>135</v>
      </c>
      <c r="K21" s="8" t="s">
        <v>136</v>
      </c>
      <c r="L21" s="8">
        <v>90049</v>
      </c>
      <c r="M21" s="8" t="s">
        <v>717</v>
      </c>
      <c r="N21" s="8" t="s">
        <v>796</v>
      </c>
      <c r="O21" s="8" t="s">
        <v>9</v>
      </c>
      <c r="P21" s="8" t="s">
        <v>748</v>
      </c>
      <c r="Q21" s="8" t="s">
        <v>797</v>
      </c>
      <c r="R21" s="15">
        <v>77.88</v>
      </c>
      <c r="S21" s="7">
        <v>2</v>
      </c>
      <c r="T21" s="16">
        <v>0</v>
      </c>
      <c r="U21" s="15">
        <v>3.894</v>
      </c>
      <c r="V21" s="22">
        <v>3.894</v>
      </c>
      <c r="W21" s="23">
        <v>77.88</v>
      </c>
      <c r="X21" s="21" t="str" cm="1">
        <f t="array" ref="X21">IF(OR(R21:R558&lt;0,T20:T558&lt;0,C21:C559=""),"Check","OK")</f>
        <v>Check</v>
      </c>
    </row>
    <row r="22" ht="17.6" spans="1:24">
      <c r="A22" s="4">
        <v>44</v>
      </c>
      <c r="B22" s="5" t="s">
        <v>798</v>
      </c>
      <c r="C22" s="6">
        <v>42997</v>
      </c>
      <c r="D22" s="6">
        <v>43001</v>
      </c>
      <c r="E22" s="5" t="s">
        <v>4</v>
      </c>
      <c r="F22" s="5" t="s">
        <v>799</v>
      </c>
      <c r="G22" s="5" t="s">
        <v>800</v>
      </c>
      <c r="H22" s="5" t="s">
        <v>716</v>
      </c>
      <c r="I22" s="5" t="s">
        <v>708</v>
      </c>
      <c r="J22" s="5" t="s">
        <v>801</v>
      </c>
      <c r="K22" s="5" t="s">
        <v>172</v>
      </c>
      <c r="L22" s="5">
        <v>32935</v>
      </c>
      <c r="M22" s="5" t="s">
        <v>709</v>
      </c>
      <c r="N22" s="5" t="s">
        <v>802</v>
      </c>
      <c r="O22" s="5" t="s">
        <v>9</v>
      </c>
      <c r="P22" s="5" t="s">
        <v>748</v>
      </c>
      <c r="Q22" s="5" t="s">
        <v>803</v>
      </c>
      <c r="R22" s="12">
        <v>95.616</v>
      </c>
      <c r="S22" s="4">
        <v>2</v>
      </c>
      <c r="T22" s="14">
        <v>0.2</v>
      </c>
      <c r="U22" s="12">
        <v>9.5616</v>
      </c>
      <c r="V22" s="19">
        <v>9.5616</v>
      </c>
      <c r="W22" s="20">
        <v>76.4928</v>
      </c>
      <c r="X22" s="21" t="str" cm="1">
        <f t="array" ref="X22">IF(OR(R22:R559&lt;0,T21:T559&lt;0,C22:C560=""),"Check","OK")</f>
        <v>Check</v>
      </c>
    </row>
    <row r="23" ht="17.6" spans="1:24">
      <c r="A23" s="7">
        <v>45</v>
      </c>
      <c r="B23" s="8" t="s">
        <v>804</v>
      </c>
      <c r="C23" s="9">
        <v>42440</v>
      </c>
      <c r="D23" s="9">
        <v>42442</v>
      </c>
      <c r="E23" s="8" t="s">
        <v>13</v>
      </c>
      <c r="F23" s="8" t="s">
        <v>805</v>
      </c>
      <c r="G23" s="8" t="s">
        <v>806</v>
      </c>
      <c r="H23" s="8" t="s">
        <v>716</v>
      </c>
      <c r="I23" s="8" t="s">
        <v>708</v>
      </c>
      <c r="J23" s="8" t="s">
        <v>807</v>
      </c>
      <c r="K23" s="8" t="s">
        <v>280</v>
      </c>
      <c r="L23" s="8">
        <v>55122</v>
      </c>
      <c r="M23" s="8" t="s">
        <v>742</v>
      </c>
      <c r="N23" s="8" t="s">
        <v>808</v>
      </c>
      <c r="O23" s="8" t="s">
        <v>10</v>
      </c>
      <c r="P23" s="8" t="s">
        <v>809</v>
      </c>
      <c r="Q23" s="8" t="s">
        <v>810</v>
      </c>
      <c r="R23" s="15">
        <v>45.98</v>
      </c>
      <c r="S23" s="7">
        <v>2</v>
      </c>
      <c r="T23" s="16">
        <v>0</v>
      </c>
      <c r="U23" s="15">
        <v>19.7714</v>
      </c>
      <c r="V23" s="22">
        <v>19.7714</v>
      </c>
      <c r="W23" s="23">
        <v>45.98</v>
      </c>
      <c r="X23" s="21" t="str" cm="1">
        <f t="array" ref="X23">IF(OR(R23:R560&lt;0,T22:T560&lt;0,C23:C561=""),"Check","OK")</f>
        <v>Check</v>
      </c>
    </row>
    <row r="24" ht="17.6" spans="1:24">
      <c r="A24" s="4">
        <v>47</v>
      </c>
      <c r="B24" s="5" t="s">
        <v>811</v>
      </c>
      <c r="C24" s="6">
        <v>41932</v>
      </c>
      <c r="D24" s="6">
        <v>41937</v>
      </c>
      <c r="E24" s="5" t="s">
        <v>707</v>
      </c>
      <c r="F24" s="5" t="s">
        <v>559</v>
      </c>
      <c r="G24" s="5" t="s">
        <v>560</v>
      </c>
      <c r="H24" s="5" t="s">
        <v>111</v>
      </c>
      <c r="I24" s="5" t="s">
        <v>708</v>
      </c>
      <c r="J24" s="5" t="s">
        <v>563</v>
      </c>
      <c r="K24" s="5" t="s">
        <v>163</v>
      </c>
      <c r="L24" s="5">
        <v>48185</v>
      </c>
      <c r="M24" s="5" t="s">
        <v>742</v>
      </c>
      <c r="N24" s="5" t="s">
        <v>812</v>
      </c>
      <c r="O24" s="5" t="s">
        <v>9</v>
      </c>
      <c r="P24" s="5" t="s">
        <v>748</v>
      </c>
      <c r="Q24" s="5" t="s">
        <v>813</v>
      </c>
      <c r="R24" s="12">
        <v>211.96</v>
      </c>
      <c r="S24" s="4">
        <v>4</v>
      </c>
      <c r="T24" s="14">
        <v>0</v>
      </c>
      <c r="U24" s="12">
        <v>8.4784</v>
      </c>
      <c r="V24" s="19">
        <v>8.4784</v>
      </c>
      <c r="W24" s="20">
        <v>211.96</v>
      </c>
      <c r="X24" s="21" t="str" cm="1">
        <f t="array" ref="X24">IF(OR(R24:R561&lt;0,T23:T561&lt;0,C24:C562=""),"Check","OK")</f>
        <v>Check</v>
      </c>
    </row>
    <row r="25" ht="17.6" spans="1:24">
      <c r="A25" s="7">
        <v>48</v>
      </c>
      <c r="B25" s="8" t="s">
        <v>814</v>
      </c>
      <c r="C25" s="9">
        <v>42541</v>
      </c>
      <c r="D25" s="9">
        <v>42546</v>
      </c>
      <c r="E25" s="8" t="s">
        <v>4</v>
      </c>
      <c r="F25" s="8" t="s">
        <v>463</v>
      </c>
      <c r="G25" s="8" t="s">
        <v>464</v>
      </c>
      <c r="H25" s="8" t="s">
        <v>111</v>
      </c>
      <c r="I25" s="8" t="s">
        <v>708</v>
      </c>
      <c r="J25" s="8" t="s">
        <v>465</v>
      </c>
      <c r="K25" s="8" t="s">
        <v>466</v>
      </c>
      <c r="L25" s="8">
        <v>19901</v>
      </c>
      <c r="M25" s="8" t="s">
        <v>759</v>
      </c>
      <c r="N25" s="8" t="s">
        <v>815</v>
      </c>
      <c r="O25" s="8" t="s">
        <v>10</v>
      </c>
      <c r="P25" s="8" t="s">
        <v>809</v>
      </c>
      <c r="Q25" s="8" t="s">
        <v>816</v>
      </c>
      <c r="R25" s="15">
        <v>45</v>
      </c>
      <c r="S25" s="7">
        <v>3</v>
      </c>
      <c r="T25" s="16">
        <v>0</v>
      </c>
      <c r="U25" s="15">
        <v>4.95</v>
      </c>
      <c r="V25" s="22">
        <v>4.95</v>
      </c>
      <c r="W25" s="23">
        <v>45</v>
      </c>
      <c r="X25" s="21" t="str" cm="1">
        <f t="array" ref="X25">IF(OR(R25:R562&lt;0,T24:T562&lt;0,C25:C563=""),"Check","OK")</f>
        <v>Check</v>
      </c>
    </row>
    <row r="26" ht="17.6" spans="1:24">
      <c r="A26" s="4">
        <v>50</v>
      </c>
      <c r="B26" s="5" t="s">
        <v>817</v>
      </c>
      <c r="C26" s="6">
        <v>42112</v>
      </c>
      <c r="D26" s="6">
        <v>42116</v>
      </c>
      <c r="E26" s="5" t="s">
        <v>4</v>
      </c>
      <c r="F26" s="5" t="s">
        <v>301</v>
      </c>
      <c r="G26" s="5" t="s">
        <v>302</v>
      </c>
      <c r="H26" s="5" t="s">
        <v>111</v>
      </c>
      <c r="I26" s="5" t="s">
        <v>708</v>
      </c>
      <c r="J26" s="5" t="s">
        <v>303</v>
      </c>
      <c r="K26" s="5" t="s">
        <v>304</v>
      </c>
      <c r="L26" s="5">
        <v>47150</v>
      </c>
      <c r="M26" s="5" t="s">
        <v>742</v>
      </c>
      <c r="N26" s="5" t="s">
        <v>818</v>
      </c>
      <c r="O26" s="5" t="s">
        <v>9</v>
      </c>
      <c r="P26" s="5" t="s">
        <v>736</v>
      </c>
      <c r="Q26" s="5" t="s">
        <v>819</v>
      </c>
      <c r="R26" s="12">
        <v>38.22</v>
      </c>
      <c r="S26" s="4">
        <v>6</v>
      </c>
      <c r="T26" s="14">
        <v>0</v>
      </c>
      <c r="U26" s="12">
        <v>17.9634</v>
      </c>
      <c r="V26" s="19">
        <v>17.9634</v>
      </c>
      <c r="W26" s="20">
        <v>38.22</v>
      </c>
      <c r="X26" s="21" t="str" cm="1">
        <f t="array" ref="X26">IF(OR(R26:R563&lt;0,T25:T563&lt;0,C26:C564=""),"Check","OK")</f>
        <v>Check</v>
      </c>
    </row>
    <row r="27" ht="17.6" spans="1:24">
      <c r="A27" s="7">
        <v>54</v>
      </c>
      <c r="B27" s="8" t="s">
        <v>820</v>
      </c>
      <c r="C27" s="9">
        <v>42715</v>
      </c>
      <c r="D27" s="9">
        <v>42721</v>
      </c>
      <c r="E27" s="8" t="s">
        <v>4</v>
      </c>
      <c r="F27" s="8" t="s">
        <v>821</v>
      </c>
      <c r="G27" s="8" t="s">
        <v>822</v>
      </c>
      <c r="H27" s="8" t="s">
        <v>716</v>
      </c>
      <c r="I27" s="8" t="s">
        <v>708</v>
      </c>
      <c r="J27" s="8" t="s">
        <v>204</v>
      </c>
      <c r="K27" s="8" t="s">
        <v>168</v>
      </c>
      <c r="L27" s="8">
        <v>10024</v>
      </c>
      <c r="M27" s="8" t="s">
        <v>759</v>
      </c>
      <c r="N27" s="8" t="s">
        <v>823</v>
      </c>
      <c r="O27" s="8" t="s">
        <v>9</v>
      </c>
      <c r="P27" s="8" t="s">
        <v>824</v>
      </c>
      <c r="Q27" s="8" t="s">
        <v>825</v>
      </c>
      <c r="R27" s="15">
        <v>15.26</v>
      </c>
      <c r="S27" s="7">
        <v>7</v>
      </c>
      <c r="T27" s="16">
        <v>0</v>
      </c>
      <c r="U27" s="15">
        <v>6.2566</v>
      </c>
      <c r="V27" s="22">
        <v>6.2566</v>
      </c>
      <c r="W27" s="23">
        <v>15.26</v>
      </c>
      <c r="X27" s="21" t="str" cm="1">
        <f t="array" ref="X27">IF(OR(R27:R564&lt;0,T26:T564&lt;0,C27:C565=""),"Check","OK")</f>
        <v>Check</v>
      </c>
    </row>
    <row r="28" ht="17.6" spans="1:24">
      <c r="A28" s="4">
        <v>56</v>
      </c>
      <c r="B28" s="5" t="s">
        <v>826</v>
      </c>
      <c r="C28" s="6">
        <v>42538</v>
      </c>
      <c r="D28" s="6">
        <v>42539</v>
      </c>
      <c r="E28" s="5" t="s">
        <v>13</v>
      </c>
      <c r="F28" s="5" t="s">
        <v>654</v>
      </c>
      <c r="G28" s="5" t="s">
        <v>655</v>
      </c>
      <c r="H28" s="5" t="s">
        <v>111</v>
      </c>
      <c r="I28" s="5" t="s">
        <v>708</v>
      </c>
      <c r="J28" s="5" t="s">
        <v>376</v>
      </c>
      <c r="K28" s="5" t="s">
        <v>168</v>
      </c>
      <c r="L28" s="5">
        <v>12180</v>
      </c>
      <c r="M28" s="5" t="s">
        <v>759</v>
      </c>
      <c r="N28" s="5" t="s">
        <v>827</v>
      </c>
      <c r="O28" s="5" t="s">
        <v>9</v>
      </c>
      <c r="P28" s="5" t="s">
        <v>748</v>
      </c>
      <c r="Q28" s="5" t="s">
        <v>828</v>
      </c>
      <c r="R28" s="12">
        <v>208.56</v>
      </c>
      <c r="S28" s="4">
        <v>6</v>
      </c>
      <c r="T28" s="14">
        <v>0</v>
      </c>
      <c r="U28" s="12">
        <v>52.14</v>
      </c>
      <c r="V28" s="19">
        <v>52.14</v>
      </c>
      <c r="W28" s="20">
        <v>208.56</v>
      </c>
      <c r="X28" s="21" t="str" cm="1">
        <f t="array" ref="X28">IF(OR(R28:R565&lt;0,T27:T565&lt;0,C28:C566=""),"Check","OK")</f>
        <v>Check</v>
      </c>
    </row>
    <row r="29" ht="17.6" spans="1:24">
      <c r="A29" s="7">
        <v>63</v>
      </c>
      <c r="B29" s="8" t="s">
        <v>829</v>
      </c>
      <c r="C29" s="9">
        <v>42332</v>
      </c>
      <c r="D29" s="9">
        <v>42338</v>
      </c>
      <c r="E29" s="8" t="s">
        <v>4</v>
      </c>
      <c r="F29" s="8" t="s">
        <v>445</v>
      </c>
      <c r="G29" s="8" t="s">
        <v>446</v>
      </c>
      <c r="H29" s="8" t="s">
        <v>111</v>
      </c>
      <c r="I29" s="8" t="s">
        <v>708</v>
      </c>
      <c r="J29" s="8" t="s">
        <v>135</v>
      </c>
      <c r="K29" s="8" t="s">
        <v>136</v>
      </c>
      <c r="L29" s="8">
        <v>90004</v>
      </c>
      <c r="M29" s="8" t="s">
        <v>717</v>
      </c>
      <c r="N29" s="8" t="s">
        <v>830</v>
      </c>
      <c r="O29" s="8" t="s">
        <v>10</v>
      </c>
      <c r="P29" s="8" t="s">
        <v>809</v>
      </c>
      <c r="Q29" s="8" t="s">
        <v>831</v>
      </c>
      <c r="R29" s="15">
        <v>13.98</v>
      </c>
      <c r="S29" s="7">
        <v>2</v>
      </c>
      <c r="T29" s="16">
        <v>0</v>
      </c>
      <c r="U29" s="15">
        <v>6.1512</v>
      </c>
      <c r="V29" s="22">
        <v>6.1512</v>
      </c>
      <c r="W29" s="23">
        <v>13.98</v>
      </c>
      <c r="X29" s="21" t="str" cm="1">
        <f t="array" ref="X29">IF(OR(R29:R566&lt;0,T28:T566&lt;0,C29:C567=""),"Check","OK")</f>
        <v>OK</v>
      </c>
    </row>
    <row r="30" ht="17.6" spans="1:37">
      <c r="A30" s="4">
        <v>67</v>
      </c>
      <c r="B30" s="5" t="s">
        <v>832</v>
      </c>
      <c r="C30" s="6">
        <v>42124</v>
      </c>
      <c r="D30" s="6">
        <v>42129</v>
      </c>
      <c r="E30" s="5" t="s">
        <v>4</v>
      </c>
      <c r="F30" s="5" t="s">
        <v>833</v>
      </c>
      <c r="G30" s="5" t="s">
        <v>834</v>
      </c>
      <c r="H30" s="5" t="s">
        <v>741</v>
      </c>
      <c r="I30" s="5" t="s">
        <v>708</v>
      </c>
      <c r="J30" s="5" t="s">
        <v>182</v>
      </c>
      <c r="K30" s="5" t="s">
        <v>183</v>
      </c>
      <c r="L30" s="5">
        <v>60610</v>
      </c>
      <c r="M30" s="5" t="s">
        <v>742</v>
      </c>
      <c r="N30" s="5" t="s">
        <v>835</v>
      </c>
      <c r="O30" s="5" t="s">
        <v>8</v>
      </c>
      <c r="P30" s="5" t="s">
        <v>761</v>
      </c>
      <c r="Q30" s="5" t="s">
        <v>836</v>
      </c>
      <c r="R30" s="12">
        <v>213.115</v>
      </c>
      <c r="S30" s="4">
        <v>5</v>
      </c>
      <c r="T30" s="14">
        <v>0.3</v>
      </c>
      <c r="U30" s="12">
        <v>-15.2225</v>
      </c>
      <c r="V30" s="19">
        <v>15.2225</v>
      </c>
      <c r="W30" s="20">
        <v>149.1805</v>
      </c>
      <c r="X30" s="21" t="str" cm="1">
        <f t="array" ref="X30">IF(OR(R30:R567&lt;0,T29:T567&lt;0,C30:C568=""),"Check","OK")</f>
        <v>Check</v>
      </c>
      <c r="AB30" s="25" t="s">
        <v>837</v>
      </c>
      <c r="AC30" s="25" t="s">
        <v>838</v>
      </c>
      <c r="AD30" s="25" t="s">
        <v>839</v>
      </c>
      <c r="AE30" s="25" t="s">
        <v>840</v>
      </c>
      <c r="AF30" s="25" t="s">
        <v>841</v>
      </c>
      <c r="AG30" s="25" t="s">
        <v>842</v>
      </c>
      <c r="AH30" s="25" t="s">
        <v>843</v>
      </c>
      <c r="AI30" s="25" t="s">
        <v>844</v>
      </c>
      <c r="AJ30" s="25" t="s">
        <v>845</v>
      </c>
      <c r="AK30" s="25" t="s">
        <v>846</v>
      </c>
    </row>
    <row r="31" ht="17.6" spans="1:37">
      <c r="A31" s="7">
        <v>68</v>
      </c>
      <c r="B31" s="8" t="s">
        <v>847</v>
      </c>
      <c r="C31" s="9">
        <v>41978</v>
      </c>
      <c r="D31" s="9">
        <v>41983</v>
      </c>
      <c r="E31" s="8" t="s">
        <v>4</v>
      </c>
      <c r="F31" s="8" t="s">
        <v>848</v>
      </c>
      <c r="G31" s="8" t="s">
        <v>849</v>
      </c>
      <c r="H31" s="8" t="s">
        <v>716</v>
      </c>
      <c r="I31" s="8" t="s">
        <v>708</v>
      </c>
      <c r="J31" s="8" t="s">
        <v>850</v>
      </c>
      <c r="K31" s="8" t="s">
        <v>122</v>
      </c>
      <c r="L31" s="8">
        <v>85234</v>
      </c>
      <c r="M31" s="8" t="s">
        <v>717</v>
      </c>
      <c r="N31" s="8" t="s">
        <v>55</v>
      </c>
      <c r="O31" s="8" t="s">
        <v>9</v>
      </c>
      <c r="P31" s="8" t="s">
        <v>16</v>
      </c>
      <c r="Q31" s="8" t="s">
        <v>54</v>
      </c>
      <c r="R31" s="15">
        <v>1113.024</v>
      </c>
      <c r="S31" s="7">
        <v>8</v>
      </c>
      <c r="T31" s="16">
        <v>0.2</v>
      </c>
      <c r="U31" s="15">
        <v>111.3024</v>
      </c>
      <c r="V31" s="22">
        <v>111.3024</v>
      </c>
      <c r="W31" s="23">
        <v>890.4192</v>
      </c>
      <c r="X31" s="21" t="str" cm="1">
        <f t="array" ref="X31">IF(OR(R31:R568&lt;0,T30:T568&lt;0,C31:C569=""),"Check","OK")</f>
        <v>Check</v>
      </c>
      <c r="AB31" s="26">
        <f>SUM('Superstores sales dataset'!W2:W540)</f>
        <v>94894.0173540001</v>
      </c>
      <c r="AC31" s="29">
        <f>AVERAGE('Superstores sales dataset'!W2:W540)</f>
        <v>176.382931884759</v>
      </c>
      <c r="AD31" s="30">
        <f>SUM(T2:T539)</f>
        <v>85.3200000000004</v>
      </c>
      <c r="AE31" s="29">
        <f>COUNTIF('Superstores sales dataset'!O2:O540,"Furniture")</f>
        <v>125</v>
      </c>
      <c r="AF31" s="29">
        <f>COUNTIF('Superstores sales dataset'!H2:H540,"Consumer")</f>
        <v>289</v>
      </c>
      <c r="AG31" s="31">
        <f>COUNTIFS('Superstores sales dataset'!O2:O540,"Furniture",'Superstores sales dataset'!H2:H540,"Consumer")</f>
        <v>64</v>
      </c>
      <c r="AH31" s="31">
        <f ca="1">AVERAGEIF('Superstores sales dataset'!H2:H540,"Consumer",'Superstores sales dataset'!T2:T539)</f>
        <v>0.160069444444445</v>
      </c>
      <c r="AI31" s="32">
        <f>SUM('Superstores sales dataset'!S2:S539)</f>
        <v>-669065.64</v>
      </c>
      <c r="AJ31" s="31">
        <f>MAX(_xlfn.ANCHORARRAY('Superstores sales dataset'!W2))</f>
        <v>3999.99</v>
      </c>
      <c r="AK31" s="31">
        <f>SUMIF('Superstores sales dataset'!O2:O540,"Furniture",_xlfn.ANCHORARRAY('Superstores sales dataset'!W2))</f>
        <v>33662.172554</v>
      </c>
    </row>
    <row r="32" ht="17.6" spans="1:24">
      <c r="A32" s="4">
        <v>70</v>
      </c>
      <c r="B32" s="5" t="s">
        <v>851</v>
      </c>
      <c r="C32" s="6">
        <v>42525</v>
      </c>
      <c r="D32" s="6">
        <v>42527</v>
      </c>
      <c r="E32" s="5" t="s">
        <v>13</v>
      </c>
      <c r="F32" s="5" t="s">
        <v>432</v>
      </c>
      <c r="G32" s="5" t="s">
        <v>433</v>
      </c>
      <c r="H32" s="5" t="s">
        <v>111</v>
      </c>
      <c r="I32" s="5" t="s">
        <v>708</v>
      </c>
      <c r="J32" s="5" t="s">
        <v>287</v>
      </c>
      <c r="K32" s="5" t="s">
        <v>288</v>
      </c>
      <c r="L32" s="5">
        <v>22153</v>
      </c>
      <c r="M32" s="5" t="s">
        <v>709</v>
      </c>
      <c r="N32" s="5" t="s">
        <v>852</v>
      </c>
      <c r="O32" s="5" t="s">
        <v>9</v>
      </c>
      <c r="P32" s="5" t="s">
        <v>731</v>
      </c>
      <c r="Q32" s="5" t="s">
        <v>853</v>
      </c>
      <c r="R32" s="12">
        <v>75.88</v>
      </c>
      <c r="S32" s="4">
        <v>2</v>
      </c>
      <c r="T32" s="14">
        <v>0</v>
      </c>
      <c r="U32" s="12">
        <v>35.6636</v>
      </c>
      <c r="V32" s="19">
        <v>35.6636</v>
      </c>
      <c r="W32" s="20">
        <v>75.88</v>
      </c>
      <c r="X32" s="21" t="str" cm="1">
        <f t="array" ref="X32">IF(OR(R32:R569&lt;0,T31:T569&lt;0,C32:C570=""),"Check","OK")</f>
        <v>Check</v>
      </c>
    </row>
    <row r="33" ht="17.6" spans="1:24">
      <c r="A33" s="7">
        <v>71</v>
      </c>
      <c r="B33" s="8" t="s">
        <v>854</v>
      </c>
      <c r="C33" s="9">
        <v>42631</v>
      </c>
      <c r="D33" s="9">
        <v>42636</v>
      </c>
      <c r="E33" s="8" t="s">
        <v>4</v>
      </c>
      <c r="F33" s="8" t="s">
        <v>355</v>
      </c>
      <c r="G33" s="8" t="s">
        <v>356</v>
      </c>
      <c r="H33" s="8" t="s">
        <v>111</v>
      </c>
      <c r="I33" s="8" t="s">
        <v>708</v>
      </c>
      <c r="J33" s="8" t="s">
        <v>204</v>
      </c>
      <c r="K33" s="8" t="s">
        <v>168</v>
      </c>
      <c r="L33" s="8">
        <v>10009</v>
      </c>
      <c r="M33" s="8" t="s">
        <v>759</v>
      </c>
      <c r="N33" s="8" t="s">
        <v>855</v>
      </c>
      <c r="O33" s="8" t="s">
        <v>9</v>
      </c>
      <c r="P33" s="8" t="s">
        <v>736</v>
      </c>
      <c r="Q33" s="8" t="s">
        <v>856</v>
      </c>
      <c r="R33" s="15">
        <v>4.616</v>
      </c>
      <c r="S33" s="7">
        <v>1</v>
      </c>
      <c r="T33" s="16">
        <v>0.2</v>
      </c>
      <c r="U33" s="15">
        <v>1.731</v>
      </c>
      <c r="V33" s="22">
        <v>1.731</v>
      </c>
      <c r="W33" s="23">
        <v>3.6928</v>
      </c>
      <c r="X33" s="21" t="str" cm="1">
        <f t="array" ref="X33">IF(OR(R33:R570&lt;0,T32:T570&lt;0,C33:C571=""),"Check","OK")</f>
        <v>Check</v>
      </c>
    </row>
    <row r="34" ht="17.6" spans="1:24">
      <c r="A34" s="4">
        <v>72</v>
      </c>
      <c r="B34" s="5" t="s">
        <v>857</v>
      </c>
      <c r="C34" s="6">
        <v>42992</v>
      </c>
      <c r="D34" s="6">
        <v>42995</v>
      </c>
      <c r="E34" s="5" t="s">
        <v>707</v>
      </c>
      <c r="F34" s="5" t="s">
        <v>656</v>
      </c>
      <c r="G34" s="5" t="s">
        <v>657</v>
      </c>
      <c r="H34" s="5" t="s">
        <v>111</v>
      </c>
      <c r="I34" s="5" t="s">
        <v>708</v>
      </c>
      <c r="J34" s="5" t="s">
        <v>490</v>
      </c>
      <c r="K34" s="5" t="s">
        <v>163</v>
      </c>
      <c r="L34" s="5">
        <v>49201</v>
      </c>
      <c r="M34" s="5" t="s">
        <v>742</v>
      </c>
      <c r="N34" s="5" t="s">
        <v>858</v>
      </c>
      <c r="O34" s="5" t="s">
        <v>9</v>
      </c>
      <c r="P34" s="5" t="s">
        <v>731</v>
      </c>
      <c r="Q34" s="5" t="s">
        <v>859</v>
      </c>
      <c r="R34" s="12">
        <v>19.05</v>
      </c>
      <c r="S34" s="4">
        <v>3</v>
      </c>
      <c r="T34" s="14">
        <v>0</v>
      </c>
      <c r="U34" s="12">
        <v>8.763</v>
      </c>
      <c r="V34" s="19">
        <v>8.763</v>
      </c>
      <c r="W34" s="20">
        <v>19.05</v>
      </c>
      <c r="X34" s="21" t="str" cm="1">
        <f t="array" ref="X34">IF(OR(R34:R571&lt;0,T33:T571&lt;0,C34:C572=""),"Check","OK")</f>
        <v>Check</v>
      </c>
    </row>
    <row r="35" ht="17.6" spans="1:24">
      <c r="A35" s="7">
        <v>73</v>
      </c>
      <c r="B35" s="8" t="s">
        <v>860</v>
      </c>
      <c r="C35" s="9">
        <v>42120</v>
      </c>
      <c r="D35" s="9">
        <v>42126</v>
      </c>
      <c r="E35" s="8" t="s">
        <v>4</v>
      </c>
      <c r="F35" s="8" t="s">
        <v>377</v>
      </c>
      <c r="G35" s="8" t="s">
        <v>378</v>
      </c>
      <c r="H35" s="8" t="s">
        <v>111</v>
      </c>
      <c r="I35" s="8" t="s">
        <v>708</v>
      </c>
      <c r="J35" s="8" t="s">
        <v>380</v>
      </c>
      <c r="K35" s="8" t="s">
        <v>381</v>
      </c>
      <c r="L35" s="8">
        <v>38109</v>
      </c>
      <c r="M35" s="8" t="s">
        <v>709</v>
      </c>
      <c r="N35" s="8" t="s">
        <v>861</v>
      </c>
      <c r="O35" s="8" t="s">
        <v>8</v>
      </c>
      <c r="P35" s="8" t="s">
        <v>761</v>
      </c>
      <c r="Q35" s="8" t="s">
        <v>862</v>
      </c>
      <c r="R35" s="15">
        <v>831.936</v>
      </c>
      <c r="S35" s="7">
        <v>8</v>
      </c>
      <c r="T35" s="16">
        <v>0.2</v>
      </c>
      <c r="U35" s="15">
        <v>-114.3912</v>
      </c>
      <c r="V35" s="22">
        <v>114.3912</v>
      </c>
      <c r="W35" s="23">
        <v>665.5488</v>
      </c>
      <c r="X35" s="21" t="str" cm="1">
        <f t="array" ref="X35">IF(OR(R35:R572&lt;0,T34:T572&lt;0,C35:C573=""),"Check","OK")</f>
        <v>Check</v>
      </c>
    </row>
    <row r="36" ht="17.6" spans="1:24">
      <c r="A36" s="4">
        <v>76</v>
      </c>
      <c r="B36" s="5" t="s">
        <v>863</v>
      </c>
      <c r="C36" s="6">
        <v>43078</v>
      </c>
      <c r="D36" s="6">
        <v>43080</v>
      </c>
      <c r="E36" s="5" t="s">
        <v>13</v>
      </c>
      <c r="F36" s="5" t="s">
        <v>864</v>
      </c>
      <c r="G36" s="5" t="s">
        <v>865</v>
      </c>
      <c r="H36" s="5" t="s">
        <v>716</v>
      </c>
      <c r="I36" s="5" t="s">
        <v>708</v>
      </c>
      <c r="J36" s="5" t="s">
        <v>131</v>
      </c>
      <c r="K36" s="5" t="s">
        <v>132</v>
      </c>
      <c r="L36" s="5">
        <v>77041</v>
      </c>
      <c r="M36" s="5" t="s">
        <v>742</v>
      </c>
      <c r="N36" s="5" t="s">
        <v>866</v>
      </c>
      <c r="O36" s="5" t="s">
        <v>9</v>
      </c>
      <c r="P36" s="5" t="s">
        <v>736</v>
      </c>
      <c r="Q36" s="5" t="s">
        <v>867</v>
      </c>
      <c r="R36" s="12">
        <v>1.248</v>
      </c>
      <c r="S36" s="4">
        <v>3</v>
      </c>
      <c r="T36" s="14">
        <v>0.8</v>
      </c>
      <c r="U36" s="12">
        <v>-1.9344</v>
      </c>
      <c r="V36" s="19">
        <v>1.9344</v>
      </c>
      <c r="W36" s="20">
        <v>0.2496</v>
      </c>
      <c r="X36" s="21" t="str" cm="1">
        <f t="array" ref="X36">IF(OR(R36:R573&lt;0,T35:T573&lt;0,C36:C574=""),"Check","OK")</f>
        <v>Check</v>
      </c>
    </row>
    <row r="37" ht="17.6" spans="1:24">
      <c r="A37" s="7">
        <v>79</v>
      </c>
      <c r="B37" s="8" t="s">
        <v>868</v>
      </c>
      <c r="C37" s="9">
        <v>41969</v>
      </c>
      <c r="D37" s="9">
        <v>41974</v>
      </c>
      <c r="E37" s="8" t="s">
        <v>707</v>
      </c>
      <c r="F37" s="8" t="s">
        <v>377</v>
      </c>
      <c r="G37" s="8" t="s">
        <v>378</v>
      </c>
      <c r="H37" s="8" t="s">
        <v>111</v>
      </c>
      <c r="I37" s="8" t="s">
        <v>708</v>
      </c>
      <c r="J37" s="8" t="s">
        <v>131</v>
      </c>
      <c r="K37" s="8" t="s">
        <v>132</v>
      </c>
      <c r="L37" s="8">
        <v>77070</v>
      </c>
      <c r="M37" s="8" t="s">
        <v>742</v>
      </c>
      <c r="N37" s="8" t="s">
        <v>869</v>
      </c>
      <c r="O37" s="8" t="s">
        <v>8</v>
      </c>
      <c r="P37" s="8" t="s">
        <v>727</v>
      </c>
      <c r="Q37" s="8" t="s">
        <v>870</v>
      </c>
      <c r="R37" s="15">
        <v>19.3</v>
      </c>
      <c r="S37" s="7">
        <v>5</v>
      </c>
      <c r="T37" s="16">
        <v>0.6</v>
      </c>
      <c r="U37" s="15">
        <v>-14.475</v>
      </c>
      <c r="V37" s="22">
        <v>14.475</v>
      </c>
      <c r="W37" s="23">
        <v>7.72</v>
      </c>
      <c r="X37" s="21" t="str" cm="1">
        <f t="array" ref="X37">IF(OR(R37:R574&lt;0,T36:T574&lt;0,C37:C575=""),"Check","OK")</f>
        <v>Check</v>
      </c>
    </row>
    <row r="38" ht="17.6" spans="1:24">
      <c r="A38" s="4">
        <v>80</v>
      </c>
      <c r="B38" s="5" t="s">
        <v>871</v>
      </c>
      <c r="C38" s="6">
        <v>42533</v>
      </c>
      <c r="D38" s="6">
        <v>42536</v>
      </c>
      <c r="E38" s="5" t="s">
        <v>13</v>
      </c>
      <c r="F38" s="5" t="s">
        <v>872</v>
      </c>
      <c r="G38" s="5" t="s">
        <v>873</v>
      </c>
      <c r="H38" s="5" t="s">
        <v>716</v>
      </c>
      <c r="I38" s="5" t="s">
        <v>708</v>
      </c>
      <c r="J38" s="5" t="s">
        <v>521</v>
      </c>
      <c r="K38" s="5" t="s">
        <v>604</v>
      </c>
      <c r="L38" s="5">
        <v>35601</v>
      </c>
      <c r="M38" s="5" t="s">
        <v>709</v>
      </c>
      <c r="N38" s="5" t="s">
        <v>874</v>
      </c>
      <c r="O38" s="5" t="s">
        <v>9</v>
      </c>
      <c r="P38" s="5" t="s">
        <v>744</v>
      </c>
      <c r="Q38" s="5" t="s">
        <v>875</v>
      </c>
      <c r="R38" s="12">
        <v>208.16</v>
      </c>
      <c r="S38" s="4">
        <v>1</v>
      </c>
      <c r="T38" s="14">
        <v>0</v>
      </c>
      <c r="U38" s="12">
        <v>56.2032</v>
      </c>
      <c r="V38" s="19">
        <v>56.2032</v>
      </c>
      <c r="W38" s="20">
        <v>208.16</v>
      </c>
      <c r="X38" s="21" t="str" cm="1">
        <f t="array" ref="X38">IF(OR(R38:R575&lt;0,T37:T575&lt;0,C38:C576=""),"Check","OK")</f>
        <v>Check</v>
      </c>
    </row>
    <row r="39" ht="17.6" spans="1:24">
      <c r="A39" s="7">
        <v>82</v>
      </c>
      <c r="B39" s="8" t="s">
        <v>876</v>
      </c>
      <c r="C39" s="9">
        <v>41924</v>
      </c>
      <c r="D39" s="9">
        <v>41928</v>
      </c>
      <c r="E39" s="8" t="s">
        <v>4</v>
      </c>
      <c r="F39" s="8" t="s">
        <v>296</v>
      </c>
      <c r="G39" s="8" t="s">
        <v>297</v>
      </c>
      <c r="H39" s="8" t="s">
        <v>111</v>
      </c>
      <c r="I39" s="8" t="s">
        <v>708</v>
      </c>
      <c r="J39" s="8" t="s">
        <v>188</v>
      </c>
      <c r="K39" s="8" t="s">
        <v>136</v>
      </c>
      <c r="L39" s="8">
        <v>94122</v>
      </c>
      <c r="M39" s="8" t="s">
        <v>717</v>
      </c>
      <c r="N39" s="8" t="s">
        <v>93</v>
      </c>
      <c r="O39" s="8" t="s">
        <v>9</v>
      </c>
      <c r="P39" s="8" t="s">
        <v>16</v>
      </c>
      <c r="Q39" s="8" t="s">
        <v>92</v>
      </c>
      <c r="R39" s="15">
        <v>14.9</v>
      </c>
      <c r="S39" s="7">
        <v>5</v>
      </c>
      <c r="T39" s="16">
        <v>0</v>
      </c>
      <c r="U39" s="15">
        <v>4.172</v>
      </c>
      <c r="V39" s="22">
        <v>4.172</v>
      </c>
      <c r="W39" s="23">
        <v>14.9</v>
      </c>
      <c r="X39" s="21" t="str" cm="1">
        <f t="array" ref="X39">IF(OR(R39:R576&lt;0,T38:T576&lt;0,C39:C577=""),"Check","OK")</f>
        <v>Check</v>
      </c>
    </row>
    <row r="40" ht="17.6" spans="1:24">
      <c r="A40" s="4">
        <v>84</v>
      </c>
      <c r="B40" s="5" t="s">
        <v>877</v>
      </c>
      <c r="C40" s="6">
        <v>42250</v>
      </c>
      <c r="D40" s="6">
        <v>42255</v>
      </c>
      <c r="E40" s="5" t="s">
        <v>4</v>
      </c>
      <c r="F40" s="5" t="s">
        <v>878</v>
      </c>
      <c r="G40" s="5" t="s">
        <v>879</v>
      </c>
      <c r="H40" s="5" t="s">
        <v>716</v>
      </c>
      <c r="I40" s="5" t="s">
        <v>708</v>
      </c>
      <c r="J40" s="5" t="s">
        <v>880</v>
      </c>
      <c r="K40" s="5" t="s">
        <v>128</v>
      </c>
      <c r="L40" s="5">
        <v>27707</v>
      </c>
      <c r="M40" s="5" t="s">
        <v>709</v>
      </c>
      <c r="N40" s="5" t="s">
        <v>881</v>
      </c>
      <c r="O40" s="5" t="s">
        <v>9</v>
      </c>
      <c r="P40" s="5" t="s">
        <v>786</v>
      </c>
      <c r="Q40" s="5" t="s">
        <v>882</v>
      </c>
      <c r="R40" s="12">
        <v>200.984</v>
      </c>
      <c r="S40" s="4">
        <v>7</v>
      </c>
      <c r="T40" s="14">
        <v>0.2</v>
      </c>
      <c r="U40" s="12">
        <v>62.8075</v>
      </c>
      <c r="V40" s="19">
        <v>62.8075</v>
      </c>
      <c r="W40" s="20">
        <v>160.7872</v>
      </c>
      <c r="X40" s="21" t="str" cm="1">
        <f t="array" ref="X40">IF(OR(R40:R577&lt;0,T39:T577&lt;0,C40:C578=""),"Check","OK")</f>
        <v>Check</v>
      </c>
    </row>
    <row r="41" ht="17.6" spans="1:24">
      <c r="A41" s="7">
        <v>85</v>
      </c>
      <c r="B41" s="8" t="s">
        <v>883</v>
      </c>
      <c r="C41" s="9">
        <v>43052</v>
      </c>
      <c r="D41" s="9">
        <v>43055</v>
      </c>
      <c r="E41" s="8" t="s">
        <v>13</v>
      </c>
      <c r="F41" s="8" t="s">
        <v>884</v>
      </c>
      <c r="G41" s="8" t="s">
        <v>885</v>
      </c>
      <c r="H41" s="8" t="s">
        <v>741</v>
      </c>
      <c r="I41" s="8" t="s">
        <v>708</v>
      </c>
      <c r="J41" s="8" t="s">
        <v>182</v>
      </c>
      <c r="K41" s="8" t="s">
        <v>183</v>
      </c>
      <c r="L41" s="8">
        <v>60623</v>
      </c>
      <c r="M41" s="8" t="s">
        <v>742</v>
      </c>
      <c r="N41" s="8" t="s">
        <v>886</v>
      </c>
      <c r="O41" s="8" t="s">
        <v>9</v>
      </c>
      <c r="P41" s="8" t="s">
        <v>748</v>
      </c>
      <c r="Q41" s="8" t="s">
        <v>887</v>
      </c>
      <c r="R41" s="15">
        <v>230.376</v>
      </c>
      <c r="S41" s="7">
        <v>3</v>
      </c>
      <c r="T41" s="16">
        <v>0.2</v>
      </c>
      <c r="U41" s="15">
        <v>-48.9549</v>
      </c>
      <c r="V41" s="22">
        <v>48.9549</v>
      </c>
      <c r="W41" s="23">
        <v>184.3008</v>
      </c>
      <c r="X41" s="21" t="str" cm="1">
        <f t="array" ref="X41">IF(OR(R41:R578&lt;0,T40:T578&lt;0,C41:C579=""),"Check","OK")</f>
        <v>Check</v>
      </c>
    </row>
    <row r="42" ht="17.6" spans="1:24">
      <c r="A42" s="4">
        <v>86</v>
      </c>
      <c r="B42" s="5" t="s">
        <v>888</v>
      </c>
      <c r="C42" s="6">
        <v>42883</v>
      </c>
      <c r="D42" s="6">
        <v>42885</v>
      </c>
      <c r="E42" s="5" t="s">
        <v>707</v>
      </c>
      <c r="F42" s="5" t="s">
        <v>559</v>
      </c>
      <c r="G42" s="5" t="s">
        <v>560</v>
      </c>
      <c r="H42" s="5" t="s">
        <v>111</v>
      </c>
      <c r="I42" s="5" t="s">
        <v>708</v>
      </c>
      <c r="J42" s="5" t="s">
        <v>561</v>
      </c>
      <c r="K42" s="5" t="s">
        <v>562</v>
      </c>
      <c r="L42" s="5">
        <v>29203</v>
      </c>
      <c r="M42" s="5" t="s">
        <v>709</v>
      </c>
      <c r="N42" s="5" t="s">
        <v>889</v>
      </c>
      <c r="O42" s="5" t="s">
        <v>8</v>
      </c>
      <c r="P42" s="5" t="s">
        <v>761</v>
      </c>
      <c r="Q42" s="5" t="s">
        <v>890</v>
      </c>
      <c r="R42" s="12">
        <v>301.96</v>
      </c>
      <c r="S42" s="4">
        <v>2</v>
      </c>
      <c r="T42" s="14">
        <v>0</v>
      </c>
      <c r="U42" s="12">
        <v>33.2156</v>
      </c>
      <c r="V42" s="19">
        <v>33.2156</v>
      </c>
      <c r="W42" s="20">
        <v>301.96</v>
      </c>
      <c r="X42" s="21" t="str" cm="1">
        <f t="array" ref="X42">IF(OR(R42:R579&lt;0,T41:T579&lt;0,C42:C580=""),"Check","OK")</f>
        <v>Check</v>
      </c>
    </row>
    <row r="43" ht="17.6" spans="1:24">
      <c r="A43" s="7">
        <v>87</v>
      </c>
      <c r="B43" s="8" t="s">
        <v>891</v>
      </c>
      <c r="C43" s="9">
        <v>43034</v>
      </c>
      <c r="D43" s="9">
        <v>43041</v>
      </c>
      <c r="E43" s="8" t="s">
        <v>4</v>
      </c>
      <c r="F43" s="8" t="s">
        <v>546</v>
      </c>
      <c r="G43" s="8" t="s">
        <v>547</v>
      </c>
      <c r="H43" s="8" t="s">
        <v>111</v>
      </c>
      <c r="I43" s="8" t="s">
        <v>708</v>
      </c>
      <c r="J43" s="8" t="s">
        <v>167</v>
      </c>
      <c r="K43" s="8" t="s">
        <v>280</v>
      </c>
      <c r="L43" s="8">
        <v>55901</v>
      </c>
      <c r="M43" s="8" t="s">
        <v>742</v>
      </c>
      <c r="N43" s="8" t="s">
        <v>892</v>
      </c>
      <c r="O43" s="8" t="s">
        <v>10</v>
      </c>
      <c r="P43" s="8" t="s">
        <v>809</v>
      </c>
      <c r="Q43" s="8" t="s">
        <v>893</v>
      </c>
      <c r="R43" s="15">
        <v>19.99</v>
      </c>
      <c r="S43" s="7">
        <v>1</v>
      </c>
      <c r="T43" s="16">
        <v>0</v>
      </c>
      <c r="U43" s="15">
        <v>6.7966</v>
      </c>
      <c r="V43" s="22">
        <v>6.7966</v>
      </c>
      <c r="W43" s="23">
        <v>19.99</v>
      </c>
      <c r="X43" s="21" t="str" cm="1">
        <f t="array" ref="X43">IF(OR(R43:R580&lt;0,T42:T580&lt;0,C43:C581=""),"Check","OK")</f>
        <v>Check</v>
      </c>
    </row>
    <row r="44" ht="17.6" spans="1:24">
      <c r="A44" s="4">
        <v>89</v>
      </c>
      <c r="B44" s="5" t="s">
        <v>894</v>
      </c>
      <c r="C44" s="6">
        <v>42465</v>
      </c>
      <c r="D44" s="6">
        <v>42470</v>
      </c>
      <c r="E44" s="5" t="s">
        <v>707</v>
      </c>
      <c r="F44" s="5" t="s">
        <v>895</v>
      </c>
      <c r="G44" s="5" t="s">
        <v>896</v>
      </c>
      <c r="H44" s="5" t="s">
        <v>741</v>
      </c>
      <c r="I44" s="5" t="s">
        <v>708</v>
      </c>
      <c r="J44" s="5" t="s">
        <v>131</v>
      </c>
      <c r="K44" s="5" t="s">
        <v>132</v>
      </c>
      <c r="L44" s="5">
        <v>77095</v>
      </c>
      <c r="M44" s="5" t="s">
        <v>742</v>
      </c>
      <c r="N44" s="5" t="s">
        <v>897</v>
      </c>
      <c r="O44" s="5" t="s">
        <v>9</v>
      </c>
      <c r="P44" s="5" t="s">
        <v>748</v>
      </c>
      <c r="Q44" s="5" t="s">
        <v>898</v>
      </c>
      <c r="R44" s="12">
        <v>158.368</v>
      </c>
      <c r="S44" s="4">
        <v>7</v>
      </c>
      <c r="T44" s="14">
        <v>0.2</v>
      </c>
      <c r="U44" s="12">
        <v>13.8572</v>
      </c>
      <c r="V44" s="19">
        <v>13.8572</v>
      </c>
      <c r="W44" s="20">
        <v>126.6944</v>
      </c>
      <c r="X44" s="21" t="str" cm="1">
        <f t="array" ref="X44">IF(OR(R44:R581&lt;0,T43:T581&lt;0,C44:C582=""),"Check","OK")</f>
        <v>Check</v>
      </c>
    </row>
    <row r="45" ht="17.6" spans="1:24">
      <c r="A45" s="7">
        <v>90</v>
      </c>
      <c r="B45" s="8" t="s">
        <v>899</v>
      </c>
      <c r="C45" s="9">
        <v>42630</v>
      </c>
      <c r="D45" s="9">
        <v>42635</v>
      </c>
      <c r="E45" s="8" t="s">
        <v>4</v>
      </c>
      <c r="F45" s="8" t="s">
        <v>900</v>
      </c>
      <c r="G45" s="8" t="s">
        <v>901</v>
      </c>
      <c r="H45" s="8" t="s">
        <v>716</v>
      </c>
      <c r="I45" s="8" t="s">
        <v>708</v>
      </c>
      <c r="J45" s="8" t="s">
        <v>135</v>
      </c>
      <c r="K45" s="8" t="s">
        <v>136</v>
      </c>
      <c r="L45" s="8">
        <v>90036</v>
      </c>
      <c r="M45" s="8" t="s">
        <v>717</v>
      </c>
      <c r="N45" s="8" t="s">
        <v>107</v>
      </c>
      <c r="O45" s="8" t="s">
        <v>9</v>
      </c>
      <c r="P45" s="8" t="s">
        <v>16</v>
      </c>
      <c r="Q45" s="8" t="s">
        <v>106</v>
      </c>
      <c r="R45" s="15">
        <v>20.1</v>
      </c>
      <c r="S45" s="7">
        <v>3</v>
      </c>
      <c r="T45" s="16">
        <v>0</v>
      </c>
      <c r="U45" s="15">
        <v>6.633</v>
      </c>
      <c r="V45" s="22">
        <v>6.633</v>
      </c>
      <c r="W45" s="23">
        <v>20.1</v>
      </c>
      <c r="X45" s="21" t="str" cm="1">
        <f t="array" ref="X45">IF(OR(R45:R582&lt;0,T44:T582&lt;0,C45:C583=""),"Check","OK")</f>
        <v>Check</v>
      </c>
    </row>
    <row r="46" ht="17.6" spans="1:24">
      <c r="A46" s="4">
        <v>93</v>
      </c>
      <c r="B46" s="5" t="s">
        <v>902</v>
      </c>
      <c r="C46" s="6">
        <v>42035</v>
      </c>
      <c r="D46" s="6">
        <v>42040</v>
      </c>
      <c r="E46" s="5" t="s">
        <v>707</v>
      </c>
      <c r="F46" s="5" t="s">
        <v>426</v>
      </c>
      <c r="G46" s="5" t="s">
        <v>427</v>
      </c>
      <c r="H46" s="5" t="s">
        <v>111</v>
      </c>
      <c r="I46" s="5" t="s">
        <v>708</v>
      </c>
      <c r="J46" s="5" t="s">
        <v>428</v>
      </c>
      <c r="K46" s="5" t="s">
        <v>280</v>
      </c>
      <c r="L46" s="5">
        <v>55407</v>
      </c>
      <c r="M46" s="5" t="s">
        <v>742</v>
      </c>
      <c r="N46" s="5" t="s">
        <v>903</v>
      </c>
      <c r="O46" s="5" t="s">
        <v>9</v>
      </c>
      <c r="P46" s="5" t="s">
        <v>731</v>
      </c>
      <c r="Q46" s="5" t="s">
        <v>904</v>
      </c>
      <c r="R46" s="12">
        <v>12.96</v>
      </c>
      <c r="S46" s="4">
        <v>2</v>
      </c>
      <c r="T46" s="14">
        <v>0</v>
      </c>
      <c r="U46" s="12">
        <v>6.2208</v>
      </c>
      <c r="V46" s="19">
        <v>6.2208</v>
      </c>
      <c r="W46" s="20">
        <v>12.96</v>
      </c>
      <c r="X46" s="21" t="str" cm="1">
        <f t="array" ref="X46">IF(OR(R46:R583&lt;0,T45:T583&lt;0,C46:C584=""),"Check","OK")</f>
        <v>Check</v>
      </c>
    </row>
    <row r="47" ht="17.6" spans="1:24">
      <c r="A47" s="7">
        <v>96</v>
      </c>
      <c r="B47" s="8" t="s">
        <v>905</v>
      </c>
      <c r="C47" s="9">
        <v>43045</v>
      </c>
      <c r="D47" s="9">
        <v>43051</v>
      </c>
      <c r="E47" s="8" t="s">
        <v>4</v>
      </c>
      <c r="F47" s="8" t="s">
        <v>906</v>
      </c>
      <c r="G47" s="8" t="s">
        <v>907</v>
      </c>
      <c r="H47" s="8" t="s">
        <v>741</v>
      </c>
      <c r="I47" s="8" t="s">
        <v>708</v>
      </c>
      <c r="J47" s="8" t="s">
        <v>659</v>
      </c>
      <c r="K47" s="8" t="s">
        <v>660</v>
      </c>
      <c r="L47" s="8">
        <v>97206</v>
      </c>
      <c r="M47" s="8" t="s">
        <v>717</v>
      </c>
      <c r="N47" s="8" t="s">
        <v>908</v>
      </c>
      <c r="O47" s="8" t="s">
        <v>9</v>
      </c>
      <c r="P47" s="8" t="s">
        <v>736</v>
      </c>
      <c r="Q47" s="8" t="s">
        <v>909</v>
      </c>
      <c r="R47" s="15">
        <v>5.682</v>
      </c>
      <c r="S47" s="7">
        <v>1</v>
      </c>
      <c r="T47" s="16">
        <v>0.7</v>
      </c>
      <c r="U47" s="15">
        <v>-3.788</v>
      </c>
      <c r="V47" s="22">
        <v>3.788</v>
      </c>
      <c r="W47" s="23">
        <v>1.7046</v>
      </c>
      <c r="X47" s="21" t="str" cm="1">
        <f t="array" ref="X47">IF(OR(R47:R584&lt;0,T46:T584&lt;0,C47:C585=""),"Check","OK")</f>
        <v>Check</v>
      </c>
    </row>
    <row r="48" ht="17.6" spans="1:24">
      <c r="A48" s="4">
        <v>97</v>
      </c>
      <c r="B48" s="5" t="s">
        <v>910</v>
      </c>
      <c r="C48" s="6">
        <v>43048</v>
      </c>
      <c r="D48" s="6">
        <v>43050</v>
      </c>
      <c r="E48" s="5" t="s">
        <v>707</v>
      </c>
      <c r="F48" s="5" t="s">
        <v>911</v>
      </c>
      <c r="G48" s="5" t="s">
        <v>912</v>
      </c>
      <c r="H48" s="5" t="s">
        <v>741</v>
      </c>
      <c r="I48" s="5" t="s">
        <v>708</v>
      </c>
      <c r="J48" s="5" t="s">
        <v>204</v>
      </c>
      <c r="K48" s="5" t="s">
        <v>168</v>
      </c>
      <c r="L48" s="5">
        <v>10009</v>
      </c>
      <c r="M48" s="5" t="s">
        <v>759</v>
      </c>
      <c r="N48" s="5" t="s">
        <v>913</v>
      </c>
      <c r="O48" s="5" t="s">
        <v>8</v>
      </c>
      <c r="P48" s="5" t="s">
        <v>727</v>
      </c>
      <c r="Q48" s="5" t="s">
        <v>914</v>
      </c>
      <c r="R48" s="12">
        <v>96.53</v>
      </c>
      <c r="S48" s="4">
        <v>7</v>
      </c>
      <c r="T48" s="14">
        <v>0</v>
      </c>
      <c r="U48" s="12">
        <v>40.5426</v>
      </c>
      <c r="V48" s="19">
        <v>40.5426</v>
      </c>
      <c r="W48" s="20">
        <v>96.53</v>
      </c>
      <c r="X48" s="21" t="str" cm="1">
        <f t="array" ref="X48">IF(OR(R48:R585&lt;0,T47:T585&lt;0,C48:C586=""),"Check","OK")</f>
        <v>Check</v>
      </c>
    </row>
    <row r="49" ht="17.6" spans="1:24">
      <c r="A49" s="7">
        <v>98</v>
      </c>
      <c r="B49" s="8" t="s">
        <v>915</v>
      </c>
      <c r="C49" s="9">
        <v>42903</v>
      </c>
      <c r="D49" s="9">
        <v>42906</v>
      </c>
      <c r="E49" s="8" t="s">
        <v>13</v>
      </c>
      <c r="F49" s="8" t="s">
        <v>434</v>
      </c>
      <c r="G49" s="8" t="s">
        <v>435</v>
      </c>
      <c r="H49" s="8" t="s">
        <v>111</v>
      </c>
      <c r="I49" s="8" t="s">
        <v>708</v>
      </c>
      <c r="J49" s="8" t="s">
        <v>188</v>
      </c>
      <c r="K49" s="8" t="s">
        <v>136</v>
      </c>
      <c r="L49" s="8">
        <v>94122</v>
      </c>
      <c r="M49" s="8" t="s">
        <v>717</v>
      </c>
      <c r="N49" s="8" t="s">
        <v>916</v>
      </c>
      <c r="O49" s="8" t="s">
        <v>9</v>
      </c>
      <c r="P49" s="8" t="s">
        <v>736</v>
      </c>
      <c r="Q49" s="8" t="s">
        <v>917</v>
      </c>
      <c r="R49" s="15">
        <v>51.312</v>
      </c>
      <c r="S49" s="7">
        <v>3</v>
      </c>
      <c r="T49" s="16">
        <v>0.2</v>
      </c>
      <c r="U49" s="15">
        <v>17.9592</v>
      </c>
      <c r="V49" s="22">
        <v>17.9592</v>
      </c>
      <c r="W49" s="23">
        <v>41.0496</v>
      </c>
      <c r="X49" s="21" t="str" cm="1">
        <f t="array" ref="X49">IF(OR(R49:R586&lt;0,T48:T586&lt;0,C49:C587=""),"Check","OK")</f>
        <v>Check</v>
      </c>
    </row>
    <row r="50" ht="17.6" spans="1:24">
      <c r="A50" s="4">
        <v>99</v>
      </c>
      <c r="B50" s="5" t="s">
        <v>918</v>
      </c>
      <c r="C50" s="6">
        <v>42619</v>
      </c>
      <c r="D50" s="6">
        <v>42624</v>
      </c>
      <c r="E50" s="5" t="s">
        <v>4</v>
      </c>
      <c r="F50" s="5" t="s">
        <v>919</v>
      </c>
      <c r="G50" s="5" t="s">
        <v>920</v>
      </c>
      <c r="H50" s="5" t="s">
        <v>716</v>
      </c>
      <c r="I50" s="5" t="s">
        <v>708</v>
      </c>
      <c r="J50" s="5" t="s">
        <v>921</v>
      </c>
      <c r="K50" s="5" t="s">
        <v>280</v>
      </c>
      <c r="L50" s="5">
        <v>55106</v>
      </c>
      <c r="M50" s="5" t="s">
        <v>742</v>
      </c>
      <c r="N50" s="5" t="s">
        <v>922</v>
      </c>
      <c r="O50" s="5" t="s">
        <v>9</v>
      </c>
      <c r="P50" s="5" t="s">
        <v>744</v>
      </c>
      <c r="Q50" s="5" t="s">
        <v>923</v>
      </c>
      <c r="R50" s="12">
        <v>77.88</v>
      </c>
      <c r="S50" s="4">
        <v>6</v>
      </c>
      <c r="T50" s="14">
        <v>0</v>
      </c>
      <c r="U50" s="12">
        <v>22.5852</v>
      </c>
      <c r="V50" s="19">
        <v>22.5852</v>
      </c>
      <c r="W50" s="20">
        <v>77.88</v>
      </c>
      <c r="X50" s="21" t="str" cm="1">
        <f t="array" ref="X50">IF(OR(R50:R587&lt;0,T49:T587&lt;0,C50:C588=""),"Check","OK")</f>
        <v>Check</v>
      </c>
    </row>
    <row r="51" ht="17.6" spans="1:24">
      <c r="A51" s="7">
        <v>100</v>
      </c>
      <c r="B51" s="8" t="s">
        <v>924</v>
      </c>
      <c r="C51" s="9">
        <v>42611</v>
      </c>
      <c r="D51" s="9">
        <v>42615</v>
      </c>
      <c r="E51" s="8" t="s">
        <v>4</v>
      </c>
      <c r="F51" s="8" t="s">
        <v>925</v>
      </c>
      <c r="G51" s="8" t="s">
        <v>926</v>
      </c>
      <c r="H51" s="8" t="s">
        <v>741</v>
      </c>
      <c r="I51" s="8" t="s">
        <v>708</v>
      </c>
      <c r="J51" s="8" t="s">
        <v>182</v>
      </c>
      <c r="K51" s="8" t="s">
        <v>183</v>
      </c>
      <c r="L51" s="8">
        <v>60610</v>
      </c>
      <c r="M51" s="8" t="s">
        <v>742</v>
      </c>
      <c r="N51" s="8" t="s">
        <v>927</v>
      </c>
      <c r="O51" s="8" t="s">
        <v>9</v>
      </c>
      <c r="P51" s="8" t="s">
        <v>731</v>
      </c>
      <c r="Q51" s="8" t="s">
        <v>928</v>
      </c>
      <c r="R51" s="15">
        <v>64.624</v>
      </c>
      <c r="S51" s="7">
        <v>7</v>
      </c>
      <c r="T51" s="16">
        <v>0.2</v>
      </c>
      <c r="U51" s="15">
        <v>22.6184</v>
      </c>
      <c r="V51" s="22">
        <v>22.6184</v>
      </c>
      <c r="W51" s="23">
        <v>51.6992</v>
      </c>
      <c r="X51" s="21" t="str" cm="1">
        <f t="array" ref="X51">IF(OR(R51:R588&lt;0,T50:T588&lt;0,C51:C589=""),"Check","OK")</f>
        <v>Check</v>
      </c>
    </row>
    <row r="52" ht="17.6" spans="1:24">
      <c r="A52" s="4">
        <v>103</v>
      </c>
      <c r="B52" s="5" t="s">
        <v>929</v>
      </c>
      <c r="C52" s="6">
        <v>42705</v>
      </c>
      <c r="D52" s="6">
        <v>42708</v>
      </c>
      <c r="E52" s="5" t="s">
        <v>707</v>
      </c>
      <c r="F52" s="5" t="s">
        <v>348</v>
      </c>
      <c r="G52" s="5" t="s">
        <v>349</v>
      </c>
      <c r="H52" s="5" t="s">
        <v>111</v>
      </c>
      <c r="I52" s="5" t="s">
        <v>708</v>
      </c>
      <c r="J52" s="5" t="s">
        <v>167</v>
      </c>
      <c r="K52" s="5" t="s">
        <v>280</v>
      </c>
      <c r="L52" s="5">
        <v>55901</v>
      </c>
      <c r="M52" s="5" t="s">
        <v>742</v>
      </c>
      <c r="N52" s="5" t="s">
        <v>930</v>
      </c>
      <c r="O52" s="5" t="s">
        <v>9</v>
      </c>
      <c r="P52" s="5" t="s">
        <v>731</v>
      </c>
      <c r="Q52" s="5" t="s">
        <v>931</v>
      </c>
      <c r="R52" s="12">
        <v>23.92</v>
      </c>
      <c r="S52" s="4">
        <v>4</v>
      </c>
      <c r="T52" s="14">
        <v>0</v>
      </c>
      <c r="U52" s="12">
        <v>11.7208</v>
      </c>
      <c r="V52" s="19">
        <v>11.7208</v>
      </c>
      <c r="W52" s="20">
        <v>23.92</v>
      </c>
      <c r="X52" s="21" t="str" cm="1">
        <f t="array" ref="X52">IF(OR(R52:R589&lt;0,T51:T589&lt;0,C52:C590=""),"Check","OK")</f>
        <v>Check</v>
      </c>
    </row>
    <row r="53" ht="17.6" spans="1:24">
      <c r="A53" s="7">
        <v>104</v>
      </c>
      <c r="B53" s="8" t="s">
        <v>932</v>
      </c>
      <c r="C53" s="9">
        <v>42321</v>
      </c>
      <c r="D53" s="9">
        <v>42325</v>
      </c>
      <c r="E53" s="8" t="s">
        <v>4</v>
      </c>
      <c r="F53" s="8" t="s">
        <v>450</v>
      </c>
      <c r="G53" s="8" t="s">
        <v>451</v>
      </c>
      <c r="H53" s="8" t="s">
        <v>111</v>
      </c>
      <c r="I53" s="8" t="s">
        <v>708</v>
      </c>
      <c r="J53" s="8" t="s">
        <v>329</v>
      </c>
      <c r="K53" s="8" t="s">
        <v>217</v>
      </c>
      <c r="L53" s="8">
        <v>80013</v>
      </c>
      <c r="M53" s="8" t="s">
        <v>717</v>
      </c>
      <c r="N53" s="8" t="s">
        <v>933</v>
      </c>
      <c r="O53" s="8" t="s">
        <v>10</v>
      </c>
      <c r="P53" s="8" t="s">
        <v>809</v>
      </c>
      <c r="Q53" s="8" t="s">
        <v>934</v>
      </c>
      <c r="R53" s="15">
        <v>238.896</v>
      </c>
      <c r="S53" s="7">
        <v>6</v>
      </c>
      <c r="T53" s="16">
        <v>0.2</v>
      </c>
      <c r="U53" s="15">
        <v>-26.8758</v>
      </c>
      <c r="V53" s="22">
        <v>26.8758</v>
      </c>
      <c r="W53" s="23">
        <v>191.1168</v>
      </c>
      <c r="X53" s="21" t="str" cm="1">
        <f t="array" ref="X53">IF(OR(R53:R590&lt;0,T52:T590&lt;0,C53:C591=""),"Check","OK")</f>
        <v>Check</v>
      </c>
    </row>
    <row r="54" ht="17.6" spans="1:24">
      <c r="A54" s="4">
        <v>107</v>
      </c>
      <c r="B54" s="5" t="s">
        <v>935</v>
      </c>
      <c r="C54" s="6">
        <v>43062</v>
      </c>
      <c r="D54" s="6">
        <v>43067</v>
      </c>
      <c r="E54" s="5" t="s">
        <v>4</v>
      </c>
      <c r="F54" s="5" t="s">
        <v>416</v>
      </c>
      <c r="G54" s="5" t="s">
        <v>417</v>
      </c>
      <c r="H54" s="5" t="s">
        <v>111</v>
      </c>
      <c r="I54" s="5" t="s">
        <v>708</v>
      </c>
      <c r="J54" s="5" t="s">
        <v>334</v>
      </c>
      <c r="K54" s="5" t="s">
        <v>128</v>
      </c>
      <c r="L54" s="5">
        <v>28205</v>
      </c>
      <c r="M54" s="5" t="s">
        <v>709</v>
      </c>
      <c r="N54" s="5" t="s">
        <v>936</v>
      </c>
      <c r="O54" s="5" t="s">
        <v>10</v>
      </c>
      <c r="P54" s="5" t="s">
        <v>809</v>
      </c>
      <c r="Q54" s="5" t="s">
        <v>937</v>
      </c>
      <c r="R54" s="12">
        <v>74.112</v>
      </c>
      <c r="S54" s="4">
        <v>8</v>
      </c>
      <c r="T54" s="14">
        <v>0.2</v>
      </c>
      <c r="U54" s="12">
        <v>17.6016</v>
      </c>
      <c r="V54" s="19">
        <v>17.6016</v>
      </c>
      <c r="W54" s="20">
        <v>59.2896</v>
      </c>
      <c r="X54" s="21" t="str" cm="1">
        <f t="array" ref="X54">IF(OR(R54:R591&lt;0,T53:T591&lt;0,C54:C592=""),"Check","OK")</f>
        <v>Check</v>
      </c>
    </row>
    <row r="55" ht="17.6" spans="1:24">
      <c r="A55" s="7">
        <v>110</v>
      </c>
      <c r="B55" s="8" t="s">
        <v>938</v>
      </c>
      <c r="C55" s="9">
        <v>42292</v>
      </c>
      <c r="D55" s="9">
        <v>42297</v>
      </c>
      <c r="E55" s="8" t="s">
        <v>4</v>
      </c>
      <c r="F55" s="8" t="s">
        <v>939</v>
      </c>
      <c r="G55" s="8" t="s">
        <v>940</v>
      </c>
      <c r="H55" s="8" t="s">
        <v>741</v>
      </c>
      <c r="I55" s="8" t="s">
        <v>708</v>
      </c>
      <c r="J55" s="8" t="s">
        <v>941</v>
      </c>
      <c r="K55" s="8" t="s">
        <v>183</v>
      </c>
      <c r="L55" s="8">
        <v>60462</v>
      </c>
      <c r="M55" s="8" t="s">
        <v>742</v>
      </c>
      <c r="N55" s="8" t="s">
        <v>942</v>
      </c>
      <c r="O55" s="8" t="s">
        <v>10</v>
      </c>
      <c r="P55" s="8" t="s">
        <v>809</v>
      </c>
      <c r="Q55" s="8" t="s">
        <v>943</v>
      </c>
      <c r="R55" s="15">
        <v>339.96</v>
      </c>
      <c r="S55" s="7">
        <v>5</v>
      </c>
      <c r="T55" s="16">
        <v>0.2</v>
      </c>
      <c r="U55" s="15">
        <v>67.992</v>
      </c>
      <c r="V55" s="22">
        <v>67.992</v>
      </c>
      <c r="W55" s="23">
        <v>271.968</v>
      </c>
      <c r="X55" s="21" t="str" cm="1">
        <f t="array" ref="X55">IF(OR(R55:R592&lt;0,T54:T592&lt;0,C55:C593=""),"Check","OK")</f>
        <v>Check</v>
      </c>
    </row>
    <row r="56" ht="17.6" spans="1:24">
      <c r="A56" s="4">
        <v>111</v>
      </c>
      <c r="B56" s="5" t="s">
        <v>944</v>
      </c>
      <c r="C56" s="6">
        <v>43094</v>
      </c>
      <c r="D56" s="6">
        <v>43099</v>
      </c>
      <c r="E56" s="5" t="s">
        <v>4</v>
      </c>
      <c r="F56" s="5" t="s">
        <v>945</v>
      </c>
      <c r="G56" s="5" t="s">
        <v>946</v>
      </c>
      <c r="H56" s="5" t="s">
        <v>716</v>
      </c>
      <c r="I56" s="5" t="s">
        <v>708</v>
      </c>
      <c r="J56" s="5" t="s">
        <v>204</v>
      </c>
      <c r="K56" s="5" t="s">
        <v>168</v>
      </c>
      <c r="L56" s="5">
        <v>10035</v>
      </c>
      <c r="M56" s="5" t="s">
        <v>759</v>
      </c>
      <c r="N56" s="5" t="s">
        <v>947</v>
      </c>
      <c r="O56" s="5" t="s">
        <v>8</v>
      </c>
      <c r="P56" s="5" t="s">
        <v>727</v>
      </c>
      <c r="Q56" s="5" t="s">
        <v>948</v>
      </c>
      <c r="R56" s="12">
        <v>41.96</v>
      </c>
      <c r="S56" s="4">
        <v>2</v>
      </c>
      <c r="T56" s="14">
        <v>0</v>
      </c>
      <c r="U56" s="12">
        <v>10.9096</v>
      </c>
      <c r="V56" s="19">
        <v>10.9096</v>
      </c>
      <c r="W56" s="20">
        <v>41.96</v>
      </c>
      <c r="X56" s="21" t="str" cm="1">
        <f t="array" ref="X56">IF(OR(R56:R593&lt;0,T55:T593&lt;0,C56:C594=""),"Check","OK")</f>
        <v>Check</v>
      </c>
    </row>
    <row r="57" ht="17.6" spans="1:24">
      <c r="A57" s="7">
        <v>112</v>
      </c>
      <c r="B57" s="8" t="s">
        <v>949</v>
      </c>
      <c r="C57" s="9">
        <v>42677</v>
      </c>
      <c r="D57" s="9">
        <v>42684</v>
      </c>
      <c r="E57" s="8" t="s">
        <v>4</v>
      </c>
      <c r="F57" s="8" t="s">
        <v>249</v>
      </c>
      <c r="G57" s="8" t="s">
        <v>250</v>
      </c>
      <c r="H57" s="8" t="s">
        <v>111</v>
      </c>
      <c r="I57" s="8" t="s">
        <v>708</v>
      </c>
      <c r="J57" s="8" t="s">
        <v>252</v>
      </c>
      <c r="K57" s="8" t="s">
        <v>253</v>
      </c>
      <c r="L57" s="8">
        <v>50322</v>
      </c>
      <c r="M57" s="8" t="s">
        <v>742</v>
      </c>
      <c r="N57" s="8" t="s">
        <v>57</v>
      </c>
      <c r="O57" s="8" t="s">
        <v>9</v>
      </c>
      <c r="P57" s="8" t="s">
        <v>16</v>
      </c>
      <c r="Q57" s="8" t="s">
        <v>56</v>
      </c>
      <c r="R57" s="15">
        <v>75.96</v>
      </c>
      <c r="S57" s="7">
        <v>2</v>
      </c>
      <c r="T57" s="16">
        <v>0</v>
      </c>
      <c r="U57" s="15">
        <v>22.788</v>
      </c>
      <c r="V57" s="22">
        <v>22.788</v>
      </c>
      <c r="W57" s="23">
        <v>75.96</v>
      </c>
      <c r="X57" s="21" t="str" cm="1">
        <f t="array" ref="X57">IF(OR(R57:R594&lt;0,T56:T594&lt;0,C57:C595=""),"Check","OK")</f>
        <v>Check</v>
      </c>
    </row>
    <row r="58" ht="17.6" spans="1:24">
      <c r="A58" s="4">
        <v>114</v>
      </c>
      <c r="B58" s="5" t="s">
        <v>950</v>
      </c>
      <c r="C58" s="6">
        <v>41876</v>
      </c>
      <c r="D58" s="6">
        <v>41878</v>
      </c>
      <c r="E58" s="5" t="s">
        <v>707</v>
      </c>
      <c r="F58" s="5" t="s">
        <v>581</v>
      </c>
      <c r="G58" s="5" t="s">
        <v>582</v>
      </c>
      <c r="H58" s="5" t="s">
        <v>111</v>
      </c>
      <c r="I58" s="5" t="s">
        <v>708</v>
      </c>
      <c r="J58" s="5" t="s">
        <v>211</v>
      </c>
      <c r="K58" s="5" t="s">
        <v>138</v>
      </c>
      <c r="L58" s="5">
        <v>43229</v>
      </c>
      <c r="M58" s="5" t="s">
        <v>759</v>
      </c>
      <c r="N58" s="5" t="s">
        <v>951</v>
      </c>
      <c r="O58" s="5" t="s">
        <v>9</v>
      </c>
      <c r="P58" s="5" t="s">
        <v>824</v>
      </c>
      <c r="Q58" s="5" t="s">
        <v>952</v>
      </c>
      <c r="R58" s="12">
        <v>40.096</v>
      </c>
      <c r="S58" s="4">
        <v>14</v>
      </c>
      <c r="T58" s="14">
        <v>0.2</v>
      </c>
      <c r="U58" s="12">
        <v>14.5348</v>
      </c>
      <c r="V58" s="19">
        <v>14.5348</v>
      </c>
      <c r="W58" s="20">
        <v>32.0768</v>
      </c>
      <c r="X58" s="21" t="str" cm="1">
        <f t="array" ref="X58">IF(OR(R58:R595&lt;0,T57:T595&lt;0,C58:C596=""),"Check","OK")</f>
        <v>Check</v>
      </c>
    </row>
    <row r="59" ht="17.6" spans="1:24">
      <c r="A59" s="7">
        <v>118</v>
      </c>
      <c r="B59" s="8" t="s">
        <v>953</v>
      </c>
      <c r="C59" s="9">
        <v>42065</v>
      </c>
      <c r="D59" s="9">
        <v>42069</v>
      </c>
      <c r="E59" s="8" t="s">
        <v>4</v>
      </c>
      <c r="F59" s="8" t="s">
        <v>285</v>
      </c>
      <c r="G59" s="8" t="s">
        <v>286</v>
      </c>
      <c r="H59" s="8" t="s">
        <v>111</v>
      </c>
      <c r="I59" s="8" t="s">
        <v>708</v>
      </c>
      <c r="J59" s="8" t="s">
        <v>184</v>
      </c>
      <c r="K59" s="8" t="s">
        <v>185</v>
      </c>
      <c r="L59" s="8">
        <v>98103</v>
      </c>
      <c r="M59" s="8" t="s">
        <v>717</v>
      </c>
      <c r="N59" s="8" t="s">
        <v>954</v>
      </c>
      <c r="O59" s="8" t="s">
        <v>8</v>
      </c>
      <c r="P59" s="8" t="s">
        <v>723</v>
      </c>
      <c r="Q59" s="8" t="s">
        <v>955</v>
      </c>
      <c r="R59" s="15">
        <v>787.53</v>
      </c>
      <c r="S59" s="7">
        <v>3</v>
      </c>
      <c r="T59" s="16">
        <v>0</v>
      </c>
      <c r="U59" s="15">
        <v>165.3813</v>
      </c>
      <c r="V59" s="22">
        <v>165.3813</v>
      </c>
      <c r="W59" s="23">
        <v>787.53</v>
      </c>
      <c r="X59" s="21" t="str" cm="1">
        <f t="array" ref="X59">IF(OR(R59:R596&lt;0,T58:T596&lt;0,C59:C597=""),"Check","OK")</f>
        <v>Check</v>
      </c>
    </row>
    <row r="60" ht="17.6" spans="1:24">
      <c r="A60" s="4">
        <v>119</v>
      </c>
      <c r="B60" s="5" t="s">
        <v>956</v>
      </c>
      <c r="C60" s="6">
        <v>42099</v>
      </c>
      <c r="D60" s="6">
        <v>42104</v>
      </c>
      <c r="E60" s="5" t="s">
        <v>4</v>
      </c>
      <c r="F60" s="5" t="s">
        <v>957</v>
      </c>
      <c r="G60" s="5" t="s">
        <v>958</v>
      </c>
      <c r="H60" s="5" t="s">
        <v>716</v>
      </c>
      <c r="I60" s="5" t="s">
        <v>708</v>
      </c>
      <c r="J60" s="5" t="s">
        <v>959</v>
      </c>
      <c r="K60" s="5" t="s">
        <v>381</v>
      </c>
      <c r="L60" s="5">
        <v>37620</v>
      </c>
      <c r="M60" s="5" t="s">
        <v>709</v>
      </c>
      <c r="N60" s="5" t="s">
        <v>960</v>
      </c>
      <c r="O60" s="5" t="s">
        <v>9</v>
      </c>
      <c r="P60" s="5" t="s">
        <v>736</v>
      </c>
      <c r="Q60" s="5" t="s">
        <v>961</v>
      </c>
      <c r="R60" s="12">
        <v>157.794</v>
      </c>
      <c r="S60" s="4">
        <v>1</v>
      </c>
      <c r="T60" s="14">
        <v>0.7</v>
      </c>
      <c r="U60" s="12">
        <v>-115.7156</v>
      </c>
      <c r="V60" s="19">
        <v>115.7156</v>
      </c>
      <c r="W60" s="20">
        <v>47.3382</v>
      </c>
      <c r="X60" s="21" t="str" cm="1">
        <f t="array" ref="X60">IF(OR(R60:R597&lt;0,T59:T597&lt;0,C60:C598=""),"Check","OK")</f>
        <v>Check</v>
      </c>
    </row>
    <row r="61" ht="17.6" spans="1:24">
      <c r="A61" s="7">
        <v>120</v>
      </c>
      <c r="B61" s="8" t="s">
        <v>962</v>
      </c>
      <c r="C61" s="9">
        <v>42533</v>
      </c>
      <c r="D61" s="9">
        <v>42536</v>
      </c>
      <c r="E61" s="8" t="s">
        <v>13</v>
      </c>
      <c r="F61" s="8" t="s">
        <v>619</v>
      </c>
      <c r="G61" s="8" t="s">
        <v>620</v>
      </c>
      <c r="H61" s="8" t="s">
        <v>111</v>
      </c>
      <c r="I61" s="8" t="s">
        <v>708</v>
      </c>
      <c r="J61" s="8" t="s">
        <v>164</v>
      </c>
      <c r="K61" s="8" t="s">
        <v>466</v>
      </c>
      <c r="L61" s="8">
        <v>19805</v>
      </c>
      <c r="M61" s="8" t="s">
        <v>759</v>
      </c>
      <c r="N61" s="8" t="s">
        <v>963</v>
      </c>
      <c r="O61" s="8" t="s">
        <v>8</v>
      </c>
      <c r="P61" s="8" t="s">
        <v>727</v>
      </c>
      <c r="Q61" s="8" t="s">
        <v>964</v>
      </c>
      <c r="R61" s="15">
        <v>47.04</v>
      </c>
      <c r="S61" s="7">
        <v>3</v>
      </c>
      <c r="T61" s="16">
        <v>0</v>
      </c>
      <c r="U61" s="15">
        <v>18.3456</v>
      </c>
      <c r="V61" s="22">
        <v>18.3456</v>
      </c>
      <c r="W61" s="23">
        <v>47.04</v>
      </c>
      <c r="X61" s="21" t="str" cm="1">
        <f t="array" ref="X61">IF(OR(R61:R598&lt;0,T60:T598&lt;0,C61:C599=""),"Check","OK")</f>
        <v>Check</v>
      </c>
    </row>
    <row r="62" ht="17.6" spans="1:24">
      <c r="A62" s="4">
        <v>125</v>
      </c>
      <c r="B62" s="5" t="s">
        <v>965</v>
      </c>
      <c r="C62" s="6">
        <v>41999</v>
      </c>
      <c r="D62" s="6">
        <v>42001</v>
      </c>
      <c r="E62" s="5" t="s">
        <v>707</v>
      </c>
      <c r="F62" s="5" t="s">
        <v>966</v>
      </c>
      <c r="G62" s="5" t="s">
        <v>967</v>
      </c>
      <c r="H62" s="5" t="s">
        <v>741</v>
      </c>
      <c r="I62" s="5" t="s">
        <v>708</v>
      </c>
      <c r="J62" s="5" t="s">
        <v>131</v>
      </c>
      <c r="K62" s="5" t="s">
        <v>132</v>
      </c>
      <c r="L62" s="5">
        <v>77041</v>
      </c>
      <c r="M62" s="5" t="s">
        <v>742</v>
      </c>
      <c r="N62" s="5" t="s">
        <v>968</v>
      </c>
      <c r="O62" s="5" t="s">
        <v>8</v>
      </c>
      <c r="P62" s="5" t="s">
        <v>761</v>
      </c>
      <c r="Q62" s="5" t="s">
        <v>969</v>
      </c>
      <c r="R62" s="12">
        <v>600.558</v>
      </c>
      <c r="S62" s="4">
        <v>3</v>
      </c>
      <c r="T62" s="14">
        <v>0.3</v>
      </c>
      <c r="U62" s="12">
        <v>-8.5794</v>
      </c>
      <c r="V62" s="19">
        <v>8.5794</v>
      </c>
      <c r="W62" s="20">
        <v>420.3906</v>
      </c>
      <c r="X62" s="21" t="str" cm="1">
        <f t="array" ref="X62">IF(OR(R62:R599&lt;0,T61:T599&lt;0,C62:C600=""),"Check","OK")</f>
        <v>Check</v>
      </c>
    </row>
    <row r="63" ht="17.6" spans="1:24">
      <c r="A63" s="7">
        <v>126</v>
      </c>
      <c r="B63" s="8" t="s">
        <v>970</v>
      </c>
      <c r="C63" s="9">
        <v>41902</v>
      </c>
      <c r="D63" s="9">
        <v>41907</v>
      </c>
      <c r="E63" s="8" t="s">
        <v>4</v>
      </c>
      <c r="F63" s="8" t="s">
        <v>540</v>
      </c>
      <c r="G63" s="8" t="s">
        <v>541</v>
      </c>
      <c r="H63" s="8" t="s">
        <v>111</v>
      </c>
      <c r="I63" s="8" t="s">
        <v>708</v>
      </c>
      <c r="J63" s="8" t="s">
        <v>542</v>
      </c>
      <c r="K63" s="8" t="s">
        <v>183</v>
      </c>
      <c r="L63" s="8">
        <v>61701</v>
      </c>
      <c r="M63" s="8" t="s">
        <v>742</v>
      </c>
      <c r="N63" s="8" t="s">
        <v>971</v>
      </c>
      <c r="O63" s="8" t="s">
        <v>8</v>
      </c>
      <c r="P63" s="8" t="s">
        <v>723</v>
      </c>
      <c r="Q63" s="8" t="s">
        <v>972</v>
      </c>
      <c r="R63" s="15">
        <v>617.7</v>
      </c>
      <c r="S63" s="7">
        <v>6</v>
      </c>
      <c r="T63" s="16">
        <v>0.5</v>
      </c>
      <c r="U63" s="15">
        <v>-407.682</v>
      </c>
      <c r="V63" s="22">
        <v>407.682</v>
      </c>
      <c r="W63" s="23">
        <v>308.85</v>
      </c>
      <c r="X63" s="21" t="str" cm="1">
        <f t="array" ref="X63">IF(OR(R63:R600&lt;0,T62:T600&lt;0,C63:C601=""),"Check","OK")</f>
        <v>Check</v>
      </c>
    </row>
    <row r="64" ht="17.6" spans="1:24">
      <c r="A64" s="4">
        <v>127</v>
      </c>
      <c r="B64" s="5" t="s">
        <v>973</v>
      </c>
      <c r="C64" s="6">
        <v>43044</v>
      </c>
      <c r="D64" s="6">
        <v>43051</v>
      </c>
      <c r="E64" s="5" t="s">
        <v>4</v>
      </c>
      <c r="F64" s="5" t="s">
        <v>677</v>
      </c>
      <c r="G64" s="5" t="s">
        <v>678</v>
      </c>
      <c r="H64" s="5" t="s">
        <v>111</v>
      </c>
      <c r="I64" s="5" t="s">
        <v>708</v>
      </c>
      <c r="J64" s="5" t="s">
        <v>365</v>
      </c>
      <c r="K64" s="5" t="s">
        <v>122</v>
      </c>
      <c r="L64" s="5">
        <v>85023</v>
      </c>
      <c r="M64" s="5" t="s">
        <v>717</v>
      </c>
      <c r="N64" s="5" t="s">
        <v>974</v>
      </c>
      <c r="O64" s="5" t="s">
        <v>9</v>
      </c>
      <c r="P64" s="5" t="s">
        <v>736</v>
      </c>
      <c r="Q64" s="5" t="s">
        <v>975</v>
      </c>
      <c r="R64" s="12">
        <v>2.388</v>
      </c>
      <c r="S64" s="4">
        <v>2</v>
      </c>
      <c r="T64" s="14">
        <v>0.7</v>
      </c>
      <c r="U64" s="12">
        <v>-1.8308</v>
      </c>
      <c r="V64" s="19">
        <v>1.8308</v>
      </c>
      <c r="W64" s="20">
        <v>0.7164</v>
      </c>
      <c r="X64" s="21" t="str" cm="1">
        <f t="array" ref="X64">IF(OR(R64:R601&lt;0,T63:T601&lt;0,C64:C602=""),"Check","OK")</f>
        <v>Check</v>
      </c>
    </row>
    <row r="65" ht="17.6" spans="1:24">
      <c r="A65" s="7">
        <v>129</v>
      </c>
      <c r="B65" s="8" t="s">
        <v>976</v>
      </c>
      <c r="C65" s="9">
        <v>42680</v>
      </c>
      <c r="D65" s="9">
        <v>42684</v>
      </c>
      <c r="E65" s="8" t="s">
        <v>707</v>
      </c>
      <c r="F65" s="8" t="s">
        <v>977</v>
      </c>
      <c r="G65" s="8" t="s">
        <v>978</v>
      </c>
      <c r="H65" s="8" t="s">
        <v>741</v>
      </c>
      <c r="I65" s="8" t="s">
        <v>708</v>
      </c>
      <c r="J65" s="8" t="s">
        <v>135</v>
      </c>
      <c r="K65" s="8" t="s">
        <v>136</v>
      </c>
      <c r="L65" s="8">
        <v>90004</v>
      </c>
      <c r="M65" s="8" t="s">
        <v>717</v>
      </c>
      <c r="N65" s="8" t="s">
        <v>835</v>
      </c>
      <c r="O65" s="8" t="s">
        <v>8</v>
      </c>
      <c r="P65" s="8" t="s">
        <v>761</v>
      </c>
      <c r="Q65" s="8" t="s">
        <v>979</v>
      </c>
      <c r="R65" s="15">
        <v>81.424</v>
      </c>
      <c r="S65" s="7">
        <v>2</v>
      </c>
      <c r="T65" s="16">
        <v>0.2</v>
      </c>
      <c r="U65" s="15">
        <v>-9.1602</v>
      </c>
      <c r="V65" s="22">
        <v>9.1602</v>
      </c>
      <c r="W65" s="23">
        <v>65.1392</v>
      </c>
      <c r="X65" s="21" t="str" cm="1">
        <f t="array" ref="X65">IF(OR(R65:R602&lt;0,T64:T602&lt;0,C65:C603=""),"Check","OK")</f>
        <v>Check</v>
      </c>
    </row>
    <row r="66" ht="17.6" spans="1:24">
      <c r="A66" s="4">
        <v>131</v>
      </c>
      <c r="B66" s="5" t="s">
        <v>980</v>
      </c>
      <c r="C66" s="6">
        <v>42768</v>
      </c>
      <c r="D66" s="6">
        <v>42771</v>
      </c>
      <c r="E66" s="5" t="s">
        <v>13</v>
      </c>
      <c r="F66" s="5" t="s">
        <v>981</v>
      </c>
      <c r="G66" s="5" t="s">
        <v>982</v>
      </c>
      <c r="H66" s="5" t="s">
        <v>716</v>
      </c>
      <c r="I66" s="5" t="s">
        <v>708</v>
      </c>
      <c r="J66" s="5" t="s">
        <v>211</v>
      </c>
      <c r="K66" s="5" t="s">
        <v>138</v>
      </c>
      <c r="L66" s="5">
        <v>43229</v>
      </c>
      <c r="M66" s="5" t="s">
        <v>759</v>
      </c>
      <c r="N66" s="5" t="s">
        <v>983</v>
      </c>
      <c r="O66" s="5" t="s">
        <v>10</v>
      </c>
      <c r="P66" s="5" t="s">
        <v>780</v>
      </c>
      <c r="Q66" s="5" t="s">
        <v>984</v>
      </c>
      <c r="R66" s="12">
        <v>59.97</v>
      </c>
      <c r="S66" s="4">
        <v>5</v>
      </c>
      <c r="T66" s="14">
        <v>0.4</v>
      </c>
      <c r="U66" s="12">
        <v>-11.994</v>
      </c>
      <c r="V66" s="19">
        <v>11.994</v>
      </c>
      <c r="W66" s="20">
        <v>35.982</v>
      </c>
      <c r="X66" s="21" t="str" cm="1">
        <f t="array" ref="X66">IF(OR(R66:R603&lt;0,T65:T603&lt;0,C66:C604=""),"Check","OK")</f>
        <v>Check</v>
      </c>
    </row>
    <row r="67" ht="17.6" spans="1:24">
      <c r="A67" s="7">
        <v>134</v>
      </c>
      <c r="B67" s="8" t="s">
        <v>985</v>
      </c>
      <c r="C67" s="9">
        <v>42656</v>
      </c>
      <c r="D67" s="9">
        <v>42662</v>
      </c>
      <c r="E67" s="8" t="s">
        <v>4</v>
      </c>
      <c r="F67" s="8" t="s">
        <v>452</v>
      </c>
      <c r="G67" s="8" t="s">
        <v>453</v>
      </c>
      <c r="H67" s="8" t="s">
        <v>111</v>
      </c>
      <c r="I67" s="8" t="s">
        <v>708</v>
      </c>
      <c r="J67" s="8" t="s">
        <v>454</v>
      </c>
      <c r="K67" s="8" t="s">
        <v>136</v>
      </c>
      <c r="L67" s="8">
        <v>95661</v>
      </c>
      <c r="M67" s="8" t="s">
        <v>717</v>
      </c>
      <c r="N67" s="8" t="s">
        <v>986</v>
      </c>
      <c r="O67" s="8" t="s">
        <v>9</v>
      </c>
      <c r="P67" s="8" t="s">
        <v>731</v>
      </c>
      <c r="Q67" s="8" t="s">
        <v>987</v>
      </c>
      <c r="R67" s="15">
        <v>20.04</v>
      </c>
      <c r="S67" s="7">
        <v>3</v>
      </c>
      <c r="T67" s="16">
        <v>0</v>
      </c>
      <c r="U67" s="15">
        <v>9.6192</v>
      </c>
      <c r="V67" s="22">
        <v>9.6192</v>
      </c>
      <c r="W67" s="23">
        <v>20.04</v>
      </c>
      <c r="X67" s="21" t="str" cm="1">
        <f t="array" ref="X67">IF(OR(R67:R604&lt;0,T66:T604&lt;0,C67:C605=""),"Check","OK")</f>
        <v>Check</v>
      </c>
    </row>
    <row r="68" ht="17.6" spans="1:24">
      <c r="A68" s="4">
        <v>141</v>
      </c>
      <c r="B68" s="5" t="s">
        <v>988</v>
      </c>
      <c r="C68" s="6">
        <v>42618</v>
      </c>
      <c r="D68" s="6">
        <v>42620</v>
      </c>
      <c r="E68" s="5" t="s">
        <v>707</v>
      </c>
      <c r="F68" s="5" t="s">
        <v>989</v>
      </c>
      <c r="G68" s="5" t="s">
        <v>990</v>
      </c>
      <c r="H68" s="5" t="s">
        <v>716</v>
      </c>
      <c r="I68" s="5" t="s">
        <v>708</v>
      </c>
      <c r="J68" s="5" t="s">
        <v>175</v>
      </c>
      <c r="K68" s="5" t="s">
        <v>176</v>
      </c>
      <c r="L68" s="5">
        <v>19140</v>
      </c>
      <c r="M68" s="5" t="s">
        <v>759</v>
      </c>
      <c r="N68" s="5" t="s">
        <v>991</v>
      </c>
      <c r="O68" s="5" t="s">
        <v>8</v>
      </c>
      <c r="P68" s="5" t="s">
        <v>727</v>
      </c>
      <c r="Q68" s="5" t="s">
        <v>992</v>
      </c>
      <c r="R68" s="12">
        <v>82.8</v>
      </c>
      <c r="S68" s="4">
        <v>2</v>
      </c>
      <c r="T68" s="14">
        <v>0.2</v>
      </c>
      <c r="U68" s="12">
        <v>10.35</v>
      </c>
      <c r="V68" s="19">
        <v>10.35</v>
      </c>
      <c r="W68" s="20">
        <v>66.24</v>
      </c>
      <c r="X68" s="21" t="str" cm="1">
        <f t="array" ref="X68">IF(OR(R68:R605&lt;0,T67:T605&lt;0,C68:C606=""),"Check","OK")</f>
        <v>Check</v>
      </c>
    </row>
    <row r="69" ht="17.6" spans="1:24">
      <c r="A69" s="7">
        <v>142</v>
      </c>
      <c r="B69" s="8" t="s">
        <v>993</v>
      </c>
      <c r="C69" s="9">
        <v>42996</v>
      </c>
      <c r="D69" s="9">
        <v>43001</v>
      </c>
      <c r="E69" s="8" t="s">
        <v>4</v>
      </c>
      <c r="F69" s="8" t="s">
        <v>994</v>
      </c>
      <c r="G69" s="8" t="s">
        <v>995</v>
      </c>
      <c r="H69" s="8" t="s">
        <v>716</v>
      </c>
      <c r="I69" s="8" t="s">
        <v>708</v>
      </c>
      <c r="J69" s="8" t="s">
        <v>188</v>
      </c>
      <c r="K69" s="8" t="s">
        <v>136</v>
      </c>
      <c r="L69" s="8">
        <v>94122</v>
      </c>
      <c r="M69" s="8" t="s">
        <v>717</v>
      </c>
      <c r="N69" s="8" t="s">
        <v>85</v>
      </c>
      <c r="O69" s="8" t="s">
        <v>9</v>
      </c>
      <c r="P69" s="8" t="s">
        <v>16</v>
      </c>
      <c r="Q69" s="8" t="s">
        <v>84</v>
      </c>
      <c r="R69" s="15">
        <v>8.82</v>
      </c>
      <c r="S69" s="7">
        <v>3</v>
      </c>
      <c r="T69" s="16">
        <v>0</v>
      </c>
      <c r="U69" s="15">
        <v>2.3814</v>
      </c>
      <c r="V69" s="22">
        <v>2.3814</v>
      </c>
      <c r="W69" s="23">
        <v>8.82</v>
      </c>
      <c r="X69" s="21" t="str" cm="1">
        <f t="array" ref="X69">IF(OR(R69:R606&lt;0,T68:T606&lt;0,C69:C607=""),"Check","OK")</f>
        <v>Check</v>
      </c>
    </row>
    <row r="70" ht="17.6" spans="1:24">
      <c r="A70" s="4">
        <v>145</v>
      </c>
      <c r="B70" s="5" t="s">
        <v>996</v>
      </c>
      <c r="C70" s="6">
        <v>43091</v>
      </c>
      <c r="D70" s="6">
        <v>43096</v>
      </c>
      <c r="E70" s="5" t="s">
        <v>4</v>
      </c>
      <c r="F70" s="5" t="s">
        <v>628</v>
      </c>
      <c r="G70" s="5" t="s">
        <v>629</v>
      </c>
      <c r="H70" s="5" t="s">
        <v>111</v>
      </c>
      <c r="I70" s="5" t="s">
        <v>708</v>
      </c>
      <c r="J70" s="5" t="s">
        <v>630</v>
      </c>
      <c r="K70" s="5" t="s">
        <v>482</v>
      </c>
      <c r="L70" s="5">
        <v>64055</v>
      </c>
      <c r="M70" s="5" t="s">
        <v>742</v>
      </c>
      <c r="N70" s="5" t="s">
        <v>997</v>
      </c>
      <c r="O70" s="5" t="s">
        <v>9</v>
      </c>
      <c r="P70" s="5" t="s">
        <v>744</v>
      </c>
      <c r="Q70" s="5" t="s">
        <v>998</v>
      </c>
      <c r="R70" s="12">
        <v>839.43</v>
      </c>
      <c r="S70" s="4">
        <v>3</v>
      </c>
      <c r="T70" s="14">
        <v>0</v>
      </c>
      <c r="U70" s="12">
        <v>218.2518</v>
      </c>
      <c r="V70" s="19">
        <v>218.2518</v>
      </c>
      <c r="W70" s="20">
        <v>839.43</v>
      </c>
      <c r="X70" s="21" t="str" cm="1">
        <f t="array" ref="X70">IF(OR(R70:R607&lt;0,T69:T607&lt;0,C70:C608=""),"Check","OK")</f>
        <v>Check</v>
      </c>
    </row>
    <row r="71" ht="17.6" spans="1:24">
      <c r="A71" s="7">
        <v>146</v>
      </c>
      <c r="B71" s="8" t="s">
        <v>999</v>
      </c>
      <c r="C71" s="9">
        <v>42254</v>
      </c>
      <c r="D71" s="9">
        <v>42259</v>
      </c>
      <c r="E71" s="8" t="s">
        <v>4</v>
      </c>
      <c r="F71" s="8" t="s">
        <v>350</v>
      </c>
      <c r="G71" s="8" t="s">
        <v>351</v>
      </c>
      <c r="H71" s="8" t="s">
        <v>111</v>
      </c>
      <c r="I71" s="8" t="s">
        <v>708</v>
      </c>
      <c r="J71" s="8" t="s">
        <v>352</v>
      </c>
      <c r="K71" s="8" t="s">
        <v>136</v>
      </c>
      <c r="L71" s="8">
        <v>91104</v>
      </c>
      <c r="M71" s="8" t="s">
        <v>717</v>
      </c>
      <c r="N71" s="8" t="s">
        <v>886</v>
      </c>
      <c r="O71" s="8" t="s">
        <v>9</v>
      </c>
      <c r="P71" s="8" t="s">
        <v>748</v>
      </c>
      <c r="Q71" s="8" t="s">
        <v>887</v>
      </c>
      <c r="R71" s="15">
        <v>671.93</v>
      </c>
      <c r="S71" s="7">
        <v>7</v>
      </c>
      <c r="T71" s="16">
        <v>0</v>
      </c>
      <c r="U71" s="15">
        <v>20.1579</v>
      </c>
      <c r="V71" s="22">
        <v>20.1579</v>
      </c>
      <c r="W71" s="23">
        <v>671.93</v>
      </c>
      <c r="X71" s="21" t="str" cm="1">
        <f t="array" ref="X71">IF(OR(R71:R608&lt;0,T70:T608&lt;0,C71:C609=""),"Check","OK")</f>
        <v>Check</v>
      </c>
    </row>
    <row r="72" ht="17.6" spans="1:24">
      <c r="A72" s="4">
        <v>147</v>
      </c>
      <c r="B72" s="5" t="s">
        <v>1000</v>
      </c>
      <c r="C72" s="6">
        <v>41934</v>
      </c>
      <c r="D72" s="6">
        <v>41940</v>
      </c>
      <c r="E72" s="5" t="s">
        <v>4</v>
      </c>
      <c r="F72" s="5" t="s">
        <v>1001</v>
      </c>
      <c r="G72" s="5" t="s">
        <v>1002</v>
      </c>
      <c r="H72" s="5" t="s">
        <v>741</v>
      </c>
      <c r="I72" s="5" t="s">
        <v>708</v>
      </c>
      <c r="J72" s="5" t="s">
        <v>382</v>
      </c>
      <c r="K72" s="5" t="s">
        <v>138</v>
      </c>
      <c r="L72" s="5">
        <v>43055</v>
      </c>
      <c r="M72" s="5" t="s">
        <v>759</v>
      </c>
      <c r="N72" s="5" t="s">
        <v>1003</v>
      </c>
      <c r="O72" s="5" t="s">
        <v>8</v>
      </c>
      <c r="P72" s="5" t="s">
        <v>727</v>
      </c>
      <c r="Q72" s="5" t="s">
        <v>1004</v>
      </c>
      <c r="R72" s="12">
        <v>93.888</v>
      </c>
      <c r="S72" s="4">
        <v>4</v>
      </c>
      <c r="T72" s="14">
        <v>0.2</v>
      </c>
      <c r="U72" s="12">
        <v>12.9096</v>
      </c>
      <c r="V72" s="19">
        <v>12.9096</v>
      </c>
      <c r="W72" s="20">
        <v>75.1104</v>
      </c>
      <c r="X72" s="21" t="str" cm="1">
        <f t="array" ref="X72">IF(OR(R72:R609&lt;0,T71:T609&lt;0,C72:C610=""),"Check","OK")</f>
        <v>Check</v>
      </c>
    </row>
    <row r="73" ht="17.6" spans="1:24">
      <c r="A73" s="7">
        <v>148</v>
      </c>
      <c r="B73" s="8" t="s">
        <v>1005</v>
      </c>
      <c r="C73" s="9">
        <v>42709</v>
      </c>
      <c r="D73" s="9">
        <v>42713</v>
      </c>
      <c r="E73" s="8" t="s">
        <v>4</v>
      </c>
      <c r="F73" s="8" t="s">
        <v>1006</v>
      </c>
      <c r="G73" s="8" t="s">
        <v>1007</v>
      </c>
      <c r="H73" s="8" t="s">
        <v>716</v>
      </c>
      <c r="I73" s="8" t="s">
        <v>708</v>
      </c>
      <c r="J73" s="8" t="s">
        <v>1008</v>
      </c>
      <c r="K73" s="8" t="s">
        <v>155</v>
      </c>
      <c r="L73" s="8">
        <v>53132</v>
      </c>
      <c r="M73" s="8" t="s">
        <v>742</v>
      </c>
      <c r="N73" s="8" t="s">
        <v>1009</v>
      </c>
      <c r="O73" s="8" t="s">
        <v>10</v>
      </c>
      <c r="P73" s="8" t="s">
        <v>780</v>
      </c>
      <c r="Q73" s="8" t="s">
        <v>1010</v>
      </c>
      <c r="R73" s="15">
        <v>384.45</v>
      </c>
      <c r="S73" s="7">
        <v>11</v>
      </c>
      <c r="T73" s="16">
        <v>0</v>
      </c>
      <c r="U73" s="15">
        <v>103.8015</v>
      </c>
      <c r="V73" s="22">
        <v>103.8015</v>
      </c>
      <c r="W73" s="23">
        <v>384.45</v>
      </c>
      <c r="X73" s="21" t="str" cm="1">
        <f t="array" ref="X73">IF(OR(R73:R610&lt;0,T72:T610&lt;0,C73:C611=""),"Check","OK")</f>
        <v>Check</v>
      </c>
    </row>
    <row r="74" ht="17.6" spans="1:24">
      <c r="A74" s="4">
        <v>152</v>
      </c>
      <c r="B74" s="5" t="s">
        <v>1011</v>
      </c>
      <c r="C74" s="6">
        <v>42442</v>
      </c>
      <c r="D74" s="6">
        <v>42445</v>
      </c>
      <c r="E74" s="5" t="s">
        <v>13</v>
      </c>
      <c r="F74" s="5" t="s">
        <v>1012</v>
      </c>
      <c r="G74" s="5" t="s">
        <v>1013</v>
      </c>
      <c r="H74" s="5" t="s">
        <v>741</v>
      </c>
      <c r="I74" s="5" t="s">
        <v>708</v>
      </c>
      <c r="J74" s="5" t="s">
        <v>516</v>
      </c>
      <c r="K74" s="5" t="s">
        <v>122</v>
      </c>
      <c r="L74" s="5">
        <v>85254</v>
      </c>
      <c r="M74" s="5" t="s">
        <v>717</v>
      </c>
      <c r="N74" s="5" t="s">
        <v>1014</v>
      </c>
      <c r="O74" s="5" t="s">
        <v>9</v>
      </c>
      <c r="P74" s="5" t="s">
        <v>744</v>
      </c>
      <c r="Q74" s="5" t="s">
        <v>1015</v>
      </c>
      <c r="R74" s="12">
        <v>157.92</v>
      </c>
      <c r="S74" s="4">
        <v>5</v>
      </c>
      <c r="T74" s="14">
        <v>0.2</v>
      </c>
      <c r="U74" s="12">
        <v>17.766</v>
      </c>
      <c r="V74" s="19">
        <v>17.766</v>
      </c>
      <c r="W74" s="20">
        <v>126.336</v>
      </c>
      <c r="X74" s="21" t="str" cm="1">
        <f t="array" ref="X74">IF(OR(R74:R611&lt;0,T73:T611&lt;0,C74:C612=""),"Check","OK")</f>
        <v>Check</v>
      </c>
    </row>
    <row r="75" ht="17.6" spans="1:24">
      <c r="A75" s="7">
        <v>154</v>
      </c>
      <c r="B75" s="8" t="s">
        <v>1016</v>
      </c>
      <c r="C75" s="9">
        <v>42155</v>
      </c>
      <c r="D75" s="9">
        <v>42157</v>
      </c>
      <c r="E75" s="8" t="s">
        <v>13</v>
      </c>
      <c r="F75" s="8" t="s">
        <v>1017</v>
      </c>
      <c r="G75" s="8" t="s">
        <v>1018</v>
      </c>
      <c r="H75" s="8" t="s">
        <v>716</v>
      </c>
      <c r="I75" s="8" t="s">
        <v>708</v>
      </c>
      <c r="J75" s="8" t="s">
        <v>593</v>
      </c>
      <c r="K75" s="8" t="s">
        <v>136</v>
      </c>
      <c r="L75" s="8">
        <v>95123</v>
      </c>
      <c r="M75" s="8" t="s">
        <v>717</v>
      </c>
      <c r="N75" s="8" t="s">
        <v>1019</v>
      </c>
      <c r="O75" s="8" t="s">
        <v>9</v>
      </c>
      <c r="P75" s="8" t="s">
        <v>731</v>
      </c>
      <c r="Q75" s="8" t="s">
        <v>1020</v>
      </c>
      <c r="R75" s="15">
        <v>58.38</v>
      </c>
      <c r="S75" s="7">
        <v>7</v>
      </c>
      <c r="T75" s="16">
        <v>0</v>
      </c>
      <c r="U75" s="15">
        <v>26.271</v>
      </c>
      <c r="V75" s="22">
        <v>26.271</v>
      </c>
      <c r="W75" s="23">
        <v>58.38</v>
      </c>
      <c r="X75" s="21" t="str" cm="1">
        <f t="array" ref="X75">IF(OR(R75:R612&lt;0,T74:T612&lt;0,C75:C613=""),"Check","OK")</f>
        <v>Check</v>
      </c>
    </row>
    <row r="76" ht="17.6" spans="1:24">
      <c r="A76" s="4">
        <v>157</v>
      </c>
      <c r="B76" s="5" t="s">
        <v>1021</v>
      </c>
      <c r="C76" s="6">
        <v>42152</v>
      </c>
      <c r="D76" s="6">
        <v>42158</v>
      </c>
      <c r="E76" s="5" t="s">
        <v>4</v>
      </c>
      <c r="F76" s="5" t="s">
        <v>1022</v>
      </c>
      <c r="G76" s="5" t="s">
        <v>1023</v>
      </c>
      <c r="H76" s="5" t="s">
        <v>741</v>
      </c>
      <c r="I76" s="5" t="s">
        <v>708</v>
      </c>
      <c r="J76" s="5" t="s">
        <v>184</v>
      </c>
      <c r="K76" s="5" t="s">
        <v>185</v>
      </c>
      <c r="L76" s="5">
        <v>98105</v>
      </c>
      <c r="M76" s="5" t="s">
        <v>717</v>
      </c>
      <c r="N76" s="5" t="s">
        <v>63</v>
      </c>
      <c r="O76" s="5" t="s">
        <v>9</v>
      </c>
      <c r="P76" s="5" t="s">
        <v>16</v>
      </c>
      <c r="Q76" s="5" t="s">
        <v>62</v>
      </c>
      <c r="R76" s="12">
        <v>6.63</v>
      </c>
      <c r="S76" s="4">
        <v>3</v>
      </c>
      <c r="T76" s="14">
        <v>0</v>
      </c>
      <c r="U76" s="12">
        <v>1.7901</v>
      </c>
      <c r="V76" s="19">
        <v>1.7901</v>
      </c>
      <c r="W76" s="20">
        <v>6.63</v>
      </c>
      <c r="X76" s="21" t="str" cm="1">
        <f t="array" ref="X76">IF(OR(R76:R613&lt;0,T75:T613&lt;0,C76:C614=""),"Check","OK")</f>
        <v>Check</v>
      </c>
    </row>
    <row r="77" ht="17.6" spans="1:24">
      <c r="A77" s="7">
        <v>158</v>
      </c>
      <c r="B77" s="8" t="s">
        <v>1024</v>
      </c>
      <c r="C77" s="9">
        <v>41699</v>
      </c>
      <c r="D77" s="9">
        <v>41704</v>
      </c>
      <c r="E77" s="8" t="s">
        <v>707</v>
      </c>
      <c r="F77" s="8" t="s">
        <v>267</v>
      </c>
      <c r="G77" s="8" t="s">
        <v>268</v>
      </c>
      <c r="H77" s="8" t="s">
        <v>111</v>
      </c>
      <c r="I77" s="8" t="s">
        <v>708</v>
      </c>
      <c r="J77" s="8" t="s">
        <v>184</v>
      </c>
      <c r="K77" s="8" t="s">
        <v>185</v>
      </c>
      <c r="L77" s="8">
        <v>98115</v>
      </c>
      <c r="M77" s="8" t="s">
        <v>717</v>
      </c>
      <c r="N77" s="8" t="s">
        <v>968</v>
      </c>
      <c r="O77" s="8" t="s">
        <v>8</v>
      </c>
      <c r="P77" s="8" t="s">
        <v>761</v>
      </c>
      <c r="Q77" s="8" t="s">
        <v>969</v>
      </c>
      <c r="R77" s="15">
        <v>457.568</v>
      </c>
      <c r="S77" s="7">
        <v>2</v>
      </c>
      <c r="T77" s="16">
        <v>0.2</v>
      </c>
      <c r="U77" s="15">
        <v>51.4764</v>
      </c>
      <c r="V77" s="22">
        <v>51.4764</v>
      </c>
      <c r="W77" s="23">
        <v>366.0544</v>
      </c>
      <c r="X77" s="21" t="str" cm="1">
        <f t="array" ref="X77">IF(OR(R77:R614&lt;0,T76:T614&lt;0,C77:C615=""),"Check","OK")</f>
        <v>Check</v>
      </c>
    </row>
    <row r="78" ht="17.6" spans="1:24">
      <c r="A78" s="4">
        <v>159</v>
      </c>
      <c r="B78" s="5" t="s">
        <v>1025</v>
      </c>
      <c r="C78" s="6">
        <v>42694</v>
      </c>
      <c r="D78" s="6">
        <v>42698</v>
      </c>
      <c r="E78" s="5" t="s">
        <v>4</v>
      </c>
      <c r="F78" s="5" t="s">
        <v>527</v>
      </c>
      <c r="G78" s="5" t="s">
        <v>528</v>
      </c>
      <c r="H78" s="5" t="s">
        <v>111</v>
      </c>
      <c r="I78" s="5" t="s">
        <v>708</v>
      </c>
      <c r="J78" s="5" t="s">
        <v>529</v>
      </c>
      <c r="K78" s="5" t="s">
        <v>530</v>
      </c>
      <c r="L78" s="5">
        <v>73034</v>
      </c>
      <c r="M78" s="5" t="s">
        <v>742</v>
      </c>
      <c r="N78" s="5" t="s">
        <v>1026</v>
      </c>
      <c r="O78" s="5" t="s">
        <v>9</v>
      </c>
      <c r="P78" s="5" t="s">
        <v>719</v>
      </c>
      <c r="Q78" s="5" t="s">
        <v>1027</v>
      </c>
      <c r="R78" s="12">
        <v>14.62</v>
      </c>
      <c r="S78" s="4">
        <v>2</v>
      </c>
      <c r="T78" s="14">
        <v>0</v>
      </c>
      <c r="U78" s="12">
        <v>6.8714</v>
      </c>
      <c r="V78" s="19">
        <v>6.8714</v>
      </c>
      <c r="W78" s="20">
        <v>14.62</v>
      </c>
      <c r="X78" s="21" t="str" cm="1">
        <f t="array" ref="X78">IF(OR(R78:R615&lt;0,T77:T615&lt;0,C78:C616=""),"Check","OK")</f>
        <v>Check</v>
      </c>
    </row>
    <row r="79" ht="17.6" spans="1:24">
      <c r="A79" s="7">
        <v>161</v>
      </c>
      <c r="B79" s="8" t="s">
        <v>1028</v>
      </c>
      <c r="C79" s="9">
        <v>42501</v>
      </c>
      <c r="D79" s="9">
        <v>42502</v>
      </c>
      <c r="E79" s="8" t="s">
        <v>13</v>
      </c>
      <c r="F79" s="8" t="s">
        <v>679</v>
      </c>
      <c r="G79" s="8" t="s">
        <v>680</v>
      </c>
      <c r="H79" s="8" t="s">
        <v>111</v>
      </c>
      <c r="I79" s="8" t="s">
        <v>708</v>
      </c>
      <c r="J79" s="8" t="s">
        <v>135</v>
      </c>
      <c r="K79" s="8" t="s">
        <v>136</v>
      </c>
      <c r="L79" s="8">
        <v>90045</v>
      </c>
      <c r="M79" s="8" t="s">
        <v>717</v>
      </c>
      <c r="N79" s="8" t="s">
        <v>1029</v>
      </c>
      <c r="O79" s="8" t="s">
        <v>9</v>
      </c>
      <c r="P79" s="8" t="s">
        <v>731</v>
      </c>
      <c r="Q79" s="8" t="s">
        <v>1030</v>
      </c>
      <c r="R79" s="15">
        <v>5.98</v>
      </c>
      <c r="S79" s="7">
        <v>1</v>
      </c>
      <c r="T79" s="16">
        <v>0</v>
      </c>
      <c r="U79" s="15">
        <v>2.691</v>
      </c>
      <c r="V79" s="22">
        <v>2.691</v>
      </c>
      <c r="W79" s="23">
        <v>5.98</v>
      </c>
      <c r="X79" s="21" t="str" cm="1">
        <f t="array" ref="X79">IF(OR(R79:R616&lt;0,T78:T616&lt;0,C79:C617=""),"Check","OK")</f>
        <v>Check</v>
      </c>
    </row>
    <row r="80" ht="17.6" spans="1:24">
      <c r="A80" s="4">
        <v>162</v>
      </c>
      <c r="B80" s="5" t="s">
        <v>1031</v>
      </c>
      <c r="C80" s="6">
        <v>42366</v>
      </c>
      <c r="D80" s="6">
        <v>42369</v>
      </c>
      <c r="E80" s="5" t="s">
        <v>707</v>
      </c>
      <c r="F80" s="5" t="s">
        <v>319</v>
      </c>
      <c r="G80" s="5" t="s">
        <v>320</v>
      </c>
      <c r="H80" s="5" t="s">
        <v>111</v>
      </c>
      <c r="I80" s="5" t="s">
        <v>708</v>
      </c>
      <c r="J80" s="5" t="s">
        <v>175</v>
      </c>
      <c r="K80" s="5" t="s">
        <v>176</v>
      </c>
      <c r="L80" s="5">
        <v>19134</v>
      </c>
      <c r="M80" s="5" t="s">
        <v>759</v>
      </c>
      <c r="N80" s="5" t="s">
        <v>1032</v>
      </c>
      <c r="O80" s="5" t="s">
        <v>10</v>
      </c>
      <c r="P80" s="5" t="s">
        <v>809</v>
      </c>
      <c r="Q80" s="5" t="s">
        <v>1033</v>
      </c>
      <c r="R80" s="12">
        <v>54.384</v>
      </c>
      <c r="S80" s="4">
        <v>2</v>
      </c>
      <c r="T80" s="14">
        <v>0.2</v>
      </c>
      <c r="U80" s="12">
        <v>1.3596</v>
      </c>
      <c r="V80" s="19">
        <v>1.3596</v>
      </c>
      <c r="W80" s="20">
        <v>43.5072</v>
      </c>
      <c r="X80" s="21" t="str" cm="1">
        <f t="array" ref="X80">IF(OR(R80:R617&lt;0,T79:T617&lt;0,C80:C618=""),"Check","OK")</f>
        <v>Check</v>
      </c>
    </row>
    <row r="81" ht="17.6" spans="1:24">
      <c r="A81" s="7">
        <v>163</v>
      </c>
      <c r="B81" s="8" t="s">
        <v>1034</v>
      </c>
      <c r="C81" s="9">
        <v>42690</v>
      </c>
      <c r="D81" s="9">
        <v>42694</v>
      </c>
      <c r="E81" s="8" t="s">
        <v>4</v>
      </c>
      <c r="F81" s="8" t="s">
        <v>587</v>
      </c>
      <c r="G81" s="8" t="s">
        <v>588</v>
      </c>
      <c r="H81" s="8" t="s">
        <v>111</v>
      </c>
      <c r="I81" s="8" t="s">
        <v>708</v>
      </c>
      <c r="J81" s="8" t="s">
        <v>589</v>
      </c>
      <c r="K81" s="8" t="s">
        <v>590</v>
      </c>
      <c r="L81" s="8">
        <v>88220</v>
      </c>
      <c r="M81" s="8" t="s">
        <v>717</v>
      </c>
      <c r="N81" s="8" t="s">
        <v>1035</v>
      </c>
      <c r="O81" s="8" t="s">
        <v>9</v>
      </c>
      <c r="P81" s="8" t="s">
        <v>786</v>
      </c>
      <c r="Q81" s="8" t="s">
        <v>1036</v>
      </c>
      <c r="R81" s="15">
        <v>28.4</v>
      </c>
      <c r="S81" s="7">
        <v>5</v>
      </c>
      <c r="T81" s="16">
        <v>0</v>
      </c>
      <c r="U81" s="15">
        <v>13.348</v>
      </c>
      <c r="V81" s="22">
        <v>13.348</v>
      </c>
      <c r="W81" s="23">
        <v>28.4</v>
      </c>
      <c r="X81" s="21" t="str" cm="1">
        <f t="array" ref="X81">IF(OR(R81:R618&lt;0,T80:T618&lt;0,C81:C619=""),"Check","OK")</f>
        <v>Check</v>
      </c>
    </row>
    <row r="82" ht="17.6" spans="1:24">
      <c r="A82" s="4">
        <v>164</v>
      </c>
      <c r="B82" s="5" t="s">
        <v>1037</v>
      </c>
      <c r="C82" s="6">
        <v>42681</v>
      </c>
      <c r="D82" s="6">
        <v>42685</v>
      </c>
      <c r="E82" s="5" t="s">
        <v>4</v>
      </c>
      <c r="F82" s="5" t="s">
        <v>502</v>
      </c>
      <c r="G82" s="5" t="s">
        <v>503</v>
      </c>
      <c r="H82" s="5" t="s">
        <v>111</v>
      </c>
      <c r="I82" s="5" t="s">
        <v>708</v>
      </c>
      <c r="J82" s="5" t="s">
        <v>184</v>
      </c>
      <c r="K82" s="5" t="s">
        <v>185</v>
      </c>
      <c r="L82" s="5">
        <v>98115</v>
      </c>
      <c r="M82" s="5" t="s">
        <v>717</v>
      </c>
      <c r="N82" s="5" t="s">
        <v>1038</v>
      </c>
      <c r="O82" s="5" t="s">
        <v>9</v>
      </c>
      <c r="P82" s="5" t="s">
        <v>736</v>
      </c>
      <c r="Q82" s="5" t="s">
        <v>1039</v>
      </c>
      <c r="R82" s="12">
        <v>27.68</v>
      </c>
      <c r="S82" s="4">
        <v>2</v>
      </c>
      <c r="T82" s="14">
        <v>0.2</v>
      </c>
      <c r="U82" s="12">
        <v>9.688</v>
      </c>
      <c r="V82" s="19">
        <v>9.688</v>
      </c>
      <c r="W82" s="20">
        <v>22.144</v>
      </c>
      <c r="X82" s="21" t="str" cm="1">
        <f t="array" ref="X82">IF(OR(R82:R619&lt;0,T81:T619&lt;0,C82:C620=""),"Check","OK")</f>
        <v>Check</v>
      </c>
    </row>
    <row r="83" ht="17.6" spans="1:24">
      <c r="A83" s="7">
        <v>165</v>
      </c>
      <c r="B83" s="8" t="s">
        <v>1040</v>
      </c>
      <c r="C83" s="9">
        <v>41890</v>
      </c>
      <c r="D83" s="9">
        <v>41894</v>
      </c>
      <c r="E83" s="8" t="s">
        <v>4</v>
      </c>
      <c r="F83" s="8" t="s">
        <v>205</v>
      </c>
      <c r="G83" s="8" t="s">
        <v>206</v>
      </c>
      <c r="H83" s="8" t="s">
        <v>111</v>
      </c>
      <c r="I83" s="8" t="s">
        <v>708</v>
      </c>
      <c r="J83" s="8" t="s">
        <v>207</v>
      </c>
      <c r="K83" s="8" t="s">
        <v>132</v>
      </c>
      <c r="L83" s="8">
        <v>78207</v>
      </c>
      <c r="M83" s="8" t="s">
        <v>742</v>
      </c>
      <c r="N83" s="8" t="s">
        <v>27</v>
      </c>
      <c r="O83" s="8" t="s">
        <v>9</v>
      </c>
      <c r="P83" s="8" t="s">
        <v>16</v>
      </c>
      <c r="Q83" s="8" t="s">
        <v>26</v>
      </c>
      <c r="R83" s="15">
        <v>9.936</v>
      </c>
      <c r="S83" s="7">
        <v>3</v>
      </c>
      <c r="T83" s="16">
        <v>0.2</v>
      </c>
      <c r="U83" s="15">
        <v>2.7324</v>
      </c>
      <c r="V83" s="22">
        <v>2.7324</v>
      </c>
      <c r="W83" s="23">
        <v>7.9488</v>
      </c>
      <c r="X83" s="21" t="str" cm="1">
        <f t="array" ref="X83">IF(OR(R83:R620&lt;0,T82:T620&lt;0,C83:C621=""),"Check","OK")</f>
        <v>Check</v>
      </c>
    </row>
    <row r="84" ht="17.6" spans="1:24">
      <c r="A84" s="4">
        <v>172</v>
      </c>
      <c r="B84" s="5" t="s">
        <v>1041</v>
      </c>
      <c r="C84" s="6">
        <v>41856</v>
      </c>
      <c r="D84" s="6">
        <v>41860</v>
      </c>
      <c r="E84" s="5" t="s">
        <v>4</v>
      </c>
      <c r="F84" s="5" t="s">
        <v>264</v>
      </c>
      <c r="G84" s="5" t="s">
        <v>265</v>
      </c>
      <c r="H84" s="5" t="s">
        <v>111</v>
      </c>
      <c r="I84" s="5" t="s">
        <v>708</v>
      </c>
      <c r="J84" s="5" t="s">
        <v>135</v>
      </c>
      <c r="K84" s="5" t="s">
        <v>136</v>
      </c>
      <c r="L84" s="5">
        <v>90004</v>
      </c>
      <c r="M84" s="5" t="s">
        <v>717</v>
      </c>
      <c r="N84" s="5" t="s">
        <v>1042</v>
      </c>
      <c r="O84" s="5" t="s">
        <v>9</v>
      </c>
      <c r="P84" s="5" t="s">
        <v>731</v>
      </c>
      <c r="Q84" s="5" t="s">
        <v>1043</v>
      </c>
      <c r="R84" s="12">
        <v>20.94</v>
      </c>
      <c r="S84" s="4">
        <v>3</v>
      </c>
      <c r="T84" s="14">
        <v>0</v>
      </c>
      <c r="U84" s="12">
        <v>9.8418</v>
      </c>
      <c r="V84" s="19">
        <v>9.8418</v>
      </c>
      <c r="W84" s="20">
        <v>20.94</v>
      </c>
      <c r="X84" s="21" t="str" cm="1">
        <f t="array" ref="X84">IF(OR(R84:R621&lt;0,T83:T621&lt;0,C84:C622=""),"Check","OK")</f>
        <v>Check</v>
      </c>
    </row>
    <row r="85" ht="17.6" spans="1:24">
      <c r="A85" s="7">
        <v>175</v>
      </c>
      <c r="B85" s="8" t="s">
        <v>1044</v>
      </c>
      <c r="C85" s="9">
        <v>41896</v>
      </c>
      <c r="D85" s="9">
        <v>41901</v>
      </c>
      <c r="E85" s="8" t="s">
        <v>4</v>
      </c>
      <c r="F85" s="8" t="s">
        <v>1045</v>
      </c>
      <c r="G85" s="8" t="s">
        <v>1046</v>
      </c>
      <c r="H85" s="8" t="s">
        <v>716</v>
      </c>
      <c r="I85" s="8" t="s">
        <v>708</v>
      </c>
      <c r="J85" s="8" t="s">
        <v>182</v>
      </c>
      <c r="K85" s="8" t="s">
        <v>183</v>
      </c>
      <c r="L85" s="8">
        <v>60623</v>
      </c>
      <c r="M85" s="8" t="s">
        <v>742</v>
      </c>
      <c r="N85" s="8" t="s">
        <v>1047</v>
      </c>
      <c r="O85" s="8" t="s">
        <v>9</v>
      </c>
      <c r="P85" s="8" t="s">
        <v>744</v>
      </c>
      <c r="Q85" s="8" t="s">
        <v>1048</v>
      </c>
      <c r="R85" s="15">
        <v>52.448</v>
      </c>
      <c r="S85" s="7">
        <v>2</v>
      </c>
      <c r="T85" s="16">
        <v>0.8</v>
      </c>
      <c r="U85" s="15">
        <v>-131.12</v>
      </c>
      <c r="V85" s="22">
        <v>131.12</v>
      </c>
      <c r="W85" s="23">
        <v>10.4896</v>
      </c>
      <c r="X85" s="21" t="str" cm="1">
        <f t="array" ref="X85">IF(OR(R85:R622&lt;0,T84:T622&lt;0,C85:C623=""),"Check","OK")</f>
        <v>Check</v>
      </c>
    </row>
    <row r="86" ht="17.6" spans="1:24">
      <c r="A86" s="4">
        <v>177</v>
      </c>
      <c r="B86" s="5" t="s">
        <v>1049</v>
      </c>
      <c r="C86" s="6">
        <v>42846</v>
      </c>
      <c r="D86" s="6">
        <v>42850</v>
      </c>
      <c r="E86" s="5" t="s">
        <v>707</v>
      </c>
      <c r="F86" s="5" t="s">
        <v>633</v>
      </c>
      <c r="G86" s="5" t="s">
        <v>634</v>
      </c>
      <c r="H86" s="5" t="s">
        <v>111</v>
      </c>
      <c r="I86" s="5" t="s">
        <v>708</v>
      </c>
      <c r="J86" s="5" t="s">
        <v>131</v>
      </c>
      <c r="K86" s="5" t="s">
        <v>132</v>
      </c>
      <c r="L86" s="5">
        <v>77036</v>
      </c>
      <c r="M86" s="5" t="s">
        <v>742</v>
      </c>
      <c r="N86" s="5" t="s">
        <v>1050</v>
      </c>
      <c r="O86" s="5" t="s">
        <v>9</v>
      </c>
      <c r="P86" s="5" t="s">
        <v>744</v>
      </c>
      <c r="Q86" s="5" t="s">
        <v>1051</v>
      </c>
      <c r="R86" s="12">
        <v>97.264</v>
      </c>
      <c r="S86" s="4">
        <v>4</v>
      </c>
      <c r="T86" s="14">
        <v>0.8</v>
      </c>
      <c r="U86" s="12">
        <v>-243.16</v>
      </c>
      <c r="V86" s="19">
        <v>243.16</v>
      </c>
      <c r="W86" s="20">
        <v>19.4528</v>
      </c>
      <c r="X86" s="21" t="str" cm="1">
        <f t="array" ref="X86">IF(OR(R86:R623&lt;0,T85:T623&lt;0,C86:C624=""),"Check","OK")</f>
        <v>Check</v>
      </c>
    </row>
    <row r="87" ht="17.6" spans="1:24">
      <c r="A87" s="7">
        <v>178</v>
      </c>
      <c r="B87" s="8" t="s">
        <v>1052</v>
      </c>
      <c r="C87" s="9">
        <v>42329</v>
      </c>
      <c r="D87" s="9">
        <v>42331</v>
      </c>
      <c r="E87" s="8" t="s">
        <v>707</v>
      </c>
      <c r="F87" s="8" t="s">
        <v>377</v>
      </c>
      <c r="G87" s="8" t="s">
        <v>378</v>
      </c>
      <c r="H87" s="8" t="s">
        <v>111</v>
      </c>
      <c r="I87" s="8" t="s">
        <v>708</v>
      </c>
      <c r="J87" s="8" t="s">
        <v>382</v>
      </c>
      <c r="K87" s="8" t="s">
        <v>138</v>
      </c>
      <c r="L87" s="8">
        <v>43055</v>
      </c>
      <c r="M87" s="8" t="s">
        <v>759</v>
      </c>
      <c r="N87" s="8" t="s">
        <v>1053</v>
      </c>
      <c r="O87" s="8" t="s">
        <v>8</v>
      </c>
      <c r="P87" s="8" t="s">
        <v>761</v>
      </c>
      <c r="Q87" s="8" t="s">
        <v>1054</v>
      </c>
      <c r="R87" s="15">
        <v>396.802</v>
      </c>
      <c r="S87" s="7">
        <v>7</v>
      </c>
      <c r="T87" s="16">
        <v>0.3</v>
      </c>
      <c r="U87" s="15">
        <v>-11.3372</v>
      </c>
      <c r="V87" s="22">
        <v>11.3372</v>
      </c>
      <c r="W87" s="23">
        <v>277.7614</v>
      </c>
      <c r="X87" s="21" t="str" cm="1">
        <f t="array" ref="X87">IF(OR(R87:R624&lt;0,T86:T624&lt;0,C87:C625=""),"Check","OK")</f>
        <v>Check</v>
      </c>
    </row>
    <row r="88" ht="17.6" spans="1:24">
      <c r="A88" s="4">
        <v>180</v>
      </c>
      <c r="B88" s="5" t="s">
        <v>1055</v>
      </c>
      <c r="C88" s="6">
        <v>42353</v>
      </c>
      <c r="D88" s="6">
        <v>42357</v>
      </c>
      <c r="E88" s="5" t="s">
        <v>4</v>
      </c>
      <c r="F88" s="5" t="s">
        <v>1056</v>
      </c>
      <c r="G88" s="5" t="s">
        <v>1057</v>
      </c>
      <c r="H88" s="5" t="s">
        <v>741</v>
      </c>
      <c r="I88" s="5" t="s">
        <v>708</v>
      </c>
      <c r="J88" s="5" t="s">
        <v>204</v>
      </c>
      <c r="K88" s="5" t="s">
        <v>168</v>
      </c>
      <c r="L88" s="5">
        <v>10009</v>
      </c>
      <c r="M88" s="5" t="s">
        <v>759</v>
      </c>
      <c r="N88" s="5" t="s">
        <v>99</v>
      </c>
      <c r="O88" s="5" t="s">
        <v>9</v>
      </c>
      <c r="P88" s="5" t="s">
        <v>16</v>
      </c>
      <c r="Q88" s="5" t="s">
        <v>98</v>
      </c>
      <c r="R88" s="12">
        <v>3.28</v>
      </c>
      <c r="S88" s="4">
        <v>1</v>
      </c>
      <c r="T88" s="14">
        <v>0</v>
      </c>
      <c r="U88" s="12">
        <v>1.4104</v>
      </c>
      <c r="V88" s="19">
        <v>1.4104</v>
      </c>
      <c r="W88" s="20">
        <v>3.28</v>
      </c>
      <c r="X88" s="21" t="str" cm="1">
        <f t="array" ref="X88">IF(OR(R88:R625&lt;0,T87:T625&lt;0,C88:C626=""),"Check","OK")</f>
        <v>Check</v>
      </c>
    </row>
    <row r="89" ht="17.6" spans="1:24">
      <c r="A89" s="7">
        <v>181</v>
      </c>
      <c r="B89" s="8" t="s">
        <v>1058</v>
      </c>
      <c r="C89" s="9">
        <v>41978</v>
      </c>
      <c r="D89" s="9">
        <v>41982</v>
      </c>
      <c r="E89" s="8" t="s">
        <v>707</v>
      </c>
      <c r="F89" s="8" t="s">
        <v>1059</v>
      </c>
      <c r="G89" s="8" t="s">
        <v>1060</v>
      </c>
      <c r="H89" s="8" t="s">
        <v>716</v>
      </c>
      <c r="I89" s="8" t="s">
        <v>708</v>
      </c>
      <c r="J89" s="8" t="s">
        <v>521</v>
      </c>
      <c r="K89" s="8" t="s">
        <v>183</v>
      </c>
      <c r="L89" s="8">
        <v>62521</v>
      </c>
      <c r="M89" s="8" t="s">
        <v>742</v>
      </c>
      <c r="N89" s="8" t="s">
        <v>1061</v>
      </c>
      <c r="O89" s="8" t="s">
        <v>9</v>
      </c>
      <c r="P89" s="8" t="s">
        <v>748</v>
      </c>
      <c r="Q89" s="8" t="s">
        <v>1062</v>
      </c>
      <c r="R89" s="15">
        <v>24.816</v>
      </c>
      <c r="S89" s="7">
        <v>2</v>
      </c>
      <c r="T89" s="16">
        <v>0.2</v>
      </c>
      <c r="U89" s="15">
        <v>1.8612</v>
      </c>
      <c r="V89" s="22">
        <v>1.8612</v>
      </c>
      <c r="W89" s="23">
        <v>19.8528</v>
      </c>
      <c r="X89" s="21" t="str" cm="1">
        <f t="array" ref="X89">IF(OR(R89:R626&lt;0,T88:T626&lt;0,C89:C627=""),"Check","OK")</f>
        <v>Check</v>
      </c>
    </row>
    <row r="90" ht="17.6" spans="1:24">
      <c r="A90" s="4">
        <v>183</v>
      </c>
      <c r="B90" s="5" t="s">
        <v>1063</v>
      </c>
      <c r="C90" s="6">
        <v>41962</v>
      </c>
      <c r="D90" s="6">
        <v>41967</v>
      </c>
      <c r="E90" s="5" t="s">
        <v>707</v>
      </c>
      <c r="F90" s="5" t="s">
        <v>1064</v>
      </c>
      <c r="G90" s="5" t="s">
        <v>1065</v>
      </c>
      <c r="H90" s="5" t="s">
        <v>741</v>
      </c>
      <c r="I90" s="5" t="s">
        <v>708</v>
      </c>
      <c r="J90" s="5" t="s">
        <v>1066</v>
      </c>
      <c r="K90" s="5" t="s">
        <v>1067</v>
      </c>
      <c r="L90" s="5">
        <v>71203</v>
      </c>
      <c r="M90" s="5" t="s">
        <v>709</v>
      </c>
      <c r="N90" s="5" t="s">
        <v>1068</v>
      </c>
      <c r="O90" s="5" t="s">
        <v>10</v>
      </c>
      <c r="P90" s="5" t="s">
        <v>780</v>
      </c>
      <c r="Q90" s="5" t="s">
        <v>1069</v>
      </c>
      <c r="R90" s="12">
        <v>503.96</v>
      </c>
      <c r="S90" s="4">
        <v>4</v>
      </c>
      <c r="T90" s="14">
        <v>0</v>
      </c>
      <c r="U90" s="12">
        <v>131.0296</v>
      </c>
      <c r="V90" s="19">
        <v>131.0296</v>
      </c>
      <c r="W90" s="20">
        <v>503.96</v>
      </c>
      <c r="X90" s="21" t="str" cm="1">
        <f t="array" ref="X90">IF(OR(R90:R627&lt;0,T89:T627&lt;0,C90:C628=""),"Check","OK")</f>
        <v>Check</v>
      </c>
    </row>
    <row r="91" ht="17.6" spans="1:24">
      <c r="A91" s="7">
        <v>186</v>
      </c>
      <c r="B91" s="8" t="s">
        <v>1070</v>
      </c>
      <c r="C91" s="9">
        <v>42702</v>
      </c>
      <c r="D91" s="9">
        <v>42706</v>
      </c>
      <c r="E91" s="8" t="s">
        <v>4</v>
      </c>
      <c r="F91" s="8" t="s">
        <v>635</v>
      </c>
      <c r="G91" s="8" t="s">
        <v>636</v>
      </c>
      <c r="H91" s="8" t="s">
        <v>111</v>
      </c>
      <c r="I91" s="8" t="s">
        <v>708</v>
      </c>
      <c r="J91" s="8" t="s">
        <v>637</v>
      </c>
      <c r="K91" s="8" t="s">
        <v>638</v>
      </c>
      <c r="L91" s="8">
        <v>6824</v>
      </c>
      <c r="M91" s="8" t="s">
        <v>759</v>
      </c>
      <c r="N91" s="8" t="s">
        <v>1071</v>
      </c>
      <c r="O91" s="8" t="s">
        <v>9</v>
      </c>
      <c r="P91" s="8" t="s">
        <v>736</v>
      </c>
      <c r="Q91" s="8" t="s">
        <v>1072</v>
      </c>
      <c r="R91" s="15">
        <v>7.16</v>
      </c>
      <c r="S91" s="7">
        <v>2</v>
      </c>
      <c r="T91" s="16">
        <v>0</v>
      </c>
      <c r="U91" s="15">
        <v>3.4368</v>
      </c>
      <c r="V91" s="22">
        <v>3.4368</v>
      </c>
      <c r="W91" s="23">
        <v>7.16</v>
      </c>
      <c r="X91" s="21" t="str" cm="1">
        <f t="array" ref="X91">IF(OR(R91:R628&lt;0,T90:T628&lt;0,C91:C629=""),"Check","OK")</f>
        <v>Check</v>
      </c>
    </row>
    <row r="92" ht="17.6" spans="1:24">
      <c r="A92" s="4">
        <v>187</v>
      </c>
      <c r="B92" s="5" t="s">
        <v>1073</v>
      </c>
      <c r="C92" s="6">
        <v>41877</v>
      </c>
      <c r="D92" s="6">
        <v>41881</v>
      </c>
      <c r="E92" s="5" t="s">
        <v>4</v>
      </c>
      <c r="F92" s="5" t="s">
        <v>1074</v>
      </c>
      <c r="G92" s="5" t="s">
        <v>1075</v>
      </c>
      <c r="H92" s="5" t="s">
        <v>741</v>
      </c>
      <c r="I92" s="5" t="s">
        <v>708</v>
      </c>
      <c r="J92" s="5" t="s">
        <v>135</v>
      </c>
      <c r="K92" s="5" t="s">
        <v>136</v>
      </c>
      <c r="L92" s="5">
        <v>90032</v>
      </c>
      <c r="M92" s="5" t="s">
        <v>717</v>
      </c>
      <c r="N92" s="5" t="s">
        <v>1076</v>
      </c>
      <c r="O92" s="5" t="s">
        <v>10</v>
      </c>
      <c r="P92" s="5" t="s">
        <v>809</v>
      </c>
      <c r="Q92" s="5" t="s">
        <v>1077</v>
      </c>
      <c r="R92" s="12">
        <v>176.8</v>
      </c>
      <c r="S92" s="4">
        <v>8</v>
      </c>
      <c r="T92" s="14">
        <v>0</v>
      </c>
      <c r="U92" s="12">
        <v>22.984</v>
      </c>
      <c r="V92" s="19">
        <v>22.984</v>
      </c>
      <c r="W92" s="20">
        <v>176.8</v>
      </c>
      <c r="X92" s="21" t="str" cm="1">
        <f t="array" ref="X92">IF(OR(R92:R629&lt;0,T91:T629&lt;0,C92:C630=""),"Check","OK")</f>
        <v>Check</v>
      </c>
    </row>
    <row r="93" ht="17.6" spans="1:24">
      <c r="A93" s="7">
        <v>188</v>
      </c>
      <c r="B93" s="8" t="s">
        <v>1078</v>
      </c>
      <c r="C93" s="9">
        <v>42567</v>
      </c>
      <c r="D93" s="9">
        <v>42573</v>
      </c>
      <c r="E93" s="8" t="s">
        <v>4</v>
      </c>
      <c r="F93" s="8" t="s">
        <v>1079</v>
      </c>
      <c r="G93" s="8" t="s">
        <v>1080</v>
      </c>
      <c r="H93" s="8" t="s">
        <v>716</v>
      </c>
      <c r="I93" s="8" t="s">
        <v>708</v>
      </c>
      <c r="J93" s="8" t="s">
        <v>1081</v>
      </c>
      <c r="K93" s="8" t="s">
        <v>132</v>
      </c>
      <c r="L93" s="8">
        <v>75051</v>
      </c>
      <c r="M93" s="8" t="s">
        <v>742</v>
      </c>
      <c r="N93" s="8" t="s">
        <v>1082</v>
      </c>
      <c r="O93" s="8" t="s">
        <v>9</v>
      </c>
      <c r="P93" s="8" t="s">
        <v>748</v>
      </c>
      <c r="Q93" s="8" t="s">
        <v>1083</v>
      </c>
      <c r="R93" s="15">
        <v>37.224</v>
      </c>
      <c r="S93" s="7">
        <v>3</v>
      </c>
      <c r="T93" s="16">
        <v>0.2</v>
      </c>
      <c r="U93" s="15">
        <v>3.7224</v>
      </c>
      <c r="V93" s="22">
        <v>3.7224</v>
      </c>
      <c r="W93" s="23">
        <v>29.7792</v>
      </c>
      <c r="X93" s="21" t="str" cm="1">
        <f t="array" ref="X93">IF(OR(R93:R630&lt;0,T92:T630&lt;0,C93:C631=""),"Check","OK")</f>
        <v>Check</v>
      </c>
    </row>
    <row r="94" ht="17.6" spans="1:24">
      <c r="A94" s="4">
        <v>190</v>
      </c>
      <c r="B94" s="5" t="s">
        <v>1084</v>
      </c>
      <c r="C94" s="6">
        <v>42289</v>
      </c>
      <c r="D94" s="6">
        <v>42291</v>
      </c>
      <c r="E94" s="5" t="s">
        <v>13</v>
      </c>
      <c r="F94" s="5" t="s">
        <v>1085</v>
      </c>
      <c r="G94" s="5" t="s">
        <v>1086</v>
      </c>
      <c r="H94" s="5" t="s">
        <v>741</v>
      </c>
      <c r="I94" s="5" t="s">
        <v>708</v>
      </c>
      <c r="J94" s="5" t="s">
        <v>204</v>
      </c>
      <c r="K94" s="5" t="s">
        <v>168</v>
      </c>
      <c r="L94" s="5">
        <v>10035</v>
      </c>
      <c r="M94" s="5" t="s">
        <v>759</v>
      </c>
      <c r="N94" s="5" t="s">
        <v>1087</v>
      </c>
      <c r="O94" s="5" t="s">
        <v>8</v>
      </c>
      <c r="P94" s="5" t="s">
        <v>711</v>
      </c>
      <c r="Q94" s="5" t="s">
        <v>1088</v>
      </c>
      <c r="R94" s="12">
        <v>899.136</v>
      </c>
      <c r="S94" s="4">
        <v>4</v>
      </c>
      <c r="T94" s="14">
        <v>0.2</v>
      </c>
      <c r="U94" s="12">
        <v>112.392</v>
      </c>
      <c r="V94" s="19">
        <v>112.392</v>
      </c>
      <c r="W94" s="20">
        <v>719.3088</v>
      </c>
      <c r="X94" s="21" t="str" cm="1">
        <f t="array" ref="X94">IF(OR(R94:R631&lt;0,T93:T631&lt;0,C94:C632=""),"Check","OK")</f>
        <v>Check</v>
      </c>
    </row>
    <row r="95" ht="17.6" spans="1:24">
      <c r="A95" s="7">
        <v>195</v>
      </c>
      <c r="B95" s="8" t="s">
        <v>1089</v>
      </c>
      <c r="C95" s="9">
        <v>42308</v>
      </c>
      <c r="D95" s="9">
        <v>42314</v>
      </c>
      <c r="E95" s="8" t="s">
        <v>4</v>
      </c>
      <c r="F95" s="8" t="s">
        <v>1090</v>
      </c>
      <c r="G95" s="8" t="s">
        <v>1091</v>
      </c>
      <c r="H95" s="8" t="s">
        <v>716</v>
      </c>
      <c r="I95" s="8" t="s">
        <v>708</v>
      </c>
      <c r="J95" s="8" t="s">
        <v>1092</v>
      </c>
      <c r="K95" s="8" t="s">
        <v>136</v>
      </c>
      <c r="L95" s="8">
        <v>92374</v>
      </c>
      <c r="M95" s="8" t="s">
        <v>717</v>
      </c>
      <c r="N95" s="8" t="s">
        <v>1093</v>
      </c>
      <c r="O95" s="8" t="s">
        <v>9</v>
      </c>
      <c r="P95" s="8" t="s">
        <v>786</v>
      </c>
      <c r="Q95" s="8" t="s">
        <v>1094</v>
      </c>
      <c r="R95" s="15">
        <v>14.28</v>
      </c>
      <c r="S95" s="7">
        <v>7</v>
      </c>
      <c r="T95" s="16">
        <v>0</v>
      </c>
      <c r="U95" s="15">
        <v>6.7116</v>
      </c>
      <c r="V95" s="22">
        <v>6.7116</v>
      </c>
      <c r="W95" s="23">
        <v>14.28</v>
      </c>
      <c r="X95" s="21" t="str" cm="1">
        <f t="array" ref="X95">IF(OR(R95:R632&lt;0,T94:T632&lt;0,C95:C633=""),"Check","OK")</f>
        <v>Check</v>
      </c>
    </row>
    <row r="96" ht="17.6" spans="1:24">
      <c r="A96" s="4">
        <v>196</v>
      </c>
      <c r="B96" s="5" t="s">
        <v>1095</v>
      </c>
      <c r="C96" s="6">
        <v>41719</v>
      </c>
      <c r="D96" s="6">
        <v>41723</v>
      </c>
      <c r="E96" s="5" t="s">
        <v>4</v>
      </c>
      <c r="F96" s="5" t="s">
        <v>222</v>
      </c>
      <c r="G96" s="5" t="s">
        <v>223</v>
      </c>
      <c r="H96" s="5" t="s">
        <v>111</v>
      </c>
      <c r="I96" s="5" t="s">
        <v>708</v>
      </c>
      <c r="J96" s="5" t="s">
        <v>225</v>
      </c>
      <c r="K96" s="5" t="s">
        <v>138</v>
      </c>
      <c r="L96" s="5">
        <v>45011</v>
      </c>
      <c r="M96" s="5" t="s">
        <v>759</v>
      </c>
      <c r="N96" s="5" t="s">
        <v>29</v>
      </c>
      <c r="O96" s="5" t="s">
        <v>9</v>
      </c>
      <c r="P96" s="5" t="s">
        <v>16</v>
      </c>
      <c r="Q96" s="5" t="s">
        <v>28</v>
      </c>
      <c r="R96" s="12">
        <v>7.408</v>
      </c>
      <c r="S96" s="4">
        <v>2</v>
      </c>
      <c r="T96" s="14">
        <v>0.2</v>
      </c>
      <c r="U96" s="12">
        <v>1.2038</v>
      </c>
      <c r="V96" s="19">
        <v>1.2038</v>
      </c>
      <c r="W96" s="20">
        <v>5.9264</v>
      </c>
      <c r="X96" s="21" t="str" cm="1">
        <f t="array" ref="X96">IF(OR(R96:R633&lt;0,T95:T633&lt;0,C96:C634=""),"Check","OK")</f>
        <v>Check</v>
      </c>
    </row>
    <row r="97" ht="17.6" spans="1:24">
      <c r="A97" s="7">
        <v>198</v>
      </c>
      <c r="B97" s="8" t="s">
        <v>1096</v>
      </c>
      <c r="C97" s="9">
        <v>43045</v>
      </c>
      <c r="D97" s="9">
        <v>43052</v>
      </c>
      <c r="E97" s="8" t="s">
        <v>4</v>
      </c>
      <c r="F97" s="8" t="s">
        <v>1097</v>
      </c>
      <c r="G97" s="8" t="s">
        <v>1098</v>
      </c>
      <c r="H97" s="8" t="s">
        <v>741</v>
      </c>
      <c r="I97" s="8" t="s">
        <v>708</v>
      </c>
      <c r="J97" s="8" t="s">
        <v>1099</v>
      </c>
      <c r="K97" s="8" t="s">
        <v>550</v>
      </c>
      <c r="L97" s="8">
        <v>7090</v>
      </c>
      <c r="M97" s="8" t="s">
        <v>759</v>
      </c>
      <c r="N97" s="8" t="s">
        <v>1100</v>
      </c>
      <c r="O97" s="8" t="s">
        <v>9</v>
      </c>
      <c r="P97" s="8" t="s">
        <v>748</v>
      </c>
      <c r="Q97" s="8" t="s">
        <v>1101</v>
      </c>
      <c r="R97" s="15">
        <v>46.26</v>
      </c>
      <c r="S97" s="7">
        <v>3</v>
      </c>
      <c r="T97" s="16">
        <v>0</v>
      </c>
      <c r="U97" s="15">
        <v>12.0276</v>
      </c>
      <c r="V97" s="22">
        <v>12.0276</v>
      </c>
      <c r="W97" s="23">
        <v>46.26</v>
      </c>
      <c r="X97" s="21" t="str" cm="1">
        <f t="array" ref="X97">IF(OR(R97:R634&lt;0,T96:T634&lt;0,C97:C635=""),"Check","OK")</f>
        <v>Check</v>
      </c>
    </row>
    <row r="98" ht="17.6" spans="1:24">
      <c r="A98" s="4">
        <v>199</v>
      </c>
      <c r="B98" s="5" t="s">
        <v>1102</v>
      </c>
      <c r="C98" s="6">
        <v>42922</v>
      </c>
      <c r="D98" s="6">
        <v>42929</v>
      </c>
      <c r="E98" s="5" t="s">
        <v>4</v>
      </c>
      <c r="F98" s="5" t="s">
        <v>1103</v>
      </c>
      <c r="G98" s="5" t="s">
        <v>1104</v>
      </c>
      <c r="H98" s="5" t="s">
        <v>716</v>
      </c>
      <c r="I98" s="5" t="s">
        <v>708</v>
      </c>
      <c r="J98" s="5" t="s">
        <v>175</v>
      </c>
      <c r="K98" s="5" t="s">
        <v>176</v>
      </c>
      <c r="L98" s="5">
        <v>19120</v>
      </c>
      <c r="M98" s="5" t="s">
        <v>759</v>
      </c>
      <c r="N98" s="5" t="s">
        <v>1105</v>
      </c>
      <c r="O98" s="5" t="s">
        <v>9</v>
      </c>
      <c r="P98" s="5" t="s">
        <v>736</v>
      </c>
      <c r="Q98" s="5" t="s">
        <v>1106</v>
      </c>
      <c r="R98" s="12">
        <v>2.946</v>
      </c>
      <c r="S98" s="4">
        <v>2</v>
      </c>
      <c r="T98" s="14">
        <v>0.7</v>
      </c>
      <c r="U98" s="12">
        <v>-2.2586</v>
      </c>
      <c r="V98" s="19">
        <v>2.2586</v>
      </c>
      <c r="W98" s="20">
        <v>0.8838</v>
      </c>
      <c r="X98" s="21" t="str" cm="1">
        <f t="array" ref="X98">IF(OR(R98:R635&lt;0,T97:T635&lt;0,C98:C636=""),"Check","OK")</f>
        <v>Check</v>
      </c>
    </row>
    <row r="99" ht="17.6" spans="1:24">
      <c r="A99" s="7">
        <v>201</v>
      </c>
      <c r="B99" s="8" t="s">
        <v>1107</v>
      </c>
      <c r="C99" s="9">
        <v>42910</v>
      </c>
      <c r="D99" s="9">
        <v>42915</v>
      </c>
      <c r="E99" s="8" t="s">
        <v>4</v>
      </c>
      <c r="F99" s="8" t="s">
        <v>485</v>
      </c>
      <c r="G99" s="8" t="s">
        <v>486</v>
      </c>
      <c r="H99" s="8" t="s">
        <v>111</v>
      </c>
      <c r="I99" s="8" t="s">
        <v>708</v>
      </c>
      <c r="J99" s="8" t="s">
        <v>487</v>
      </c>
      <c r="K99" s="8" t="s">
        <v>138</v>
      </c>
      <c r="L99" s="8">
        <v>44312</v>
      </c>
      <c r="M99" s="8" t="s">
        <v>759</v>
      </c>
      <c r="N99" s="8" t="s">
        <v>1108</v>
      </c>
      <c r="O99" s="8" t="s">
        <v>9</v>
      </c>
      <c r="P99" s="8" t="s">
        <v>731</v>
      </c>
      <c r="Q99" s="8" t="s">
        <v>1109</v>
      </c>
      <c r="R99" s="15">
        <v>21.744</v>
      </c>
      <c r="S99" s="7">
        <v>3</v>
      </c>
      <c r="T99" s="16">
        <v>0.2</v>
      </c>
      <c r="U99" s="15">
        <v>6.795</v>
      </c>
      <c r="V99" s="22">
        <v>6.795</v>
      </c>
      <c r="W99" s="23">
        <v>17.3952</v>
      </c>
      <c r="X99" s="21" t="str" cm="1">
        <f t="array" ref="X99">IF(OR(R99:R636&lt;0,T98:T636&lt;0,C99:C637=""),"Check","OK")</f>
        <v>Check</v>
      </c>
    </row>
    <row r="100" ht="17.6" spans="1:24">
      <c r="A100" s="4">
        <v>202</v>
      </c>
      <c r="B100" s="5" t="s">
        <v>1110</v>
      </c>
      <c r="C100" s="6">
        <v>41854</v>
      </c>
      <c r="D100" s="6">
        <v>41856</v>
      </c>
      <c r="E100" s="5" t="s">
        <v>13</v>
      </c>
      <c r="F100" s="5" t="s">
        <v>214</v>
      </c>
      <c r="G100" s="5" t="s">
        <v>215</v>
      </c>
      <c r="H100" s="5" t="s">
        <v>111</v>
      </c>
      <c r="I100" s="5" t="s">
        <v>708</v>
      </c>
      <c r="J100" s="5" t="s">
        <v>216</v>
      </c>
      <c r="K100" s="5" t="s">
        <v>217</v>
      </c>
      <c r="L100" s="5">
        <v>80219</v>
      </c>
      <c r="M100" s="5" t="s">
        <v>717</v>
      </c>
      <c r="N100" s="5" t="s">
        <v>1111</v>
      </c>
      <c r="O100" s="5" t="s">
        <v>8</v>
      </c>
      <c r="P100" s="5" t="s">
        <v>723</v>
      </c>
      <c r="Q100" s="5" t="s">
        <v>1112</v>
      </c>
      <c r="R100" s="12">
        <v>218.75</v>
      </c>
      <c r="S100" s="4">
        <v>2</v>
      </c>
      <c r="T100" s="14">
        <v>0.5</v>
      </c>
      <c r="U100" s="12">
        <v>-161.875</v>
      </c>
      <c r="V100" s="19">
        <v>161.875</v>
      </c>
      <c r="W100" s="20">
        <v>109.375</v>
      </c>
      <c r="X100" s="21" t="str" cm="1">
        <f t="array" ref="X100">IF(OR(R100:R637&lt;0,T99:T637&lt;0,C100:C638=""),"Check","OK")</f>
        <v>Check</v>
      </c>
    </row>
    <row r="101" ht="17.6" spans="1:24">
      <c r="A101" s="7">
        <v>204</v>
      </c>
      <c r="B101" s="8" t="s">
        <v>1113</v>
      </c>
      <c r="C101" s="9">
        <v>43086</v>
      </c>
      <c r="D101" s="9">
        <v>43090</v>
      </c>
      <c r="E101" s="8" t="s">
        <v>707</v>
      </c>
      <c r="F101" s="8" t="s">
        <v>455</v>
      </c>
      <c r="G101" s="8" t="s">
        <v>456</v>
      </c>
      <c r="H101" s="8" t="s">
        <v>111</v>
      </c>
      <c r="I101" s="8" t="s">
        <v>708</v>
      </c>
      <c r="J101" s="8" t="s">
        <v>457</v>
      </c>
      <c r="K101" s="8" t="s">
        <v>132</v>
      </c>
      <c r="L101" s="8">
        <v>75220</v>
      </c>
      <c r="M101" s="8" t="s">
        <v>742</v>
      </c>
      <c r="N101" s="8" t="s">
        <v>1114</v>
      </c>
      <c r="O101" s="8" t="s">
        <v>9</v>
      </c>
      <c r="P101" s="8" t="s">
        <v>744</v>
      </c>
      <c r="Q101" s="8" t="s">
        <v>1115</v>
      </c>
      <c r="R101" s="15">
        <v>66.284</v>
      </c>
      <c r="S101" s="7">
        <v>2</v>
      </c>
      <c r="T101" s="16">
        <v>0.8</v>
      </c>
      <c r="U101" s="15">
        <v>-178.9668</v>
      </c>
      <c r="V101" s="22">
        <v>178.9668</v>
      </c>
      <c r="W101" s="23">
        <v>13.2568</v>
      </c>
      <c r="X101" s="21" t="str" cm="1">
        <f t="array" ref="X101">IF(OR(R101:R638&lt;0,T100:T638&lt;0,C101:C639=""),"Check","OK")</f>
        <v>Check</v>
      </c>
    </row>
    <row r="102" ht="17.6" spans="1:24">
      <c r="A102" s="4">
        <v>205</v>
      </c>
      <c r="B102" s="5" t="s">
        <v>1116</v>
      </c>
      <c r="C102" s="6">
        <v>42889</v>
      </c>
      <c r="D102" s="6">
        <v>42893</v>
      </c>
      <c r="E102" s="5" t="s">
        <v>4</v>
      </c>
      <c r="F102" s="5" t="s">
        <v>1117</v>
      </c>
      <c r="G102" s="5" t="s">
        <v>1118</v>
      </c>
      <c r="H102" s="5" t="s">
        <v>716</v>
      </c>
      <c r="I102" s="5" t="s">
        <v>708</v>
      </c>
      <c r="J102" s="5" t="s">
        <v>1008</v>
      </c>
      <c r="K102" s="5" t="s">
        <v>381</v>
      </c>
      <c r="L102" s="5">
        <v>37064</v>
      </c>
      <c r="M102" s="5" t="s">
        <v>709</v>
      </c>
      <c r="N102" s="5" t="s">
        <v>1119</v>
      </c>
      <c r="O102" s="5" t="s">
        <v>8</v>
      </c>
      <c r="P102" s="5" t="s">
        <v>727</v>
      </c>
      <c r="Q102" s="5" t="s">
        <v>1120</v>
      </c>
      <c r="R102" s="12">
        <v>35.168</v>
      </c>
      <c r="S102" s="4">
        <v>7</v>
      </c>
      <c r="T102" s="14">
        <v>0.2</v>
      </c>
      <c r="U102" s="12">
        <v>9.6712</v>
      </c>
      <c r="V102" s="19">
        <v>9.6712</v>
      </c>
      <c r="W102" s="20">
        <v>28.1344</v>
      </c>
      <c r="X102" s="21" t="str" cm="1">
        <f t="array" ref="X102">IF(OR(R102:R639&lt;0,T101:T639&lt;0,C102:C640=""),"Check","OK")</f>
        <v>Check</v>
      </c>
    </row>
    <row r="103" ht="17.6" spans="1:24">
      <c r="A103" s="7">
        <v>206</v>
      </c>
      <c r="B103" s="8" t="s">
        <v>1121</v>
      </c>
      <c r="C103" s="9">
        <v>43078</v>
      </c>
      <c r="D103" s="9">
        <v>43083</v>
      </c>
      <c r="E103" s="8" t="s">
        <v>4</v>
      </c>
      <c r="F103" s="8" t="s">
        <v>458</v>
      </c>
      <c r="G103" s="8" t="s">
        <v>459</v>
      </c>
      <c r="H103" s="8" t="s">
        <v>111</v>
      </c>
      <c r="I103" s="8" t="s">
        <v>708</v>
      </c>
      <c r="J103" s="8" t="s">
        <v>460</v>
      </c>
      <c r="K103" s="8" t="s">
        <v>136</v>
      </c>
      <c r="L103" s="8">
        <v>90604</v>
      </c>
      <c r="M103" s="8" t="s">
        <v>717</v>
      </c>
      <c r="N103" s="8" t="s">
        <v>1122</v>
      </c>
      <c r="O103" s="8" t="s">
        <v>10</v>
      </c>
      <c r="P103" s="8" t="s">
        <v>780</v>
      </c>
      <c r="Q103" s="8" t="s">
        <v>1123</v>
      </c>
      <c r="R103" s="15">
        <v>444.768</v>
      </c>
      <c r="S103" s="7">
        <v>4</v>
      </c>
      <c r="T103" s="16">
        <v>0.2</v>
      </c>
      <c r="U103" s="15">
        <v>44.4768</v>
      </c>
      <c r="V103" s="22">
        <v>44.4768</v>
      </c>
      <c r="W103" s="23">
        <v>355.8144</v>
      </c>
      <c r="X103" s="21" t="str" cm="1">
        <f t="array" ref="X103">IF(OR(R103:R640&lt;0,T102:T640&lt;0,C103:C641=""),"Check","OK")</f>
        <v>Check</v>
      </c>
    </row>
    <row r="104" ht="17.6" spans="1:24">
      <c r="A104" s="4">
        <v>207</v>
      </c>
      <c r="B104" s="5" t="s">
        <v>1124</v>
      </c>
      <c r="C104" s="6">
        <v>43070</v>
      </c>
      <c r="D104" s="6">
        <v>43076</v>
      </c>
      <c r="E104" s="5" t="s">
        <v>4</v>
      </c>
      <c r="F104" s="5" t="s">
        <v>397</v>
      </c>
      <c r="G104" s="5" t="s">
        <v>398</v>
      </c>
      <c r="H104" s="5" t="s">
        <v>111</v>
      </c>
      <c r="I104" s="5" t="s">
        <v>708</v>
      </c>
      <c r="J104" s="5" t="s">
        <v>399</v>
      </c>
      <c r="K104" s="5" t="s">
        <v>163</v>
      </c>
      <c r="L104" s="5">
        <v>48601</v>
      </c>
      <c r="M104" s="5" t="s">
        <v>742</v>
      </c>
      <c r="N104" s="5" t="s">
        <v>1125</v>
      </c>
      <c r="O104" s="5" t="s">
        <v>9</v>
      </c>
      <c r="P104" s="5" t="s">
        <v>748</v>
      </c>
      <c r="Q104" s="5" t="s">
        <v>1126</v>
      </c>
      <c r="R104" s="12">
        <v>83.92</v>
      </c>
      <c r="S104" s="4">
        <v>4</v>
      </c>
      <c r="T104" s="14">
        <v>0</v>
      </c>
      <c r="U104" s="12">
        <v>5.8744</v>
      </c>
      <c r="V104" s="19">
        <v>5.8744</v>
      </c>
      <c r="W104" s="20">
        <v>83.92</v>
      </c>
      <c r="X104" s="21" t="str" cm="1">
        <f t="array" ref="X104">IF(OR(R104:R641&lt;0,T103:T641&lt;0,C104:C642=""),"Check","OK")</f>
        <v>Check</v>
      </c>
    </row>
    <row r="105" ht="17.6" spans="1:24">
      <c r="A105" s="7">
        <v>212</v>
      </c>
      <c r="B105" s="8" t="s">
        <v>1127</v>
      </c>
      <c r="C105" s="9">
        <v>42044</v>
      </c>
      <c r="D105" s="9">
        <v>42048</v>
      </c>
      <c r="E105" s="8" t="s">
        <v>707</v>
      </c>
      <c r="F105" s="8" t="s">
        <v>1128</v>
      </c>
      <c r="G105" s="8" t="s">
        <v>1129</v>
      </c>
      <c r="H105" s="8" t="s">
        <v>716</v>
      </c>
      <c r="I105" s="8" t="s">
        <v>708</v>
      </c>
      <c r="J105" s="8" t="s">
        <v>457</v>
      </c>
      <c r="K105" s="8" t="s">
        <v>132</v>
      </c>
      <c r="L105" s="8">
        <v>75220</v>
      </c>
      <c r="M105" s="8" t="s">
        <v>742</v>
      </c>
      <c r="N105" s="8" t="s">
        <v>1130</v>
      </c>
      <c r="O105" s="8" t="s">
        <v>10</v>
      </c>
      <c r="P105" s="8" t="s">
        <v>809</v>
      </c>
      <c r="Q105" s="8" t="s">
        <v>1131</v>
      </c>
      <c r="R105" s="15">
        <v>20.8</v>
      </c>
      <c r="S105" s="7">
        <v>2</v>
      </c>
      <c r="T105" s="16">
        <v>0.2</v>
      </c>
      <c r="U105" s="15">
        <v>6.5</v>
      </c>
      <c r="V105" s="22">
        <v>6.5</v>
      </c>
      <c r="W105" s="23">
        <v>16.64</v>
      </c>
      <c r="X105" s="21" t="str" cm="1">
        <f t="array" ref="X105">IF(OR(R105:R642&lt;0,T104:T642&lt;0,C105:C643=""),"Check","OK")</f>
        <v>Check</v>
      </c>
    </row>
    <row r="106" ht="17.6" spans="1:24">
      <c r="A106" s="4">
        <v>213</v>
      </c>
      <c r="B106" s="5" t="s">
        <v>1132</v>
      </c>
      <c r="C106" s="6">
        <v>42006</v>
      </c>
      <c r="D106" s="6">
        <v>42013</v>
      </c>
      <c r="E106" s="5" t="s">
        <v>4</v>
      </c>
      <c r="F106" s="5" t="s">
        <v>1133</v>
      </c>
      <c r="G106" s="5" t="s">
        <v>1134</v>
      </c>
      <c r="H106" s="5" t="s">
        <v>716</v>
      </c>
      <c r="I106" s="5" t="s">
        <v>708</v>
      </c>
      <c r="J106" s="5" t="s">
        <v>1135</v>
      </c>
      <c r="K106" s="5" t="s">
        <v>138</v>
      </c>
      <c r="L106" s="5">
        <v>44256</v>
      </c>
      <c r="M106" s="5" t="s">
        <v>759</v>
      </c>
      <c r="N106" s="5" t="s">
        <v>1136</v>
      </c>
      <c r="O106" s="5" t="s">
        <v>9</v>
      </c>
      <c r="P106" s="5" t="s">
        <v>719</v>
      </c>
      <c r="Q106" s="5" t="s">
        <v>1137</v>
      </c>
      <c r="R106" s="12">
        <v>23.68</v>
      </c>
      <c r="S106" s="4">
        <v>2</v>
      </c>
      <c r="T106" s="14">
        <v>0.2</v>
      </c>
      <c r="U106" s="12">
        <v>8.88</v>
      </c>
      <c r="V106" s="19">
        <v>8.88</v>
      </c>
      <c r="W106" s="20">
        <v>18.944</v>
      </c>
      <c r="X106" s="21" t="str" cm="1">
        <f t="array" ref="X106">IF(OR(R106:R643&lt;0,T105:T643&lt;0,C106:C644=""),"Check","OK")</f>
        <v>Check</v>
      </c>
    </row>
    <row r="107" ht="17.6" spans="1:24">
      <c r="A107" s="7">
        <v>218</v>
      </c>
      <c r="B107" s="8" t="s">
        <v>1138</v>
      </c>
      <c r="C107" s="9">
        <v>42671</v>
      </c>
      <c r="D107" s="9">
        <v>42675</v>
      </c>
      <c r="E107" s="8" t="s">
        <v>4</v>
      </c>
      <c r="F107" s="8" t="s">
        <v>395</v>
      </c>
      <c r="G107" s="8" t="s">
        <v>396</v>
      </c>
      <c r="H107" s="8" t="s">
        <v>111</v>
      </c>
      <c r="I107" s="8" t="s">
        <v>708</v>
      </c>
      <c r="J107" s="8" t="s">
        <v>135</v>
      </c>
      <c r="K107" s="8" t="s">
        <v>136</v>
      </c>
      <c r="L107" s="8">
        <v>90032</v>
      </c>
      <c r="M107" s="8" t="s">
        <v>717</v>
      </c>
      <c r="N107" s="8" t="s">
        <v>1082</v>
      </c>
      <c r="O107" s="8" t="s">
        <v>9</v>
      </c>
      <c r="P107" s="8" t="s">
        <v>748</v>
      </c>
      <c r="Q107" s="8" t="s">
        <v>1083</v>
      </c>
      <c r="R107" s="15">
        <v>93.06</v>
      </c>
      <c r="S107" s="7">
        <v>6</v>
      </c>
      <c r="T107" s="16">
        <v>0</v>
      </c>
      <c r="U107" s="15">
        <v>26.0568</v>
      </c>
      <c r="V107" s="22">
        <v>26.0568</v>
      </c>
      <c r="W107" s="23">
        <v>93.06</v>
      </c>
      <c r="X107" s="21" t="str" cm="1">
        <f t="array" ref="X107">IF(OR(R107:R644&lt;0,T106:T644&lt;0,C107:C645=""),"Check","OK")</f>
        <v>Check</v>
      </c>
    </row>
    <row r="108" ht="17.6" spans="1:24">
      <c r="A108" s="4">
        <v>220</v>
      </c>
      <c r="B108" s="5" t="s">
        <v>1139</v>
      </c>
      <c r="C108" s="6">
        <v>42362</v>
      </c>
      <c r="D108" s="6">
        <v>42365</v>
      </c>
      <c r="E108" s="5" t="s">
        <v>13</v>
      </c>
      <c r="F108" s="5" t="s">
        <v>366</v>
      </c>
      <c r="G108" s="5" t="s">
        <v>367</v>
      </c>
      <c r="H108" s="5" t="s">
        <v>111</v>
      </c>
      <c r="I108" s="5" t="s">
        <v>708</v>
      </c>
      <c r="J108" s="5" t="s">
        <v>368</v>
      </c>
      <c r="K108" s="5" t="s">
        <v>138</v>
      </c>
      <c r="L108" s="5">
        <v>43017</v>
      </c>
      <c r="M108" s="5" t="s">
        <v>759</v>
      </c>
      <c r="N108" s="5" t="s">
        <v>1140</v>
      </c>
      <c r="O108" s="5" t="s">
        <v>9</v>
      </c>
      <c r="P108" s="5" t="s">
        <v>824</v>
      </c>
      <c r="Q108" s="5" t="s">
        <v>1141</v>
      </c>
      <c r="R108" s="12">
        <v>5.584</v>
      </c>
      <c r="S108" s="4">
        <v>2</v>
      </c>
      <c r="T108" s="14">
        <v>0.2</v>
      </c>
      <c r="U108" s="12">
        <v>1.8148</v>
      </c>
      <c r="V108" s="19">
        <v>1.8148</v>
      </c>
      <c r="W108" s="20">
        <v>4.4672</v>
      </c>
      <c r="X108" s="21" t="str" cm="1">
        <f t="array" ref="X108">IF(OR(R108:R645&lt;0,T107:T645&lt;0,C108:C646=""),"Check","OK")</f>
        <v>Check</v>
      </c>
    </row>
    <row r="109" ht="17.6" spans="1:24">
      <c r="A109" s="7">
        <v>226</v>
      </c>
      <c r="B109" s="8" t="s">
        <v>1142</v>
      </c>
      <c r="C109" s="9">
        <v>42225</v>
      </c>
      <c r="D109" s="9">
        <v>42232</v>
      </c>
      <c r="E109" s="8" t="s">
        <v>4</v>
      </c>
      <c r="F109" s="8" t="s">
        <v>1143</v>
      </c>
      <c r="G109" s="8" t="s">
        <v>1144</v>
      </c>
      <c r="H109" s="8" t="s">
        <v>716</v>
      </c>
      <c r="I109" s="8" t="s">
        <v>708</v>
      </c>
      <c r="J109" s="8" t="s">
        <v>162</v>
      </c>
      <c r="K109" s="8" t="s">
        <v>163</v>
      </c>
      <c r="L109" s="8">
        <v>48227</v>
      </c>
      <c r="M109" s="8" t="s">
        <v>742</v>
      </c>
      <c r="N109" s="8" t="s">
        <v>101</v>
      </c>
      <c r="O109" s="8" t="s">
        <v>9</v>
      </c>
      <c r="P109" s="8" t="s">
        <v>16</v>
      </c>
      <c r="Q109" s="8" t="s">
        <v>100</v>
      </c>
      <c r="R109" s="15">
        <v>2.2</v>
      </c>
      <c r="S109" s="7">
        <v>1</v>
      </c>
      <c r="T109" s="16">
        <v>0</v>
      </c>
      <c r="U109" s="15">
        <v>0.968</v>
      </c>
      <c r="V109" s="22">
        <v>0.968</v>
      </c>
      <c r="W109" s="23">
        <v>2.2</v>
      </c>
      <c r="X109" s="21" t="str" cm="1">
        <f t="array" ref="X109">IF(OR(R109:R646&lt;0,T108:T646&lt;0,C109:C647=""),"Check","OK")</f>
        <v>Check</v>
      </c>
    </row>
    <row r="110" ht="17.6" spans="1:24">
      <c r="A110" s="4">
        <v>229</v>
      </c>
      <c r="B110" s="5" t="s">
        <v>1145</v>
      </c>
      <c r="C110" s="6">
        <v>42063</v>
      </c>
      <c r="D110" s="6">
        <v>42067</v>
      </c>
      <c r="E110" s="5" t="s">
        <v>4</v>
      </c>
      <c r="F110" s="5" t="s">
        <v>683</v>
      </c>
      <c r="G110" s="5" t="s">
        <v>684</v>
      </c>
      <c r="H110" s="5" t="s">
        <v>111</v>
      </c>
      <c r="I110" s="5" t="s">
        <v>708</v>
      </c>
      <c r="J110" s="5" t="s">
        <v>561</v>
      </c>
      <c r="K110" s="5" t="s">
        <v>381</v>
      </c>
      <c r="L110" s="5">
        <v>38401</v>
      </c>
      <c r="M110" s="5" t="s">
        <v>709</v>
      </c>
      <c r="N110" s="5" t="s">
        <v>1146</v>
      </c>
      <c r="O110" s="5" t="s">
        <v>8</v>
      </c>
      <c r="P110" s="5" t="s">
        <v>761</v>
      </c>
      <c r="Q110" s="5" t="s">
        <v>1147</v>
      </c>
      <c r="R110" s="12">
        <v>161.568</v>
      </c>
      <c r="S110" s="4">
        <v>2</v>
      </c>
      <c r="T110" s="14">
        <v>0.2</v>
      </c>
      <c r="U110" s="12">
        <v>-28.2744</v>
      </c>
      <c r="V110" s="19">
        <v>28.2744</v>
      </c>
      <c r="W110" s="20">
        <v>129.2544</v>
      </c>
      <c r="X110" s="21" t="str" cm="1">
        <f t="array" ref="X110">IF(OR(R110:R647&lt;0,T109:T647&lt;0,C110:C648=""),"Check","OK")</f>
        <v>Check</v>
      </c>
    </row>
    <row r="111" ht="17.6" spans="1:24">
      <c r="A111" s="7">
        <v>231</v>
      </c>
      <c r="B111" s="8" t="s">
        <v>1148</v>
      </c>
      <c r="C111" s="9">
        <v>41895</v>
      </c>
      <c r="D111" s="9">
        <v>41899</v>
      </c>
      <c r="E111" s="8" t="s">
        <v>4</v>
      </c>
      <c r="F111" s="8" t="s">
        <v>1149</v>
      </c>
      <c r="G111" s="8" t="s">
        <v>1150</v>
      </c>
      <c r="H111" s="8" t="s">
        <v>716</v>
      </c>
      <c r="I111" s="8" t="s">
        <v>708</v>
      </c>
      <c r="J111" s="8" t="s">
        <v>334</v>
      </c>
      <c r="K111" s="8" t="s">
        <v>128</v>
      </c>
      <c r="L111" s="8">
        <v>28205</v>
      </c>
      <c r="M111" s="8" t="s">
        <v>709</v>
      </c>
      <c r="N111" s="8" t="s">
        <v>1151</v>
      </c>
      <c r="O111" s="8" t="s">
        <v>9</v>
      </c>
      <c r="P111" s="8" t="s">
        <v>736</v>
      </c>
      <c r="Q111" s="8" t="s">
        <v>1152</v>
      </c>
      <c r="R111" s="15">
        <v>18.648</v>
      </c>
      <c r="S111" s="7">
        <v>7</v>
      </c>
      <c r="T111" s="16">
        <v>0.7</v>
      </c>
      <c r="U111" s="15">
        <v>-12.432</v>
      </c>
      <c r="V111" s="22">
        <v>12.432</v>
      </c>
      <c r="W111" s="23">
        <v>5.5944</v>
      </c>
      <c r="X111" s="21" t="str" cm="1">
        <f t="array" ref="X111">IF(OR(R111:R648&lt;0,T110:T648&lt;0,C111:C649=""),"Check","OK")</f>
        <v>Check</v>
      </c>
    </row>
    <row r="112" ht="17.6" spans="1:24">
      <c r="A112" s="4">
        <v>232</v>
      </c>
      <c r="B112" s="5" t="s">
        <v>1153</v>
      </c>
      <c r="C112" s="6">
        <v>42832</v>
      </c>
      <c r="D112" s="6">
        <v>42837</v>
      </c>
      <c r="E112" s="5" t="s">
        <v>4</v>
      </c>
      <c r="F112" s="5" t="s">
        <v>884</v>
      </c>
      <c r="G112" s="5" t="s">
        <v>885</v>
      </c>
      <c r="H112" s="5" t="s">
        <v>741</v>
      </c>
      <c r="I112" s="5" t="s">
        <v>708</v>
      </c>
      <c r="J112" s="5" t="s">
        <v>179</v>
      </c>
      <c r="K112" s="5" t="s">
        <v>172</v>
      </c>
      <c r="L112" s="5">
        <v>33614</v>
      </c>
      <c r="M112" s="5" t="s">
        <v>709</v>
      </c>
      <c r="N112" s="5" t="s">
        <v>1154</v>
      </c>
      <c r="O112" s="5" t="s">
        <v>8</v>
      </c>
      <c r="P112" s="5" t="s">
        <v>723</v>
      </c>
      <c r="Q112" s="5" t="s">
        <v>1155</v>
      </c>
      <c r="R112" s="12">
        <v>233.86</v>
      </c>
      <c r="S112" s="4">
        <v>2</v>
      </c>
      <c r="T112" s="14">
        <v>0.45</v>
      </c>
      <c r="U112" s="12">
        <v>-102.048</v>
      </c>
      <c r="V112" s="19">
        <v>102.048</v>
      </c>
      <c r="W112" s="20">
        <v>128.623</v>
      </c>
      <c r="X112" s="21" t="str" cm="1">
        <f t="array" ref="X112">IF(OR(R112:R649&lt;0,T111:T649&lt;0,C112:C650=""),"Check","OK")</f>
        <v>Check</v>
      </c>
    </row>
    <row r="113" ht="17.6" spans="1:24">
      <c r="A113" s="7">
        <v>237</v>
      </c>
      <c r="B113" s="8" t="s">
        <v>1156</v>
      </c>
      <c r="C113" s="9">
        <v>43051</v>
      </c>
      <c r="D113" s="9">
        <v>43055</v>
      </c>
      <c r="E113" s="8" t="s">
        <v>4</v>
      </c>
      <c r="F113" s="8" t="s">
        <v>1157</v>
      </c>
      <c r="G113" s="8" t="s">
        <v>1158</v>
      </c>
      <c r="H113" s="8" t="s">
        <v>716</v>
      </c>
      <c r="I113" s="8" t="s">
        <v>708</v>
      </c>
      <c r="J113" s="8" t="s">
        <v>1159</v>
      </c>
      <c r="K113" s="8" t="s">
        <v>136</v>
      </c>
      <c r="L113" s="8">
        <v>95051</v>
      </c>
      <c r="M113" s="8" t="s">
        <v>717</v>
      </c>
      <c r="N113" s="8" t="s">
        <v>1160</v>
      </c>
      <c r="O113" s="8" t="s">
        <v>9</v>
      </c>
      <c r="P113" s="8" t="s">
        <v>731</v>
      </c>
      <c r="Q113" s="8" t="s">
        <v>1161</v>
      </c>
      <c r="R113" s="15">
        <v>10.56</v>
      </c>
      <c r="S113" s="7">
        <v>2</v>
      </c>
      <c r="T113" s="16">
        <v>0</v>
      </c>
      <c r="U113" s="15">
        <v>4.752</v>
      </c>
      <c r="V113" s="22">
        <v>4.752</v>
      </c>
      <c r="W113" s="23">
        <v>10.56</v>
      </c>
      <c r="X113" s="21" t="str" cm="1">
        <f t="array" ref="X113">IF(OR(R113:R650&lt;0,T112:T650&lt;0,C113:C651=""),"Check","OK")</f>
        <v>Check</v>
      </c>
    </row>
    <row r="114" ht="17.6" spans="1:24">
      <c r="A114" s="4">
        <v>238</v>
      </c>
      <c r="B114" s="5" t="s">
        <v>1162</v>
      </c>
      <c r="C114" s="6">
        <v>42525</v>
      </c>
      <c r="D114" s="6">
        <v>42530</v>
      </c>
      <c r="E114" s="5" t="s">
        <v>707</v>
      </c>
      <c r="F114" s="5" t="s">
        <v>440</v>
      </c>
      <c r="G114" s="5" t="s">
        <v>441</v>
      </c>
      <c r="H114" s="5" t="s">
        <v>111</v>
      </c>
      <c r="I114" s="5" t="s">
        <v>708</v>
      </c>
      <c r="J114" s="5" t="s">
        <v>182</v>
      </c>
      <c r="K114" s="5" t="s">
        <v>183</v>
      </c>
      <c r="L114" s="5">
        <v>60610</v>
      </c>
      <c r="M114" s="5" t="s">
        <v>742</v>
      </c>
      <c r="N114" s="5" t="s">
        <v>1163</v>
      </c>
      <c r="O114" s="5" t="s">
        <v>9</v>
      </c>
      <c r="P114" s="5" t="s">
        <v>731</v>
      </c>
      <c r="Q114" s="5" t="s">
        <v>1164</v>
      </c>
      <c r="R114" s="12">
        <v>25.92</v>
      </c>
      <c r="S114" s="4">
        <v>5</v>
      </c>
      <c r="T114" s="14">
        <v>0.2</v>
      </c>
      <c r="U114" s="12">
        <v>9.396</v>
      </c>
      <c r="V114" s="19">
        <v>9.396</v>
      </c>
      <c r="W114" s="20">
        <v>20.736</v>
      </c>
      <c r="X114" s="21" t="str" cm="1">
        <f t="array" ref="X114">IF(OR(R114:R651&lt;0,T113:T651&lt;0,C114:C652=""),"Check","OK")</f>
        <v>Check</v>
      </c>
    </row>
    <row r="115" ht="17.6" spans="1:24">
      <c r="A115" s="7">
        <v>245</v>
      </c>
      <c r="B115" s="8" t="s">
        <v>1165</v>
      </c>
      <c r="C115" s="9">
        <v>41791</v>
      </c>
      <c r="D115" s="9">
        <v>41796</v>
      </c>
      <c r="E115" s="8" t="s">
        <v>707</v>
      </c>
      <c r="F115" s="8" t="s">
        <v>1166</v>
      </c>
      <c r="G115" s="8" t="s">
        <v>1167</v>
      </c>
      <c r="H115" s="8" t="s">
        <v>741</v>
      </c>
      <c r="I115" s="8" t="s">
        <v>708</v>
      </c>
      <c r="J115" s="8" t="s">
        <v>343</v>
      </c>
      <c r="K115" s="8" t="s">
        <v>280</v>
      </c>
      <c r="L115" s="8">
        <v>55044</v>
      </c>
      <c r="M115" s="8" t="s">
        <v>742</v>
      </c>
      <c r="N115" s="8" t="s">
        <v>968</v>
      </c>
      <c r="O115" s="8" t="s">
        <v>8</v>
      </c>
      <c r="P115" s="8" t="s">
        <v>761</v>
      </c>
      <c r="Q115" s="8" t="s">
        <v>969</v>
      </c>
      <c r="R115" s="15">
        <v>2001.86</v>
      </c>
      <c r="S115" s="7">
        <v>7</v>
      </c>
      <c r="T115" s="16">
        <v>0</v>
      </c>
      <c r="U115" s="15">
        <v>580.5394</v>
      </c>
      <c r="V115" s="22">
        <v>580.5394</v>
      </c>
      <c r="W115" s="23">
        <v>2001.86</v>
      </c>
      <c r="X115" s="21" t="str" cm="1">
        <f t="array" ref="X115">IF(OR(R115:R652&lt;0,T114:T652&lt;0,C115:C653=""),"Check","OK")</f>
        <v>Check</v>
      </c>
    </row>
    <row r="116" ht="17.6" spans="1:24">
      <c r="A116" s="4">
        <v>250</v>
      </c>
      <c r="B116" s="5" t="s">
        <v>1168</v>
      </c>
      <c r="C116" s="6">
        <v>42714</v>
      </c>
      <c r="D116" s="6">
        <v>42719</v>
      </c>
      <c r="E116" s="5" t="s">
        <v>707</v>
      </c>
      <c r="F116" s="5" t="s">
        <v>469</v>
      </c>
      <c r="G116" s="5" t="s">
        <v>470</v>
      </c>
      <c r="H116" s="5" t="s">
        <v>111</v>
      </c>
      <c r="I116" s="5" t="s">
        <v>708</v>
      </c>
      <c r="J116" s="5" t="s">
        <v>188</v>
      </c>
      <c r="K116" s="5" t="s">
        <v>136</v>
      </c>
      <c r="L116" s="5">
        <v>94109</v>
      </c>
      <c r="M116" s="5" t="s">
        <v>717</v>
      </c>
      <c r="N116" s="5" t="s">
        <v>1169</v>
      </c>
      <c r="O116" s="5" t="s">
        <v>8</v>
      </c>
      <c r="P116" s="5" t="s">
        <v>761</v>
      </c>
      <c r="Q116" s="5" t="s">
        <v>1170</v>
      </c>
      <c r="R116" s="12">
        <v>321.568</v>
      </c>
      <c r="S116" s="4">
        <v>2</v>
      </c>
      <c r="T116" s="14">
        <v>0.2</v>
      </c>
      <c r="U116" s="12">
        <v>28.1372</v>
      </c>
      <c r="V116" s="19">
        <v>28.1372</v>
      </c>
      <c r="W116" s="20">
        <v>257.2544</v>
      </c>
      <c r="X116" s="21" t="str" cm="1">
        <f t="array" ref="X116">IF(OR(R116:R653&lt;0,T115:T653&lt;0,C116:C654=""),"Check","OK")</f>
        <v>Check</v>
      </c>
    </row>
    <row r="117" ht="17.6" spans="1:24">
      <c r="A117" s="7">
        <v>251</v>
      </c>
      <c r="B117" s="8" t="s">
        <v>1171</v>
      </c>
      <c r="C117" s="9">
        <v>42624</v>
      </c>
      <c r="D117" s="9">
        <v>42630</v>
      </c>
      <c r="E117" s="8" t="s">
        <v>4</v>
      </c>
      <c r="F117" s="8" t="s">
        <v>429</v>
      </c>
      <c r="G117" s="8" t="s">
        <v>430</v>
      </c>
      <c r="H117" s="8" t="s">
        <v>111</v>
      </c>
      <c r="I117" s="8" t="s">
        <v>708</v>
      </c>
      <c r="J117" s="8" t="s">
        <v>431</v>
      </c>
      <c r="K117" s="8" t="s">
        <v>136</v>
      </c>
      <c r="L117" s="8">
        <v>92037</v>
      </c>
      <c r="M117" s="8" t="s">
        <v>717</v>
      </c>
      <c r="N117" s="8" t="s">
        <v>1172</v>
      </c>
      <c r="O117" s="8" t="s">
        <v>9</v>
      </c>
      <c r="P117" s="8" t="s">
        <v>731</v>
      </c>
      <c r="Q117" s="8" t="s">
        <v>1173</v>
      </c>
      <c r="R117" s="15">
        <v>7.61</v>
      </c>
      <c r="S117" s="7">
        <v>1</v>
      </c>
      <c r="T117" s="16">
        <v>0</v>
      </c>
      <c r="U117" s="15">
        <v>3.5767</v>
      </c>
      <c r="V117" s="22">
        <v>3.5767</v>
      </c>
      <c r="W117" s="23">
        <v>7.61</v>
      </c>
      <c r="X117" s="21" t="str" cm="1">
        <f t="array" ref="X117">IF(OR(R117:R654&lt;0,T116:T654&lt;0,C117:C655=""),"Check","OK")</f>
        <v>Check</v>
      </c>
    </row>
    <row r="118" ht="17.6" spans="1:24">
      <c r="A118" s="4">
        <v>253</v>
      </c>
      <c r="B118" s="5" t="s">
        <v>1174</v>
      </c>
      <c r="C118" s="6">
        <v>42714</v>
      </c>
      <c r="D118" s="6">
        <v>42717</v>
      </c>
      <c r="E118" s="5" t="s">
        <v>13</v>
      </c>
      <c r="F118" s="5" t="s">
        <v>294</v>
      </c>
      <c r="G118" s="5" t="s">
        <v>295</v>
      </c>
      <c r="H118" s="5" t="s">
        <v>111</v>
      </c>
      <c r="I118" s="5" t="s">
        <v>708</v>
      </c>
      <c r="J118" s="5" t="s">
        <v>204</v>
      </c>
      <c r="K118" s="5" t="s">
        <v>168</v>
      </c>
      <c r="L118" s="5">
        <v>10024</v>
      </c>
      <c r="M118" s="5" t="s">
        <v>759</v>
      </c>
      <c r="N118" s="5" t="s">
        <v>1175</v>
      </c>
      <c r="O118" s="5" t="s">
        <v>9</v>
      </c>
      <c r="P118" s="5" t="s">
        <v>748</v>
      </c>
      <c r="Q118" s="5" t="s">
        <v>1176</v>
      </c>
      <c r="R118" s="12">
        <v>80.58</v>
      </c>
      <c r="S118" s="4">
        <v>6</v>
      </c>
      <c r="T118" s="14">
        <v>0</v>
      </c>
      <c r="U118" s="12">
        <v>22.5624</v>
      </c>
      <c r="V118" s="19">
        <v>22.5624</v>
      </c>
      <c r="W118" s="20">
        <v>80.58</v>
      </c>
      <c r="X118" s="21" t="str" cm="1">
        <f t="array" ref="X118">IF(OR(R118:R655&lt;0,T117:T655&lt;0,C118:C656=""),"Check","OK")</f>
        <v>Check</v>
      </c>
    </row>
    <row r="119" ht="17.6" spans="1:24">
      <c r="A119" s="7">
        <v>255</v>
      </c>
      <c r="B119" s="8" t="s">
        <v>1177</v>
      </c>
      <c r="C119" s="9">
        <v>42336</v>
      </c>
      <c r="D119" s="9">
        <v>42342</v>
      </c>
      <c r="E119" s="8" t="s">
        <v>4</v>
      </c>
      <c r="F119" s="8" t="s">
        <v>1178</v>
      </c>
      <c r="G119" s="8" t="s">
        <v>1179</v>
      </c>
      <c r="H119" s="8" t="s">
        <v>716</v>
      </c>
      <c r="I119" s="8" t="s">
        <v>708</v>
      </c>
      <c r="J119" s="8" t="s">
        <v>182</v>
      </c>
      <c r="K119" s="8" t="s">
        <v>183</v>
      </c>
      <c r="L119" s="8">
        <v>60623</v>
      </c>
      <c r="M119" s="8" t="s">
        <v>742</v>
      </c>
      <c r="N119" s="8" t="s">
        <v>1180</v>
      </c>
      <c r="O119" s="8" t="s">
        <v>8</v>
      </c>
      <c r="P119" s="8" t="s">
        <v>727</v>
      </c>
      <c r="Q119" s="8" t="s">
        <v>1181</v>
      </c>
      <c r="R119" s="15">
        <v>12.132</v>
      </c>
      <c r="S119" s="7">
        <v>9</v>
      </c>
      <c r="T119" s="16">
        <v>0.6</v>
      </c>
      <c r="U119" s="15">
        <v>-8.4924</v>
      </c>
      <c r="V119" s="22">
        <v>8.4924</v>
      </c>
      <c r="W119" s="23">
        <v>4.8528</v>
      </c>
      <c r="X119" s="21" t="str" cm="1">
        <f t="array" ref="X119">IF(OR(R119:R656&lt;0,T118:T656&lt;0,C119:C657=""),"Check","OK")</f>
        <v>Check</v>
      </c>
    </row>
    <row r="120" ht="17.6" spans="1:24">
      <c r="A120" s="4">
        <v>259</v>
      </c>
      <c r="B120" s="5" t="s">
        <v>1182</v>
      </c>
      <c r="C120" s="6">
        <v>43070</v>
      </c>
      <c r="D120" s="6">
        <v>43072</v>
      </c>
      <c r="E120" s="5" t="s">
        <v>707</v>
      </c>
      <c r="F120" s="5" t="s">
        <v>230</v>
      </c>
      <c r="G120" s="5" t="s">
        <v>231</v>
      </c>
      <c r="H120" s="5" t="s">
        <v>111</v>
      </c>
      <c r="I120" s="5" t="s">
        <v>708</v>
      </c>
      <c r="J120" s="5" t="s">
        <v>204</v>
      </c>
      <c r="K120" s="5" t="s">
        <v>168</v>
      </c>
      <c r="L120" s="5">
        <v>10009</v>
      </c>
      <c r="M120" s="5" t="s">
        <v>759</v>
      </c>
      <c r="N120" s="5" t="s">
        <v>1183</v>
      </c>
      <c r="O120" s="5" t="s">
        <v>10</v>
      </c>
      <c r="P120" s="5" t="s">
        <v>809</v>
      </c>
      <c r="Q120" s="5" t="s">
        <v>1184</v>
      </c>
      <c r="R120" s="12">
        <v>20.37</v>
      </c>
      <c r="S120" s="4">
        <v>3</v>
      </c>
      <c r="T120" s="14">
        <v>0</v>
      </c>
      <c r="U120" s="12">
        <v>6.9258</v>
      </c>
      <c r="V120" s="19">
        <v>6.9258</v>
      </c>
      <c r="W120" s="20">
        <v>20.37</v>
      </c>
      <c r="X120" s="21" t="str" cm="1">
        <f t="array" ref="X120">IF(OR(R120:R657&lt;0,T119:T657&lt;0,C120:C658=""),"Check","OK")</f>
        <v>Check</v>
      </c>
    </row>
    <row r="121" ht="17.6" spans="1:24">
      <c r="A121" s="7">
        <v>262</v>
      </c>
      <c r="B121" s="8" t="s">
        <v>1185</v>
      </c>
      <c r="C121" s="9">
        <v>42894</v>
      </c>
      <c r="D121" s="9">
        <v>42898</v>
      </c>
      <c r="E121" s="8" t="s">
        <v>4</v>
      </c>
      <c r="F121" s="8" t="s">
        <v>1186</v>
      </c>
      <c r="G121" s="8" t="s">
        <v>1187</v>
      </c>
      <c r="H121" s="8" t="s">
        <v>716</v>
      </c>
      <c r="I121" s="8" t="s">
        <v>708</v>
      </c>
      <c r="J121" s="8" t="s">
        <v>352</v>
      </c>
      <c r="K121" s="8" t="s">
        <v>132</v>
      </c>
      <c r="L121" s="8">
        <v>77506</v>
      </c>
      <c r="M121" s="8" t="s">
        <v>742</v>
      </c>
      <c r="N121" s="8" t="s">
        <v>1188</v>
      </c>
      <c r="O121" s="8" t="s">
        <v>9</v>
      </c>
      <c r="P121" s="8" t="s">
        <v>744</v>
      </c>
      <c r="Q121" s="8" t="s">
        <v>1189</v>
      </c>
      <c r="R121" s="15">
        <v>1.624</v>
      </c>
      <c r="S121" s="7">
        <v>2</v>
      </c>
      <c r="T121" s="16">
        <v>0.8</v>
      </c>
      <c r="U121" s="15">
        <v>-4.466</v>
      </c>
      <c r="V121" s="22">
        <v>4.466</v>
      </c>
      <c r="W121" s="23">
        <v>0.3248</v>
      </c>
      <c r="X121" s="21" t="str" cm="1">
        <f t="array" ref="X121">IF(OR(R121:R658&lt;0,T120:T658&lt;0,C121:C659=""),"Check","OK")</f>
        <v>Check</v>
      </c>
    </row>
    <row r="122" ht="17.6" spans="1:24">
      <c r="A122" s="4">
        <v>263</v>
      </c>
      <c r="B122" s="5" t="s">
        <v>1190</v>
      </c>
      <c r="C122" s="6">
        <v>41901</v>
      </c>
      <c r="D122" s="6">
        <v>41903</v>
      </c>
      <c r="E122" s="5" t="s">
        <v>707</v>
      </c>
      <c r="F122" s="5" t="s">
        <v>1191</v>
      </c>
      <c r="G122" s="5" t="s">
        <v>1192</v>
      </c>
      <c r="H122" s="5" t="s">
        <v>716</v>
      </c>
      <c r="I122" s="5" t="s">
        <v>708</v>
      </c>
      <c r="J122" s="5" t="s">
        <v>131</v>
      </c>
      <c r="K122" s="5" t="s">
        <v>132</v>
      </c>
      <c r="L122" s="5">
        <v>77036</v>
      </c>
      <c r="M122" s="5" t="s">
        <v>742</v>
      </c>
      <c r="N122" s="5" t="s">
        <v>1193</v>
      </c>
      <c r="O122" s="5" t="s">
        <v>10</v>
      </c>
      <c r="P122" s="5" t="s">
        <v>1194</v>
      </c>
      <c r="Q122" s="5" t="s">
        <v>1195</v>
      </c>
      <c r="R122" s="12">
        <v>3059.982</v>
      </c>
      <c r="S122" s="4">
        <v>3</v>
      </c>
      <c r="T122" s="14">
        <v>0.4</v>
      </c>
      <c r="U122" s="12">
        <v>-509.997</v>
      </c>
      <c r="V122" s="19">
        <v>509.997</v>
      </c>
      <c r="W122" s="20">
        <v>1835.9892</v>
      </c>
      <c r="X122" s="21" t="str" cm="1">
        <f t="array" ref="X122">IF(OR(R122:R659&lt;0,T121:T659&lt;0,C122:C660=""),"Check","OK")</f>
        <v>Check</v>
      </c>
    </row>
    <row r="123" ht="17.6" spans="1:24">
      <c r="A123" s="7">
        <v>265</v>
      </c>
      <c r="B123" s="8" t="s">
        <v>1196</v>
      </c>
      <c r="C123" s="9">
        <v>42527</v>
      </c>
      <c r="D123" s="9">
        <v>42534</v>
      </c>
      <c r="E123" s="8" t="s">
        <v>4</v>
      </c>
      <c r="F123" s="8" t="s">
        <v>578</v>
      </c>
      <c r="G123" s="8" t="s">
        <v>579</v>
      </c>
      <c r="H123" s="8" t="s">
        <v>111</v>
      </c>
      <c r="I123" s="8" t="s">
        <v>708</v>
      </c>
      <c r="J123" s="8" t="s">
        <v>182</v>
      </c>
      <c r="K123" s="8" t="s">
        <v>183</v>
      </c>
      <c r="L123" s="8">
        <v>60610</v>
      </c>
      <c r="M123" s="8" t="s">
        <v>742</v>
      </c>
      <c r="N123" s="8" t="s">
        <v>1197</v>
      </c>
      <c r="O123" s="8" t="s">
        <v>10</v>
      </c>
      <c r="P123" s="8" t="s">
        <v>780</v>
      </c>
      <c r="Q123" s="8" t="s">
        <v>1198</v>
      </c>
      <c r="R123" s="15">
        <v>328.224</v>
      </c>
      <c r="S123" s="7">
        <v>4</v>
      </c>
      <c r="T123" s="16">
        <v>0.2</v>
      </c>
      <c r="U123" s="15">
        <v>28.7196</v>
      </c>
      <c r="V123" s="22">
        <v>28.7196</v>
      </c>
      <c r="W123" s="23">
        <v>262.5792</v>
      </c>
      <c r="X123" s="21" t="str" cm="1">
        <f t="array" ref="X123">IF(OR(R123:R660&lt;0,T122:T660&lt;0,C123:C661=""),"Check","OK")</f>
        <v>Check</v>
      </c>
    </row>
    <row r="124" ht="17.6" spans="1:24">
      <c r="A124" s="4">
        <v>266</v>
      </c>
      <c r="B124" s="5" t="s">
        <v>1199</v>
      </c>
      <c r="C124" s="6">
        <v>42318</v>
      </c>
      <c r="D124" s="6">
        <v>42323</v>
      </c>
      <c r="E124" s="5" t="s">
        <v>4</v>
      </c>
      <c r="F124" s="5" t="s">
        <v>157</v>
      </c>
      <c r="G124" s="5" t="s">
        <v>158</v>
      </c>
      <c r="H124" s="5" t="s">
        <v>111</v>
      </c>
      <c r="I124" s="5" t="s">
        <v>708</v>
      </c>
      <c r="J124" s="5" t="s">
        <v>159</v>
      </c>
      <c r="K124" s="5" t="s">
        <v>136</v>
      </c>
      <c r="L124" s="5">
        <v>94513</v>
      </c>
      <c r="M124" s="5" t="s">
        <v>717</v>
      </c>
      <c r="N124" s="5" t="s">
        <v>1200</v>
      </c>
      <c r="O124" s="5" t="s">
        <v>10</v>
      </c>
      <c r="P124" s="5" t="s">
        <v>809</v>
      </c>
      <c r="Q124" s="5" t="s">
        <v>1201</v>
      </c>
      <c r="R124" s="12">
        <v>79.9</v>
      </c>
      <c r="S124" s="4">
        <v>2</v>
      </c>
      <c r="T124" s="14">
        <v>0</v>
      </c>
      <c r="U124" s="12">
        <v>35.156</v>
      </c>
      <c r="V124" s="19">
        <v>35.156</v>
      </c>
      <c r="W124" s="20">
        <v>79.9</v>
      </c>
      <c r="X124" s="21" t="str" cm="1">
        <f t="array" ref="X124">IF(OR(R124:R661&lt;0,T123:T661&lt;0,C124:C662=""),"Check","OK")</f>
        <v>Check</v>
      </c>
    </row>
    <row r="125" ht="17.6" spans="1:24">
      <c r="A125" s="7">
        <v>267</v>
      </c>
      <c r="B125" s="8" t="s">
        <v>1202</v>
      </c>
      <c r="C125" s="9">
        <v>42902</v>
      </c>
      <c r="D125" s="9">
        <v>42906</v>
      </c>
      <c r="E125" s="8" t="s">
        <v>4</v>
      </c>
      <c r="F125" s="8" t="s">
        <v>1203</v>
      </c>
      <c r="G125" s="8" t="s">
        <v>1204</v>
      </c>
      <c r="H125" s="8" t="s">
        <v>716</v>
      </c>
      <c r="I125" s="8" t="s">
        <v>708</v>
      </c>
      <c r="J125" s="8" t="s">
        <v>1205</v>
      </c>
      <c r="K125" s="8" t="s">
        <v>128</v>
      </c>
      <c r="L125" s="8">
        <v>27514</v>
      </c>
      <c r="M125" s="8" t="s">
        <v>709</v>
      </c>
      <c r="N125" s="8" t="s">
        <v>95</v>
      </c>
      <c r="O125" s="8" t="s">
        <v>9</v>
      </c>
      <c r="P125" s="8" t="s">
        <v>16</v>
      </c>
      <c r="Q125" s="8" t="s">
        <v>94</v>
      </c>
      <c r="R125" s="15">
        <v>14.016</v>
      </c>
      <c r="S125" s="7">
        <v>3</v>
      </c>
      <c r="T125" s="16">
        <v>0.2</v>
      </c>
      <c r="U125" s="15">
        <v>4.7304</v>
      </c>
      <c r="V125" s="22">
        <v>4.7304</v>
      </c>
      <c r="W125" s="23">
        <v>11.2128</v>
      </c>
      <c r="X125" s="21" t="str" cm="1">
        <f t="array" ref="X125">IF(OR(R125:R662&lt;0,T124:T662&lt;0,C125:C663=""),"Check","OK")</f>
        <v>Check</v>
      </c>
    </row>
    <row r="126" ht="17.6" spans="1:24">
      <c r="A126" s="4">
        <v>268</v>
      </c>
      <c r="B126" s="5" t="s">
        <v>1206</v>
      </c>
      <c r="C126" s="6">
        <v>42391</v>
      </c>
      <c r="D126" s="6">
        <v>42397</v>
      </c>
      <c r="E126" s="5" t="s">
        <v>4</v>
      </c>
      <c r="F126" s="5" t="s">
        <v>546</v>
      </c>
      <c r="G126" s="5" t="s">
        <v>547</v>
      </c>
      <c r="H126" s="5" t="s">
        <v>111</v>
      </c>
      <c r="I126" s="5" t="s">
        <v>708</v>
      </c>
      <c r="J126" s="5" t="s">
        <v>549</v>
      </c>
      <c r="K126" s="5" t="s">
        <v>550</v>
      </c>
      <c r="L126" s="5">
        <v>7960</v>
      </c>
      <c r="M126" s="5" t="s">
        <v>759</v>
      </c>
      <c r="N126" s="5" t="s">
        <v>1207</v>
      </c>
      <c r="O126" s="5" t="s">
        <v>9</v>
      </c>
      <c r="P126" s="5" t="s">
        <v>824</v>
      </c>
      <c r="Q126" s="5" t="s">
        <v>1208</v>
      </c>
      <c r="R126" s="12">
        <v>7.56</v>
      </c>
      <c r="S126" s="4">
        <v>6</v>
      </c>
      <c r="T126" s="14">
        <v>0</v>
      </c>
      <c r="U126" s="12">
        <v>0.3024</v>
      </c>
      <c r="V126" s="19">
        <v>0.3024</v>
      </c>
      <c r="W126" s="20">
        <v>7.56</v>
      </c>
      <c r="X126" s="21" t="str" cm="1">
        <f t="array" ref="X126">IF(OR(R126:R663&lt;0,T125:T663&lt;0,C126:C664=""),"Check","OK")</f>
        <v>Check</v>
      </c>
    </row>
    <row r="127" ht="17.6" spans="1:24">
      <c r="A127" s="7">
        <v>269</v>
      </c>
      <c r="B127" s="8" t="s">
        <v>1209</v>
      </c>
      <c r="C127" s="9">
        <v>43078</v>
      </c>
      <c r="D127" s="9">
        <v>43082</v>
      </c>
      <c r="E127" s="8" t="s">
        <v>4</v>
      </c>
      <c r="F127" s="8" t="s">
        <v>1210</v>
      </c>
      <c r="G127" s="8" t="s">
        <v>1211</v>
      </c>
      <c r="H127" s="8" t="s">
        <v>716</v>
      </c>
      <c r="I127" s="8" t="s">
        <v>708</v>
      </c>
      <c r="J127" s="8" t="s">
        <v>149</v>
      </c>
      <c r="K127" s="8" t="s">
        <v>138</v>
      </c>
      <c r="L127" s="8">
        <v>45231</v>
      </c>
      <c r="M127" s="8" t="s">
        <v>759</v>
      </c>
      <c r="N127" s="8" t="s">
        <v>1212</v>
      </c>
      <c r="O127" s="8" t="s">
        <v>9</v>
      </c>
      <c r="P127" s="8" t="s">
        <v>748</v>
      </c>
      <c r="Q127" s="8" t="s">
        <v>1213</v>
      </c>
      <c r="R127" s="15">
        <v>37.208</v>
      </c>
      <c r="S127" s="7">
        <v>1</v>
      </c>
      <c r="T127" s="16">
        <v>0.2</v>
      </c>
      <c r="U127" s="15">
        <v>-7.4416</v>
      </c>
      <c r="V127" s="22">
        <v>7.4416</v>
      </c>
      <c r="W127" s="23">
        <v>29.7664</v>
      </c>
      <c r="X127" s="21" t="str" cm="1">
        <f t="array" ref="X127">IF(OR(R127:R664&lt;0,T126:T664&lt;0,C127:C665=""),"Check","OK")</f>
        <v>Check</v>
      </c>
    </row>
    <row r="128" ht="17.6" spans="1:24">
      <c r="A128" s="4">
        <v>271</v>
      </c>
      <c r="B128" s="5" t="s">
        <v>1214</v>
      </c>
      <c r="C128" s="6">
        <v>43097</v>
      </c>
      <c r="D128" s="6">
        <v>43102</v>
      </c>
      <c r="E128" s="5" t="s">
        <v>707</v>
      </c>
      <c r="F128" s="5" t="s">
        <v>1215</v>
      </c>
      <c r="G128" s="5" t="s">
        <v>1216</v>
      </c>
      <c r="H128" s="5" t="s">
        <v>716</v>
      </c>
      <c r="I128" s="5" t="s">
        <v>708</v>
      </c>
      <c r="J128" s="5" t="s">
        <v>188</v>
      </c>
      <c r="K128" s="5" t="s">
        <v>136</v>
      </c>
      <c r="L128" s="5">
        <v>94110</v>
      </c>
      <c r="M128" s="5" t="s">
        <v>717</v>
      </c>
      <c r="N128" s="5" t="s">
        <v>1217</v>
      </c>
      <c r="O128" s="5" t="s">
        <v>9</v>
      </c>
      <c r="P128" s="5" t="s">
        <v>748</v>
      </c>
      <c r="Q128" s="5" t="s">
        <v>1218</v>
      </c>
      <c r="R128" s="12">
        <v>725.84</v>
      </c>
      <c r="S128" s="4">
        <v>4</v>
      </c>
      <c r="T128" s="14">
        <v>0</v>
      </c>
      <c r="U128" s="12">
        <v>210.4936</v>
      </c>
      <c r="V128" s="19">
        <v>210.4936</v>
      </c>
      <c r="W128" s="20">
        <v>725.84</v>
      </c>
      <c r="X128" s="21" t="str" cm="1">
        <f t="array" ref="X128">IF(OR(R128:R665&lt;0,T127:T665&lt;0,C128:C666=""),"Check","OK")</f>
        <v>Check</v>
      </c>
    </row>
    <row r="129" ht="17.6" spans="1:24">
      <c r="A129" s="7">
        <v>272</v>
      </c>
      <c r="B129" s="8" t="s">
        <v>1219</v>
      </c>
      <c r="C129" s="9">
        <v>42215</v>
      </c>
      <c r="D129" s="9">
        <v>42216</v>
      </c>
      <c r="E129" s="8" t="s">
        <v>13</v>
      </c>
      <c r="F129" s="8" t="s">
        <v>350</v>
      </c>
      <c r="G129" s="8" t="s">
        <v>351</v>
      </c>
      <c r="H129" s="8" t="s">
        <v>111</v>
      </c>
      <c r="I129" s="8" t="s">
        <v>708</v>
      </c>
      <c r="J129" s="8" t="s">
        <v>188</v>
      </c>
      <c r="K129" s="8" t="s">
        <v>136</v>
      </c>
      <c r="L129" s="8">
        <v>94109</v>
      </c>
      <c r="M129" s="8" t="s">
        <v>717</v>
      </c>
      <c r="N129" s="8" t="s">
        <v>1220</v>
      </c>
      <c r="O129" s="8" t="s">
        <v>10</v>
      </c>
      <c r="P129" s="8" t="s">
        <v>809</v>
      </c>
      <c r="Q129" s="8" t="s">
        <v>1221</v>
      </c>
      <c r="R129" s="15">
        <v>209.93</v>
      </c>
      <c r="S129" s="7">
        <v>7</v>
      </c>
      <c r="T129" s="16">
        <v>0</v>
      </c>
      <c r="U129" s="15">
        <v>92.3692</v>
      </c>
      <c r="V129" s="22">
        <v>92.3692</v>
      </c>
      <c r="W129" s="23">
        <v>209.93</v>
      </c>
      <c r="X129" s="21" t="str" cm="1">
        <f t="array" ref="X129">IF(OR(R129:R666&lt;0,T128:T666&lt;0,C129:C667=""),"Check","OK")</f>
        <v>Check</v>
      </c>
    </row>
    <row r="130" ht="17.6" spans="1:24">
      <c r="A130" s="4">
        <v>275</v>
      </c>
      <c r="B130" s="5" t="s">
        <v>1222</v>
      </c>
      <c r="C130" s="6">
        <v>42994</v>
      </c>
      <c r="D130" s="6">
        <v>42995</v>
      </c>
      <c r="E130" s="5" t="s">
        <v>13</v>
      </c>
      <c r="F130" s="5" t="s">
        <v>1223</v>
      </c>
      <c r="G130" s="5" t="s">
        <v>1224</v>
      </c>
      <c r="H130" s="5" t="s">
        <v>716</v>
      </c>
      <c r="I130" s="5" t="s">
        <v>708</v>
      </c>
      <c r="J130" s="5" t="s">
        <v>1225</v>
      </c>
      <c r="K130" s="5" t="s">
        <v>136</v>
      </c>
      <c r="L130" s="5">
        <v>90301</v>
      </c>
      <c r="M130" s="5" t="s">
        <v>717</v>
      </c>
      <c r="N130" s="5" t="s">
        <v>1226</v>
      </c>
      <c r="O130" s="5" t="s">
        <v>9</v>
      </c>
      <c r="P130" s="5" t="s">
        <v>731</v>
      </c>
      <c r="Q130" s="5" t="s">
        <v>1227</v>
      </c>
      <c r="R130" s="12">
        <v>8.82</v>
      </c>
      <c r="S130" s="4">
        <v>2</v>
      </c>
      <c r="T130" s="14">
        <v>0</v>
      </c>
      <c r="U130" s="12">
        <v>4.0572</v>
      </c>
      <c r="V130" s="19">
        <v>4.0572</v>
      </c>
      <c r="W130" s="20">
        <v>8.82</v>
      </c>
      <c r="X130" s="21" t="str" cm="1">
        <f t="array" ref="X130">IF(OR(R130:R667&lt;0,T129:T667&lt;0,C130:C668=""),"Check","OK")</f>
        <v>Check</v>
      </c>
    </row>
    <row r="131" ht="17.6" spans="1:24">
      <c r="A131" s="7">
        <v>277</v>
      </c>
      <c r="B131" s="8" t="s">
        <v>1228</v>
      </c>
      <c r="C131" s="9">
        <v>43021</v>
      </c>
      <c r="D131" s="9">
        <v>43025</v>
      </c>
      <c r="E131" s="8" t="s">
        <v>4</v>
      </c>
      <c r="F131" s="8" t="s">
        <v>1229</v>
      </c>
      <c r="G131" s="8" t="s">
        <v>1230</v>
      </c>
      <c r="H131" s="8" t="s">
        <v>716</v>
      </c>
      <c r="I131" s="8" t="s">
        <v>708</v>
      </c>
      <c r="J131" s="8" t="s">
        <v>175</v>
      </c>
      <c r="K131" s="8" t="s">
        <v>176</v>
      </c>
      <c r="L131" s="8">
        <v>19140</v>
      </c>
      <c r="M131" s="8" t="s">
        <v>759</v>
      </c>
      <c r="N131" s="8" t="s">
        <v>1231</v>
      </c>
      <c r="O131" s="8" t="s">
        <v>9</v>
      </c>
      <c r="P131" s="8" t="s">
        <v>731</v>
      </c>
      <c r="Q131" s="8" t="s">
        <v>1232</v>
      </c>
      <c r="R131" s="15">
        <v>11.648</v>
      </c>
      <c r="S131" s="7">
        <v>2</v>
      </c>
      <c r="T131" s="16">
        <v>0.2</v>
      </c>
      <c r="U131" s="15">
        <v>4.0768</v>
      </c>
      <c r="V131" s="22">
        <v>4.0768</v>
      </c>
      <c r="W131" s="23">
        <v>9.3184</v>
      </c>
      <c r="X131" s="21" t="str" cm="1">
        <f t="array" ref="X131">IF(OR(R131:R668&lt;0,T130:T668&lt;0,C131:C669=""),"Check","OK")</f>
        <v>Check</v>
      </c>
    </row>
    <row r="132" ht="17.6" spans="1:24">
      <c r="A132" s="4">
        <v>281</v>
      </c>
      <c r="B132" s="5" t="s">
        <v>1233</v>
      </c>
      <c r="C132" s="6">
        <v>42273</v>
      </c>
      <c r="D132" s="6">
        <v>42275</v>
      </c>
      <c r="E132" s="5" t="s">
        <v>707</v>
      </c>
      <c r="F132" s="5" t="s">
        <v>619</v>
      </c>
      <c r="G132" s="5" t="s">
        <v>620</v>
      </c>
      <c r="H132" s="5" t="s">
        <v>111</v>
      </c>
      <c r="I132" s="5" t="s">
        <v>708</v>
      </c>
      <c r="J132" s="5" t="s">
        <v>131</v>
      </c>
      <c r="K132" s="5" t="s">
        <v>132</v>
      </c>
      <c r="L132" s="5">
        <v>77070</v>
      </c>
      <c r="M132" s="5" t="s">
        <v>742</v>
      </c>
      <c r="N132" s="5" t="s">
        <v>1234</v>
      </c>
      <c r="O132" s="5" t="s">
        <v>9</v>
      </c>
      <c r="P132" s="5" t="s">
        <v>736</v>
      </c>
      <c r="Q132" s="5" t="s">
        <v>1235</v>
      </c>
      <c r="R132" s="12">
        <v>2.08</v>
      </c>
      <c r="S132" s="4">
        <v>5</v>
      </c>
      <c r="T132" s="14">
        <v>0.8</v>
      </c>
      <c r="U132" s="12">
        <v>-3.432</v>
      </c>
      <c r="V132" s="19">
        <v>3.432</v>
      </c>
      <c r="W132" s="20">
        <v>0.416</v>
      </c>
      <c r="X132" s="21" t="str" cm="1">
        <f t="array" ref="X132">IF(OR(R132:R669&lt;0,T131:T669&lt;0,C132:C670=""),"Check","OK")</f>
        <v>Check</v>
      </c>
    </row>
    <row r="133" ht="17.6" spans="1:24">
      <c r="A133" s="7">
        <v>283</v>
      </c>
      <c r="B133" s="8" t="s">
        <v>1236</v>
      </c>
      <c r="C133" s="9">
        <v>42310</v>
      </c>
      <c r="D133" s="9">
        <v>42314</v>
      </c>
      <c r="E133" s="8" t="s">
        <v>4</v>
      </c>
      <c r="F133" s="8" t="s">
        <v>420</v>
      </c>
      <c r="G133" s="8" t="s">
        <v>421</v>
      </c>
      <c r="H133" s="8" t="s">
        <v>111</v>
      </c>
      <c r="I133" s="8" t="s">
        <v>708</v>
      </c>
      <c r="J133" s="8" t="s">
        <v>135</v>
      </c>
      <c r="K133" s="8" t="s">
        <v>136</v>
      </c>
      <c r="L133" s="8">
        <v>90004</v>
      </c>
      <c r="M133" s="8" t="s">
        <v>717</v>
      </c>
      <c r="N133" s="8" t="s">
        <v>1237</v>
      </c>
      <c r="O133" s="8" t="s">
        <v>8</v>
      </c>
      <c r="P133" s="8" t="s">
        <v>723</v>
      </c>
      <c r="Q133" s="8" t="s">
        <v>1238</v>
      </c>
      <c r="R133" s="15">
        <v>1038.84</v>
      </c>
      <c r="S133" s="7">
        <v>5</v>
      </c>
      <c r="T133" s="16">
        <v>0.2</v>
      </c>
      <c r="U133" s="15">
        <v>51.942</v>
      </c>
      <c r="V133" s="22">
        <v>51.942</v>
      </c>
      <c r="W133" s="23">
        <v>831.072</v>
      </c>
      <c r="X133" s="21" t="str" cm="1">
        <f t="array" ref="X133">IF(OR(R133:R670&lt;0,T132:T670&lt;0,C133:C671=""),"Check","OK")</f>
        <v>Check</v>
      </c>
    </row>
    <row r="134" ht="17.6" spans="1:24">
      <c r="A134" s="4">
        <v>284</v>
      </c>
      <c r="B134" s="5" t="s">
        <v>1239</v>
      </c>
      <c r="C134" s="6">
        <v>42273</v>
      </c>
      <c r="D134" s="6">
        <v>42279</v>
      </c>
      <c r="E134" s="5" t="s">
        <v>4</v>
      </c>
      <c r="F134" s="5" t="s">
        <v>656</v>
      </c>
      <c r="G134" s="5" t="s">
        <v>657</v>
      </c>
      <c r="H134" s="5" t="s">
        <v>111</v>
      </c>
      <c r="I134" s="5" t="s">
        <v>708</v>
      </c>
      <c r="J134" s="5" t="s">
        <v>659</v>
      </c>
      <c r="K134" s="5" t="s">
        <v>660</v>
      </c>
      <c r="L134" s="5">
        <v>97206</v>
      </c>
      <c r="M134" s="5" t="s">
        <v>717</v>
      </c>
      <c r="N134" s="5" t="s">
        <v>1240</v>
      </c>
      <c r="O134" s="5" t="s">
        <v>9</v>
      </c>
      <c r="P134" s="5" t="s">
        <v>731</v>
      </c>
      <c r="Q134" s="5" t="s">
        <v>774</v>
      </c>
      <c r="R134" s="12">
        <v>141.76</v>
      </c>
      <c r="S134" s="4">
        <v>5</v>
      </c>
      <c r="T134" s="14">
        <v>0.2</v>
      </c>
      <c r="U134" s="12">
        <v>47.844</v>
      </c>
      <c r="V134" s="19">
        <v>47.844</v>
      </c>
      <c r="W134" s="20">
        <v>113.408</v>
      </c>
      <c r="X134" s="21" t="str" cm="1">
        <f t="array" ref="X134">IF(OR(R134:R671&lt;0,T133:T671&lt;0,C134:C672=""),"Check","OK")</f>
        <v>Check</v>
      </c>
    </row>
    <row r="135" ht="17.6" spans="1:24">
      <c r="A135" s="7">
        <v>287</v>
      </c>
      <c r="B135" s="8" t="s">
        <v>1241</v>
      </c>
      <c r="C135" s="9">
        <v>42722</v>
      </c>
      <c r="D135" s="9">
        <v>42724</v>
      </c>
      <c r="E135" s="8" t="s">
        <v>707</v>
      </c>
      <c r="F135" s="8" t="s">
        <v>1242</v>
      </c>
      <c r="G135" s="8" t="s">
        <v>1243</v>
      </c>
      <c r="H135" s="8" t="s">
        <v>716</v>
      </c>
      <c r="I135" s="8" t="s">
        <v>708</v>
      </c>
      <c r="J135" s="8" t="s">
        <v>1244</v>
      </c>
      <c r="K135" s="8" t="s">
        <v>172</v>
      </c>
      <c r="L135" s="8">
        <v>33319</v>
      </c>
      <c r="M135" s="8" t="s">
        <v>709</v>
      </c>
      <c r="N135" s="8" t="s">
        <v>1245</v>
      </c>
      <c r="O135" s="8" t="s">
        <v>9</v>
      </c>
      <c r="P135" s="8" t="s">
        <v>736</v>
      </c>
      <c r="Q135" s="8" t="s">
        <v>1246</v>
      </c>
      <c r="R135" s="15">
        <v>254.058</v>
      </c>
      <c r="S135" s="7">
        <v>7</v>
      </c>
      <c r="T135" s="16">
        <v>0.7</v>
      </c>
      <c r="U135" s="15">
        <v>-169.372</v>
      </c>
      <c r="V135" s="22">
        <v>169.372</v>
      </c>
      <c r="W135" s="23">
        <v>76.2174</v>
      </c>
      <c r="X135" s="21" t="str" cm="1">
        <f t="array" ref="X135">IF(OR(R135:R672&lt;0,T134:T672&lt;0,C135:C673=""),"Check","OK")</f>
        <v>Check</v>
      </c>
    </row>
    <row r="136" ht="17.6" spans="1:24">
      <c r="A136" s="4">
        <v>290</v>
      </c>
      <c r="B136" s="5" t="s">
        <v>1247</v>
      </c>
      <c r="C136" s="6">
        <v>42694</v>
      </c>
      <c r="D136" s="6">
        <v>42698</v>
      </c>
      <c r="E136" s="5" t="s">
        <v>707</v>
      </c>
      <c r="F136" s="5" t="s">
        <v>1248</v>
      </c>
      <c r="G136" s="5" t="s">
        <v>1249</v>
      </c>
      <c r="H136" s="5" t="s">
        <v>741</v>
      </c>
      <c r="I136" s="5" t="s">
        <v>708</v>
      </c>
      <c r="J136" s="5" t="s">
        <v>211</v>
      </c>
      <c r="K136" s="5" t="s">
        <v>138</v>
      </c>
      <c r="L136" s="5">
        <v>43229</v>
      </c>
      <c r="M136" s="5" t="s">
        <v>759</v>
      </c>
      <c r="N136" s="5" t="s">
        <v>1250</v>
      </c>
      <c r="O136" s="5" t="s">
        <v>9</v>
      </c>
      <c r="P136" s="5" t="s">
        <v>824</v>
      </c>
      <c r="Q136" s="5" t="s">
        <v>1251</v>
      </c>
      <c r="R136" s="12">
        <v>19.096</v>
      </c>
      <c r="S136" s="4">
        <v>7</v>
      </c>
      <c r="T136" s="14">
        <v>0.2</v>
      </c>
      <c r="U136" s="12">
        <v>6.6836</v>
      </c>
      <c r="V136" s="19">
        <v>6.6836</v>
      </c>
      <c r="W136" s="20">
        <v>15.2768</v>
      </c>
      <c r="X136" s="21" t="str" cm="1">
        <f t="array" ref="X136">IF(OR(R136:R673&lt;0,T135:T673&lt;0,C136:C674=""),"Check","OK")</f>
        <v>Check</v>
      </c>
    </row>
    <row r="137" ht="17.6" spans="1:24">
      <c r="A137" s="7">
        <v>294</v>
      </c>
      <c r="B137" s="8" t="s">
        <v>1252</v>
      </c>
      <c r="C137" s="9">
        <v>41999</v>
      </c>
      <c r="D137" s="9">
        <v>42001</v>
      </c>
      <c r="E137" s="8" t="s">
        <v>13</v>
      </c>
      <c r="F137" s="8" t="s">
        <v>1253</v>
      </c>
      <c r="G137" s="8" t="s">
        <v>1254</v>
      </c>
      <c r="H137" s="8" t="s">
        <v>716</v>
      </c>
      <c r="I137" s="8" t="s">
        <v>708</v>
      </c>
      <c r="J137" s="8" t="s">
        <v>1255</v>
      </c>
      <c r="K137" s="8" t="s">
        <v>217</v>
      </c>
      <c r="L137" s="8">
        <v>80906</v>
      </c>
      <c r="M137" s="8" t="s">
        <v>717</v>
      </c>
      <c r="N137" s="8" t="s">
        <v>1256</v>
      </c>
      <c r="O137" s="8" t="s">
        <v>8</v>
      </c>
      <c r="P137" s="8" t="s">
        <v>727</v>
      </c>
      <c r="Q137" s="8" t="s">
        <v>1257</v>
      </c>
      <c r="R137" s="15">
        <v>300.416</v>
      </c>
      <c r="S137" s="7">
        <v>8</v>
      </c>
      <c r="T137" s="16">
        <v>0.2</v>
      </c>
      <c r="U137" s="15">
        <v>78.8592</v>
      </c>
      <c r="V137" s="22">
        <v>78.8592</v>
      </c>
      <c r="W137" s="23">
        <v>240.3328</v>
      </c>
      <c r="X137" s="21" t="str" cm="1">
        <f t="array" ref="X137">IF(OR(R137:R674&lt;0,T136:T674&lt;0,C137:C675=""),"Check","OK")</f>
        <v>Check</v>
      </c>
    </row>
    <row r="138" ht="17.6" spans="1:24">
      <c r="A138" s="4">
        <v>299</v>
      </c>
      <c r="B138" s="5" t="s">
        <v>1258</v>
      </c>
      <c r="C138" s="6">
        <v>42671</v>
      </c>
      <c r="D138" s="6">
        <v>42677</v>
      </c>
      <c r="E138" s="5" t="s">
        <v>4</v>
      </c>
      <c r="F138" s="5" t="s">
        <v>989</v>
      </c>
      <c r="G138" s="5" t="s">
        <v>990</v>
      </c>
      <c r="H138" s="5" t="s">
        <v>716</v>
      </c>
      <c r="I138" s="5" t="s">
        <v>708</v>
      </c>
      <c r="J138" s="5" t="s">
        <v>674</v>
      </c>
      <c r="K138" s="5" t="s">
        <v>550</v>
      </c>
      <c r="L138" s="5">
        <v>7109</v>
      </c>
      <c r="M138" s="5" t="s">
        <v>759</v>
      </c>
      <c r="N138" s="5" t="s">
        <v>1259</v>
      </c>
      <c r="O138" s="5" t="s">
        <v>9</v>
      </c>
      <c r="P138" s="5" t="s">
        <v>731</v>
      </c>
      <c r="Q138" s="5" t="s">
        <v>1260</v>
      </c>
      <c r="R138" s="12">
        <v>32.4</v>
      </c>
      <c r="S138" s="4">
        <v>5</v>
      </c>
      <c r="T138" s="14">
        <v>0</v>
      </c>
      <c r="U138" s="12">
        <v>15.552</v>
      </c>
      <c r="V138" s="19">
        <v>15.552</v>
      </c>
      <c r="W138" s="20">
        <v>32.4</v>
      </c>
      <c r="X138" s="21" t="str" cm="1">
        <f t="array" ref="X138">IF(OR(R138:R675&lt;0,T137:T675&lt;0,C138:C676=""),"Check","OK")</f>
        <v>Check</v>
      </c>
    </row>
    <row r="139" ht="17.6" spans="1:24">
      <c r="A139" s="7">
        <v>304</v>
      </c>
      <c r="B139" s="8" t="s">
        <v>1261</v>
      </c>
      <c r="C139" s="9">
        <v>43058</v>
      </c>
      <c r="D139" s="9">
        <v>43062</v>
      </c>
      <c r="E139" s="8" t="s">
        <v>4</v>
      </c>
      <c r="F139" s="8" t="s">
        <v>395</v>
      </c>
      <c r="G139" s="8" t="s">
        <v>396</v>
      </c>
      <c r="H139" s="8" t="s">
        <v>111</v>
      </c>
      <c r="I139" s="8" t="s">
        <v>708</v>
      </c>
      <c r="J139" s="8" t="s">
        <v>182</v>
      </c>
      <c r="K139" s="8" t="s">
        <v>183</v>
      </c>
      <c r="L139" s="8">
        <v>60623</v>
      </c>
      <c r="M139" s="8" t="s">
        <v>742</v>
      </c>
      <c r="N139" s="8" t="s">
        <v>1262</v>
      </c>
      <c r="O139" s="8" t="s">
        <v>8</v>
      </c>
      <c r="P139" s="8" t="s">
        <v>723</v>
      </c>
      <c r="Q139" s="8" t="s">
        <v>1263</v>
      </c>
      <c r="R139" s="15">
        <v>219.075</v>
      </c>
      <c r="S139" s="7">
        <v>3</v>
      </c>
      <c r="T139" s="16">
        <v>0.5</v>
      </c>
      <c r="U139" s="15">
        <v>-131.445</v>
      </c>
      <c r="V139" s="22">
        <v>131.445</v>
      </c>
      <c r="W139" s="23">
        <v>109.5375</v>
      </c>
      <c r="X139" s="21" t="str" cm="1">
        <f t="array" ref="X139">IF(OR(R139:R676&lt;0,T138:T676&lt;0,C139:C677=""),"Check","OK")</f>
        <v>Check</v>
      </c>
    </row>
    <row r="140" ht="17.6" spans="1:24">
      <c r="A140" s="4">
        <v>305</v>
      </c>
      <c r="B140" s="5" t="s">
        <v>1264</v>
      </c>
      <c r="C140" s="6">
        <v>42128</v>
      </c>
      <c r="D140" s="6">
        <v>42133</v>
      </c>
      <c r="E140" s="5" t="s">
        <v>707</v>
      </c>
      <c r="F140" s="5" t="s">
        <v>1265</v>
      </c>
      <c r="G140" s="5" t="s">
        <v>1266</v>
      </c>
      <c r="H140" s="5" t="s">
        <v>716</v>
      </c>
      <c r="I140" s="5" t="s">
        <v>708</v>
      </c>
      <c r="J140" s="5" t="s">
        <v>204</v>
      </c>
      <c r="K140" s="5" t="s">
        <v>168</v>
      </c>
      <c r="L140" s="5">
        <v>10024</v>
      </c>
      <c r="M140" s="5" t="s">
        <v>759</v>
      </c>
      <c r="N140" s="5" t="s">
        <v>1267</v>
      </c>
      <c r="O140" s="5" t="s">
        <v>8</v>
      </c>
      <c r="P140" s="5" t="s">
        <v>727</v>
      </c>
      <c r="Q140" s="5" t="s">
        <v>1268</v>
      </c>
      <c r="R140" s="12">
        <v>26.8</v>
      </c>
      <c r="S140" s="4">
        <v>2</v>
      </c>
      <c r="T140" s="14">
        <v>0</v>
      </c>
      <c r="U140" s="12">
        <v>12.864</v>
      </c>
      <c r="V140" s="19">
        <v>12.864</v>
      </c>
      <c r="W140" s="20">
        <v>26.8</v>
      </c>
      <c r="X140" s="21" t="str" cm="1">
        <f t="array" ref="X140">IF(OR(R140:R677&lt;0,T139:T677&lt;0,C140:C678=""),"Check","OK")</f>
        <v>Check</v>
      </c>
    </row>
    <row r="141" ht="17.6" spans="1:24">
      <c r="A141" s="7">
        <v>306</v>
      </c>
      <c r="B141" s="8" t="s">
        <v>1269</v>
      </c>
      <c r="C141" s="9">
        <v>42003</v>
      </c>
      <c r="D141" s="9">
        <v>42008</v>
      </c>
      <c r="E141" s="8" t="s">
        <v>4</v>
      </c>
      <c r="F141" s="8" t="s">
        <v>864</v>
      </c>
      <c r="G141" s="8" t="s">
        <v>865</v>
      </c>
      <c r="H141" s="8" t="s">
        <v>716</v>
      </c>
      <c r="I141" s="8" t="s">
        <v>708</v>
      </c>
      <c r="J141" s="8" t="s">
        <v>1270</v>
      </c>
      <c r="K141" s="8" t="s">
        <v>163</v>
      </c>
      <c r="L141" s="8">
        <v>48180</v>
      </c>
      <c r="M141" s="8" t="s">
        <v>742</v>
      </c>
      <c r="N141" s="8" t="s">
        <v>89</v>
      </c>
      <c r="O141" s="8" t="s">
        <v>9</v>
      </c>
      <c r="P141" s="8" t="s">
        <v>16</v>
      </c>
      <c r="Q141" s="8" t="s">
        <v>88</v>
      </c>
      <c r="R141" s="15">
        <v>9.84</v>
      </c>
      <c r="S141" s="7">
        <v>3</v>
      </c>
      <c r="T141" s="16">
        <v>0</v>
      </c>
      <c r="U141" s="15">
        <v>2.8536</v>
      </c>
      <c r="V141" s="22">
        <v>2.8536</v>
      </c>
      <c r="W141" s="23">
        <v>9.84</v>
      </c>
      <c r="X141" s="21" t="str" cm="1">
        <f t="array" ref="X141">IF(OR(R141:R678&lt;0,T140:T678&lt;0,C141:C679=""),"Check","OK")</f>
        <v>Check</v>
      </c>
    </row>
    <row r="142" ht="17.6" spans="1:24">
      <c r="A142" s="4">
        <v>307</v>
      </c>
      <c r="B142" s="5" t="s">
        <v>1271</v>
      </c>
      <c r="C142" s="6">
        <v>41791</v>
      </c>
      <c r="D142" s="6">
        <v>41796</v>
      </c>
      <c r="E142" s="5" t="s">
        <v>4</v>
      </c>
      <c r="F142" s="5" t="s">
        <v>1272</v>
      </c>
      <c r="G142" s="5" t="s">
        <v>1273</v>
      </c>
      <c r="H142" s="5" t="s">
        <v>741</v>
      </c>
      <c r="I142" s="5" t="s">
        <v>708</v>
      </c>
      <c r="J142" s="5" t="s">
        <v>1274</v>
      </c>
      <c r="K142" s="5" t="s">
        <v>550</v>
      </c>
      <c r="L142" s="5">
        <v>8701</v>
      </c>
      <c r="M142" s="5" t="s">
        <v>759</v>
      </c>
      <c r="N142" s="5" t="s">
        <v>1275</v>
      </c>
      <c r="O142" s="5" t="s">
        <v>9</v>
      </c>
      <c r="P142" s="5" t="s">
        <v>736</v>
      </c>
      <c r="Q142" s="5" t="s">
        <v>1276</v>
      </c>
      <c r="R142" s="12">
        <v>45.48</v>
      </c>
      <c r="S142" s="4">
        <v>3</v>
      </c>
      <c r="T142" s="14">
        <v>0</v>
      </c>
      <c r="U142" s="12">
        <v>20.9208</v>
      </c>
      <c r="V142" s="19">
        <v>20.9208</v>
      </c>
      <c r="W142" s="20">
        <v>45.48</v>
      </c>
      <c r="X142" s="21" t="str" cm="1">
        <f t="array" ref="X142">IF(OR(R142:R679&lt;0,T141:T679&lt;0,C142:C680=""),"Check","OK")</f>
        <v>Check</v>
      </c>
    </row>
    <row r="143" ht="17.6" spans="1:24">
      <c r="A143" s="7">
        <v>309</v>
      </c>
      <c r="B143" s="8" t="s">
        <v>1277</v>
      </c>
      <c r="C143" s="9">
        <v>42840</v>
      </c>
      <c r="D143" s="9">
        <v>42842</v>
      </c>
      <c r="E143" s="8" t="s">
        <v>13</v>
      </c>
      <c r="F143" s="8" t="s">
        <v>631</v>
      </c>
      <c r="G143" s="8" t="s">
        <v>632</v>
      </c>
      <c r="H143" s="8" t="s">
        <v>111</v>
      </c>
      <c r="I143" s="8" t="s">
        <v>708</v>
      </c>
      <c r="J143" s="8" t="s">
        <v>224</v>
      </c>
      <c r="K143" s="8" t="s">
        <v>288</v>
      </c>
      <c r="L143" s="8">
        <v>22204</v>
      </c>
      <c r="M143" s="8" t="s">
        <v>709</v>
      </c>
      <c r="N143" s="8" t="s">
        <v>53</v>
      </c>
      <c r="O143" s="8" t="s">
        <v>9</v>
      </c>
      <c r="P143" s="8" t="s">
        <v>16</v>
      </c>
      <c r="Q143" s="8" t="s">
        <v>52</v>
      </c>
      <c r="R143" s="15">
        <v>4.89</v>
      </c>
      <c r="S143" s="7">
        <v>1</v>
      </c>
      <c r="T143" s="16">
        <v>0</v>
      </c>
      <c r="U143" s="15">
        <v>2.0049</v>
      </c>
      <c r="V143" s="22">
        <v>2.0049</v>
      </c>
      <c r="W143" s="23">
        <v>4.89</v>
      </c>
      <c r="X143" s="21" t="str" cm="1">
        <f t="array" ref="X143">IF(OR(R143:R680&lt;0,T142:T680&lt;0,C143:C681=""),"Check","OK")</f>
        <v>Check</v>
      </c>
    </row>
    <row r="144" ht="17.6" spans="1:24">
      <c r="A144" s="4">
        <v>310</v>
      </c>
      <c r="B144" s="5" t="s">
        <v>1278</v>
      </c>
      <c r="C144" s="6">
        <v>42625</v>
      </c>
      <c r="D144" s="6">
        <v>42627</v>
      </c>
      <c r="E144" s="5" t="s">
        <v>707</v>
      </c>
      <c r="F144" s="5" t="s">
        <v>1279</v>
      </c>
      <c r="G144" s="5" t="s">
        <v>1280</v>
      </c>
      <c r="H144" s="5" t="s">
        <v>716</v>
      </c>
      <c r="I144" s="5" t="s">
        <v>708</v>
      </c>
      <c r="J144" s="5" t="s">
        <v>1281</v>
      </c>
      <c r="K144" s="5" t="s">
        <v>217</v>
      </c>
      <c r="L144" s="5">
        <v>80004</v>
      </c>
      <c r="M144" s="5" t="s">
        <v>717</v>
      </c>
      <c r="N144" s="5" t="s">
        <v>1282</v>
      </c>
      <c r="O144" s="5" t="s">
        <v>8</v>
      </c>
      <c r="P144" s="5" t="s">
        <v>727</v>
      </c>
      <c r="Q144" s="5" t="s">
        <v>1283</v>
      </c>
      <c r="R144" s="12">
        <v>15.136</v>
      </c>
      <c r="S144" s="4">
        <v>4</v>
      </c>
      <c r="T144" s="14">
        <v>0.2</v>
      </c>
      <c r="U144" s="12">
        <v>3.5948</v>
      </c>
      <c r="V144" s="19">
        <v>3.5948</v>
      </c>
      <c r="W144" s="20">
        <v>12.1088</v>
      </c>
      <c r="X144" s="21" t="str" cm="1">
        <f t="array" ref="X144">IF(OR(R144:R681&lt;0,T143:T681&lt;0,C144:C682=""),"Check","OK")</f>
        <v>Check</v>
      </c>
    </row>
    <row r="145" ht="17.6" spans="1:24">
      <c r="A145" s="7">
        <v>314</v>
      </c>
      <c r="B145" s="8" t="s">
        <v>1284</v>
      </c>
      <c r="C145" s="9">
        <v>41909</v>
      </c>
      <c r="D145" s="9">
        <v>41915</v>
      </c>
      <c r="E145" s="8" t="s">
        <v>4</v>
      </c>
      <c r="F145" s="8" t="s">
        <v>1285</v>
      </c>
      <c r="G145" s="8" t="s">
        <v>1286</v>
      </c>
      <c r="H145" s="8" t="s">
        <v>716</v>
      </c>
      <c r="I145" s="8" t="s">
        <v>708</v>
      </c>
      <c r="J145" s="8" t="s">
        <v>1287</v>
      </c>
      <c r="K145" s="8" t="s">
        <v>550</v>
      </c>
      <c r="L145" s="8">
        <v>7601</v>
      </c>
      <c r="M145" s="8" t="s">
        <v>759</v>
      </c>
      <c r="N145" s="8" t="s">
        <v>1288</v>
      </c>
      <c r="O145" s="8" t="s">
        <v>8</v>
      </c>
      <c r="P145" s="8" t="s">
        <v>727</v>
      </c>
      <c r="Q145" s="8" t="s">
        <v>1289</v>
      </c>
      <c r="R145" s="15">
        <v>87.54</v>
      </c>
      <c r="S145" s="7">
        <v>3</v>
      </c>
      <c r="T145" s="16">
        <v>0</v>
      </c>
      <c r="U145" s="15">
        <v>37.6422</v>
      </c>
      <c r="V145" s="22">
        <v>37.6422</v>
      </c>
      <c r="W145" s="23">
        <v>87.54</v>
      </c>
      <c r="X145" s="21" t="str" cm="1">
        <f t="array" ref="X145">IF(OR(R145:R682&lt;0,T144:T682&lt;0,C145:C683=""),"Check","OK")</f>
        <v>Check</v>
      </c>
    </row>
    <row r="146" ht="17.6" spans="1:24">
      <c r="A146" s="4">
        <v>315</v>
      </c>
      <c r="B146" s="5" t="s">
        <v>1290</v>
      </c>
      <c r="C146" s="6">
        <v>41860</v>
      </c>
      <c r="D146" s="6">
        <v>41867</v>
      </c>
      <c r="E146" s="5" t="s">
        <v>4</v>
      </c>
      <c r="F146" s="5" t="s">
        <v>1291</v>
      </c>
      <c r="G146" s="5" t="s">
        <v>1292</v>
      </c>
      <c r="H146" s="5" t="s">
        <v>716</v>
      </c>
      <c r="I146" s="5" t="s">
        <v>708</v>
      </c>
      <c r="J146" s="5" t="s">
        <v>314</v>
      </c>
      <c r="K146" s="5" t="s">
        <v>172</v>
      </c>
      <c r="L146" s="5">
        <v>33710</v>
      </c>
      <c r="M146" s="5" t="s">
        <v>709</v>
      </c>
      <c r="N146" s="5" t="s">
        <v>1293</v>
      </c>
      <c r="O146" s="5" t="s">
        <v>10</v>
      </c>
      <c r="P146" s="5" t="s">
        <v>780</v>
      </c>
      <c r="Q146" s="5" t="s">
        <v>1294</v>
      </c>
      <c r="R146" s="12">
        <v>178.384</v>
      </c>
      <c r="S146" s="4">
        <v>2</v>
      </c>
      <c r="T146" s="14">
        <v>0.2</v>
      </c>
      <c r="U146" s="12">
        <v>22.298</v>
      </c>
      <c r="V146" s="19">
        <v>22.298</v>
      </c>
      <c r="W146" s="20">
        <v>142.7072</v>
      </c>
      <c r="X146" s="21" t="str" cm="1">
        <f t="array" ref="X146">IF(OR(R146:R683&lt;0,T145:T683&lt;0,C146:C684=""),"Check","OK")</f>
        <v>Check</v>
      </c>
    </row>
    <row r="147" ht="17.6" spans="1:24">
      <c r="A147" s="7">
        <v>317</v>
      </c>
      <c r="B147" s="8" t="s">
        <v>1295</v>
      </c>
      <c r="C147" s="9">
        <v>42001</v>
      </c>
      <c r="D147" s="9">
        <v>42003</v>
      </c>
      <c r="E147" s="8" t="s">
        <v>13</v>
      </c>
      <c r="F147" s="8" t="s">
        <v>1296</v>
      </c>
      <c r="G147" s="8" t="s">
        <v>1297</v>
      </c>
      <c r="H147" s="8" t="s">
        <v>716</v>
      </c>
      <c r="I147" s="8" t="s">
        <v>708</v>
      </c>
      <c r="J147" s="8" t="s">
        <v>175</v>
      </c>
      <c r="K147" s="8" t="s">
        <v>176</v>
      </c>
      <c r="L147" s="8">
        <v>19143</v>
      </c>
      <c r="M147" s="8" t="s">
        <v>759</v>
      </c>
      <c r="N147" s="8" t="s">
        <v>39</v>
      </c>
      <c r="O147" s="8" t="s">
        <v>9</v>
      </c>
      <c r="P147" s="8" t="s">
        <v>16</v>
      </c>
      <c r="Q147" s="8" t="s">
        <v>38</v>
      </c>
      <c r="R147" s="15">
        <v>99.136</v>
      </c>
      <c r="S147" s="7">
        <v>4</v>
      </c>
      <c r="T147" s="16">
        <v>0.2</v>
      </c>
      <c r="U147" s="15">
        <v>8.6744</v>
      </c>
      <c r="V147" s="22">
        <v>8.6744</v>
      </c>
      <c r="W147" s="23">
        <v>79.3088</v>
      </c>
      <c r="X147" s="21" t="str" cm="1">
        <f t="array" ref="X147">IF(OR(R147:R684&lt;0,T146:T684&lt;0,C147:C685=""),"Check","OK")</f>
        <v>Check</v>
      </c>
    </row>
    <row r="148" ht="17.6" spans="1:24">
      <c r="A148" s="4">
        <v>318</v>
      </c>
      <c r="B148" s="5" t="s">
        <v>1298</v>
      </c>
      <c r="C148" s="6">
        <v>41947</v>
      </c>
      <c r="D148" s="6">
        <v>41952</v>
      </c>
      <c r="E148" s="5" t="s">
        <v>4</v>
      </c>
      <c r="F148" s="5" t="s">
        <v>1299</v>
      </c>
      <c r="G148" s="5" t="s">
        <v>1300</v>
      </c>
      <c r="H148" s="5" t="s">
        <v>741</v>
      </c>
      <c r="I148" s="5" t="s">
        <v>708</v>
      </c>
      <c r="J148" s="5" t="s">
        <v>204</v>
      </c>
      <c r="K148" s="5" t="s">
        <v>168</v>
      </c>
      <c r="L148" s="5">
        <v>10024</v>
      </c>
      <c r="M148" s="5" t="s">
        <v>759</v>
      </c>
      <c r="N148" s="5" t="s">
        <v>1301</v>
      </c>
      <c r="O148" s="5" t="s">
        <v>8</v>
      </c>
      <c r="P148" s="5" t="s">
        <v>761</v>
      </c>
      <c r="Q148" s="5" t="s">
        <v>1302</v>
      </c>
      <c r="R148" s="12">
        <v>135.882</v>
      </c>
      <c r="S148" s="4">
        <v>1</v>
      </c>
      <c r="T148" s="14">
        <v>0.1</v>
      </c>
      <c r="U148" s="12">
        <v>24.1568</v>
      </c>
      <c r="V148" s="19">
        <v>24.1568</v>
      </c>
      <c r="W148" s="20">
        <v>122.2938</v>
      </c>
      <c r="X148" s="21" t="str" cm="1">
        <f t="array" ref="X148">IF(OR(R148:R685&lt;0,T147:T685&lt;0,C148:C686=""),"Check","OK")</f>
        <v>Check</v>
      </c>
    </row>
    <row r="149" ht="17.6" spans="1:24">
      <c r="A149" s="7">
        <v>323</v>
      </c>
      <c r="B149" s="8" t="s">
        <v>1303</v>
      </c>
      <c r="C149" s="9">
        <v>41901</v>
      </c>
      <c r="D149" s="9">
        <v>41906</v>
      </c>
      <c r="E149" s="8" t="s">
        <v>4</v>
      </c>
      <c r="F149" s="8" t="s">
        <v>1304</v>
      </c>
      <c r="G149" s="8" t="s">
        <v>1305</v>
      </c>
      <c r="H149" s="8" t="s">
        <v>716</v>
      </c>
      <c r="I149" s="8" t="s">
        <v>708</v>
      </c>
      <c r="J149" s="8" t="s">
        <v>404</v>
      </c>
      <c r="K149" s="8" t="s">
        <v>136</v>
      </c>
      <c r="L149" s="8">
        <v>90805</v>
      </c>
      <c r="M149" s="8" t="s">
        <v>717</v>
      </c>
      <c r="N149" s="8" t="s">
        <v>1306</v>
      </c>
      <c r="O149" s="8" t="s">
        <v>9</v>
      </c>
      <c r="P149" s="8" t="s">
        <v>824</v>
      </c>
      <c r="Q149" s="8" t="s">
        <v>1307</v>
      </c>
      <c r="R149" s="15">
        <v>7.16</v>
      </c>
      <c r="S149" s="7">
        <v>2</v>
      </c>
      <c r="T149" s="16">
        <v>0</v>
      </c>
      <c r="U149" s="15">
        <v>3.58</v>
      </c>
      <c r="V149" s="22">
        <v>3.58</v>
      </c>
      <c r="W149" s="23">
        <v>7.16</v>
      </c>
      <c r="X149" s="21" t="str" cm="1">
        <f t="array" ref="X149">IF(OR(R149:R686&lt;0,T148:T686&lt;0,C149:C687=""),"Check","OK")</f>
        <v>Check</v>
      </c>
    </row>
    <row r="150" ht="17.6" spans="1:24">
      <c r="A150" s="4">
        <v>324</v>
      </c>
      <c r="B150" s="5" t="s">
        <v>1308</v>
      </c>
      <c r="C150" s="6">
        <v>42483</v>
      </c>
      <c r="D150" s="6">
        <v>42487</v>
      </c>
      <c r="E150" s="5" t="s">
        <v>4</v>
      </c>
      <c r="F150" s="5" t="s">
        <v>1309</v>
      </c>
      <c r="G150" s="5" t="s">
        <v>1310</v>
      </c>
      <c r="H150" s="5" t="s">
        <v>716</v>
      </c>
      <c r="I150" s="5" t="s">
        <v>708</v>
      </c>
      <c r="J150" s="5" t="s">
        <v>1311</v>
      </c>
      <c r="K150" s="5" t="s">
        <v>136</v>
      </c>
      <c r="L150" s="5">
        <v>92345</v>
      </c>
      <c r="M150" s="5" t="s">
        <v>717</v>
      </c>
      <c r="N150" s="5" t="s">
        <v>1312</v>
      </c>
      <c r="O150" s="5" t="s">
        <v>9</v>
      </c>
      <c r="P150" s="5" t="s">
        <v>736</v>
      </c>
      <c r="Q150" s="5" t="s">
        <v>1313</v>
      </c>
      <c r="R150" s="12">
        <v>251.52</v>
      </c>
      <c r="S150" s="4">
        <v>6</v>
      </c>
      <c r="T150" s="14">
        <v>0.2</v>
      </c>
      <c r="U150" s="12">
        <v>81.744</v>
      </c>
      <c r="V150" s="19">
        <v>81.744</v>
      </c>
      <c r="W150" s="20">
        <v>201.216</v>
      </c>
      <c r="X150" s="21" t="str" cm="1">
        <f t="array" ref="X150">IF(OR(R150:R687&lt;0,T149:T687&lt;0,C150:C688=""),"Check","OK")</f>
        <v>Check</v>
      </c>
    </row>
    <row r="151" ht="17.6" spans="1:24">
      <c r="A151" s="7">
        <v>326</v>
      </c>
      <c r="B151" s="8" t="s">
        <v>1314</v>
      </c>
      <c r="C151" s="9">
        <v>43042</v>
      </c>
      <c r="D151" s="9">
        <v>43044</v>
      </c>
      <c r="E151" s="8" t="s">
        <v>707</v>
      </c>
      <c r="F151" s="8" t="s">
        <v>1315</v>
      </c>
      <c r="G151" s="8" t="s">
        <v>1316</v>
      </c>
      <c r="H151" s="8" t="s">
        <v>716</v>
      </c>
      <c r="I151" s="8" t="s">
        <v>708</v>
      </c>
      <c r="J151" s="8" t="s">
        <v>1317</v>
      </c>
      <c r="K151" s="8" t="s">
        <v>381</v>
      </c>
      <c r="L151" s="8">
        <v>37130</v>
      </c>
      <c r="M151" s="8" t="s">
        <v>709</v>
      </c>
      <c r="N151" s="8" t="s">
        <v>1318</v>
      </c>
      <c r="O151" s="8" t="s">
        <v>8</v>
      </c>
      <c r="P151" s="8" t="s">
        <v>727</v>
      </c>
      <c r="Q151" s="8" t="s">
        <v>1319</v>
      </c>
      <c r="R151" s="15">
        <v>15.992</v>
      </c>
      <c r="S151" s="7">
        <v>1</v>
      </c>
      <c r="T151" s="16">
        <v>0.2</v>
      </c>
      <c r="U151" s="15">
        <v>0.9995</v>
      </c>
      <c r="V151" s="22">
        <v>0.9995</v>
      </c>
      <c r="W151" s="23">
        <v>12.7936</v>
      </c>
      <c r="X151" s="21" t="str" cm="1">
        <f t="array" ref="X151">IF(OR(R151:R688&lt;0,T150:T688&lt;0,C151:C689=""),"Check","OK")</f>
        <v>Check</v>
      </c>
    </row>
    <row r="152" ht="17.6" spans="1:24">
      <c r="A152" s="4">
        <v>327</v>
      </c>
      <c r="B152" s="5" t="s">
        <v>1320</v>
      </c>
      <c r="C152" s="6">
        <v>42612</v>
      </c>
      <c r="D152" s="6">
        <v>42614</v>
      </c>
      <c r="E152" s="5" t="s">
        <v>13</v>
      </c>
      <c r="F152" s="5" t="s">
        <v>557</v>
      </c>
      <c r="G152" s="5" t="s">
        <v>558</v>
      </c>
      <c r="H152" s="5" t="s">
        <v>111</v>
      </c>
      <c r="I152" s="5" t="s">
        <v>708</v>
      </c>
      <c r="J152" s="5" t="s">
        <v>175</v>
      </c>
      <c r="K152" s="5" t="s">
        <v>176</v>
      </c>
      <c r="L152" s="5">
        <v>19143</v>
      </c>
      <c r="M152" s="5" t="s">
        <v>759</v>
      </c>
      <c r="N152" s="5" t="s">
        <v>1321</v>
      </c>
      <c r="O152" s="5" t="s">
        <v>10</v>
      </c>
      <c r="P152" s="5" t="s">
        <v>780</v>
      </c>
      <c r="Q152" s="5" t="s">
        <v>1322</v>
      </c>
      <c r="R152" s="12">
        <v>290.898</v>
      </c>
      <c r="S152" s="4">
        <v>3</v>
      </c>
      <c r="T152" s="14">
        <v>0.4</v>
      </c>
      <c r="U152" s="12">
        <v>-67.8762</v>
      </c>
      <c r="V152" s="19">
        <v>67.8762</v>
      </c>
      <c r="W152" s="20">
        <v>174.5388</v>
      </c>
      <c r="X152" s="21" t="str" cm="1">
        <f t="array" ref="X152">IF(OR(R152:R689&lt;0,T151:T689&lt;0,C152:C690=""),"Check","OK")</f>
        <v>Check</v>
      </c>
    </row>
    <row r="153" ht="17.6" spans="1:24">
      <c r="A153" s="7">
        <v>332</v>
      </c>
      <c r="B153" s="8" t="s">
        <v>1323</v>
      </c>
      <c r="C153" s="9">
        <v>42485</v>
      </c>
      <c r="D153" s="9">
        <v>42489</v>
      </c>
      <c r="E153" s="8" t="s">
        <v>707</v>
      </c>
      <c r="F153" s="8" t="s">
        <v>414</v>
      </c>
      <c r="G153" s="8" t="s">
        <v>415</v>
      </c>
      <c r="H153" s="8" t="s">
        <v>111</v>
      </c>
      <c r="I153" s="8" t="s">
        <v>708</v>
      </c>
      <c r="J153" s="8" t="s">
        <v>175</v>
      </c>
      <c r="K153" s="8" t="s">
        <v>176</v>
      </c>
      <c r="L153" s="8">
        <v>19134</v>
      </c>
      <c r="M153" s="8" t="s">
        <v>759</v>
      </c>
      <c r="N153" s="8" t="s">
        <v>1324</v>
      </c>
      <c r="O153" s="8" t="s">
        <v>10</v>
      </c>
      <c r="P153" s="8" t="s">
        <v>780</v>
      </c>
      <c r="Q153" s="8" t="s">
        <v>1325</v>
      </c>
      <c r="R153" s="15">
        <v>82.8</v>
      </c>
      <c r="S153" s="7">
        <v>2</v>
      </c>
      <c r="T153" s="16">
        <v>0.4</v>
      </c>
      <c r="U153" s="15">
        <v>-20.7</v>
      </c>
      <c r="V153" s="22">
        <v>20.7</v>
      </c>
      <c r="W153" s="23">
        <v>49.68</v>
      </c>
      <c r="X153" s="21" t="str" cm="1">
        <f t="array" ref="X153">IF(OR(R153:R690&lt;0,T152:T690&lt;0,C153:C691=""),"Check","OK")</f>
        <v>Check</v>
      </c>
    </row>
    <row r="154" ht="17.6" spans="1:24">
      <c r="A154" s="4">
        <v>335</v>
      </c>
      <c r="B154" s="5" t="s">
        <v>1326</v>
      </c>
      <c r="C154" s="6">
        <v>42248</v>
      </c>
      <c r="D154" s="6">
        <v>42251</v>
      </c>
      <c r="E154" s="5" t="s">
        <v>707</v>
      </c>
      <c r="F154" s="5" t="s">
        <v>272</v>
      </c>
      <c r="G154" s="5" t="s">
        <v>273</v>
      </c>
      <c r="H154" s="5" t="s">
        <v>111</v>
      </c>
      <c r="I154" s="5" t="s">
        <v>708</v>
      </c>
      <c r="J154" s="5" t="s">
        <v>135</v>
      </c>
      <c r="K154" s="5" t="s">
        <v>136</v>
      </c>
      <c r="L154" s="5">
        <v>90045</v>
      </c>
      <c r="M154" s="5" t="s">
        <v>717</v>
      </c>
      <c r="N154" s="5" t="s">
        <v>1327</v>
      </c>
      <c r="O154" s="5" t="s">
        <v>9</v>
      </c>
      <c r="P154" s="5" t="s">
        <v>736</v>
      </c>
      <c r="Q154" s="5" t="s">
        <v>1328</v>
      </c>
      <c r="R154" s="12">
        <v>4.752</v>
      </c>
      <c r="S154" s="4">
        <v>1</v>
      </c>
      <c r="T154" s="14">
        <v>0.2</v>
      </c>
      <c r="U154" s="12">
        <v>1.6038</v>
      </c>
      <c r="V154" s="19">
        <v>1.6038</v>
      </c>
      <c r="W154" s="20">
        <v>3.8016</v>
      </c>
      <c r="X154" s="21" t="str" cm="1">
        <f t="array" ref="X154">IF(OR(R154:R691&lt;0,T153:T691&lt;0,C154:C692=""),"Check","OK")</f>
        <v>Check</v>
      </c>
    </row>
    <row r="155" ht="17.6" spans="1:24">
      <c r="A155" s="7">
        <v>338</v>
      </c>
      <c r="B155" s="8" t="s">
        <v>1329</v>
      </c>
      <c r="C155" s="9">
        <v>41832</v>
      </c>
      <c r="D155" s="9">
        <v>41837</v>
      </c>
      <c r="E155" s="8" t="s">
        <v>4</v>
      </c>
      <c r="F155" s="8" t="s">
        <v>1330</v>
      </c>
      <c r="G155" s="8" t="s">
        <v>1331</v>
      </c>
      <c r="H155" s="8" t="s">
        <v>716</v>
      </c>
      <c r="I155" s="8" t="s">
        <v>708</v>
      </c>
      <c r="J155" s="8" t="s">
        <v>188</v>
      </c>
      <c r="K155" s="8" t="s">
        <v>136</v>
      </c>
      <c r="L155" s="8">
        <v>94122</v>
      </c>
      <c r="M155" s="8" t="s">
        <v>717</v>
      </c>
      <c r="N155" s="8" t="s">
        <v>1332</v>
      </c>
      <c r="O155" s="8" t="s">
        <v>9</v>
      </c>
      <c r="P155" s="8" t="s">
        <v>736</v>
      </c>
      <c r="Q155" s="8" t="s">
        <v>1333</v>
      </c>
      <c r="R155" s="15">
        <v>7.712</v>
      </c>
      <c r="S155" s="7">
        <v>2</v>
      </c>
      <c r="T155" s="16">
        <v>0.2</v>
      </c>
      <c r="U155" s="15">
        <v>2.7956</v>
      </c>
      <c r="V155" s="22">
        <v>2.7956</v>
      </c>
      <c r="W155" s="23">
        <v>6.1696</v>
      </c>
      <c r="X155" s="21" t="str" cm="1">
        <f t="array" ref="X155">IF(OR(R155:R692&lt;0,T154:T692&lt;0,C155:C693=""),"Check","OK")</f>
        <v>Check</v>
      </c>
    </row>
    <row r="156" ht="17.6" spans="1:24">
      <c r="A156" s="4">
        <v>340</v>
      </c>
      <c r="B156" s="5" t="s">
        <v>1334</v>
      </c>
      <c r="C156" s="6">
        <v>42177</v>
      </c>
      <c r="D156" s="6">
        <v>42181</v>
      </c>
      <c r="E156" s="5" t="s">
        <v>707</v>
      </c>
      <c r="F156" s="5" t="s">
        <v>440</v>
      </c>
      <c r="G156" s="5" t="s">
        <v>441</v>
      </c>
      <c r="H156" s="5" t="s">
        <v>111</v>
      </c>
      <c r="I156" s="5" t="s">
        <v>708</v>
      </c>
      <c r="J156" s="5" t="s">
        <v>442</v>
      </c>
      <c r="K156" s="5" t="s">
        <v>146</v>
      </c>
      <c r="L156" s="5">
        <v>84041</v>
      </c>
      <c r="M156" s="5" t="s">
        <v>717</v>
      </c>
      <c r="N156" s="5" t="s">
        <v>1335</v>
      </c>
      <c r="O156" s="5" t="s">
        <v>9</v>
      </c>
      <c r="P156" s="5" t="s">
        <v>824</v>
      </c>
      <c r="Q156" s="5" t="s">
        <v>1336</v>
      </c>
      <c r="R156" s="12">
        <v>4.96</v>
      </c>
      <c r="S156" s="4">
        <v>4</v>
      </c>
      <c r="T156" s="14">
        <v>0</v>
      </c>
      <c r="U156" s="12">
        <v>2.3312</v>
      </c>
      <c r="V156" s="19">
        <v>2.3312</v>
      </c>
      <c r="W156" s="20">
        <v>4.96</v>
      </c>
      <c r="X156" s="21" t="str" cm="1">
        <f t="array" ref="X156">IF(OR(R156:R693&lt;0,T155:T693&lt;0,C156:C694=""),"Check","OK")</f>
        <v>Check</v>
      </c>
    </row>
    <row r="157" ht="17.6" spans="1:24">
      <c r="A157" s="7">
        <v>341</v>
      </c>
      <c r="B157" s="8" t="s">
        <v>1337</v>
      </c>
      <c r="C157" s="9">
        <v>41742</v>
      </c>
      <c r="D157" s="9">
        <v>41746</v>
      </c>
      <c r="E157" s="8" t="s">
        <v>707</v>
      </c>
      <c r="F157" s="8" t="s">
        <v>989</v>
      </c>
      <c r="G157" s="8" t="s">
        <v>990</v>
      </c>
      <c r="H157" s="8" t="s">
        <v>716</v>
      </c>
      <c r="I157" s="8" t="s">
        <v>708</v>
      </c>
      <c r="J157" s="8" t="s">
        <v>175</v>
      </c>
      <c r="K157" s="8" t="s">
        <v>176</v>
      </c>
      <c r="L157" s="8">
        <v>19140</v>
      </c>
      <c r="M157" s="8" t="s">
        <v>759</v>
      </c>
      <c r="N157" s="8" t="s">
        <v>67</v>
      </c>
      <c r="O157" s="8" t="s">
        <v>9</v>
      </c>
      <c r="P157" s="8" t="s">
        <v>16</v>
      </c>
      <c r="Q157" s="8" t="s">
        <v>66</v>
      </c>
      <c r="R157" s="15">
        <v>17.856</v>
      </c>
      <c r="S157" s="7">
        <v>4</v>
      </c>
      <c r="T157" s="16">
        <v>0.2</v>
      </c>
      <c r="U157" s="15">
        <v>1.116</v>
      </c>
      <c r="V157" s="22">
        <v>1.116</v>
      </c>
      <c r="W157" s="23">
        <v>14.2848</v>
      </c>
      <c r="X157" s="21" t="str" cm="1">
        <f t="array" ref="X157">IF(OR(R157:R694&lt;0,T156:T694&lt;0,C157:C695=""),"Check","OK")</f>
        <v>Check</v>
      </c>
    </row>
    <row r="158" ht="17.6" spans="1:24">
      <c r="A158" s="4">
        <v>345</v>
      </c>
      <c r="B158" s="5" t="s">
        <v>1338</v>
      </c>
      <c r="C158" s="6">
        <v>42358</v>
      </c>
      <c r="D158" s="6">
        <v>42362</v>
      </c>
      <c r="E158" s="5" t="s">
        <v>4</v>
      </c>
      <c r="F158" s="5" t="s">
        <v>264</v>
      </c>
      <c r="G158" s="5" t="s">
        <v>265</v>
      </c>
      <c r="H158" s="5" t="s">
        <v>111</v>
      </c>
      <c r="I158" s="5" t="s">
        <v>708</v>
      </c>
      <c r="J158" s="5" t="s">
        <v>266</v>
      </c>
      <c r="K158" s="5" t="s">
        <v>132</v>
      </c>
      <c r="L158" s="5">
        <v>78745</v>
      </c>
      <c r="M158" s="5" t="s">
        <v>742</v>
      </c>
      <c r="N158" s="5" t="s">
        <v>751</v>
      </c>
      <c r="O158" s="5" t="s">
        <v>9</v>
      </c>
      <c r="P158" s="5" t="s">
        <v>748</v>
      </c>
      <c r="Q158" s="5" t="s">
        <v>752</v>
      </c>
      <c r="R158" s="12">
        <v>88.8</v>
      </c>
      <c r="S158" s="4">
        <v>4</v>
      </c>
      <c r="T158" s="14">
        <v>0.2</v>
      </c>
      <c r="U158" s="12">
        <v>-2.22</v>
      </c>
      <c r="V158" s="19">
        <v>2.22</v>
      </c>
      <c r="W158" s="20">
        <v>71.04</v>
      </c>
      <c r="X158" s="21" t="str" cm="1">
        <f t="array" ref="X158">IF(OR(R158:R695&lt;0,T157:T695&lt;0,C158:C696=""),"Check","OK")</f>
        <v>Check</v>
      </c>
    </row>
    <row r="159" ht="17.6" spans="1:24">
      <c r="A159" s="7">
        <v>346</v>
      </c>
      <c r="B159" s="8" t="s">
        <v>1339</v>
      </c>
      <c r="C159" s="9">
        <v>42901</v>
      </c>
      <c r="D159" s="9">
        <v>42905</v>
      </c>
      <c r="E159" s="8" t="s">
        <v>4</v>
      </c>
      <c r="F159" s="8" t="s">
        <v>228</v>
      </c>
      <c r="G159" s="8" t="s">
        <v>229</v>
      </c>
      <c r="H159" s="8" t="s">
        <v>111</v>
      </c>
      <c r="I159" s="8" t="s">
        <v>708</v>
      </c>
      <c r="J159" s="8" t="s">
        <v>188</v>
      </c>
      <c r="K159" s="8" t="s">
        <v>136</v>
      </c>
      <c r="L159" s="8">
        <v>94122</v>
      </c>
      <c r="M159" s="8" t="s">
        <v>717</v>
      </c>
      <c r="N159" s="8" t="s">
        <v>983</v>
      </c>
      <c r="O159" s="8" t="s">
        <v>10</v>
      </c>
      <c r="P159" s="8" t="s">
        <v>780</v>
      </c>
      <c r="Q159" s="8" t="s">
        <v>984</v>
      </c>
      <c r="R159" s="15">
        <v>47.976</v>
      </c>
      <c r="S159" s="7">
        <v>3</v>
      </c>
      <c r="T159" s="16">
        <v>0.2</v>
      </c>
      <c r="U159" s="15">
        <v>4.7976</v>
      </c>
      <c r="V159" s="22">
        <v>4.7976</v>
      </c>
      <c r="W159" s="23">
        <v>38.3808</v>
      </c>
      <c r="X159" s="21" t="str" cm="1">
        <f t="array" ref="X159">IF(OR(R159:R696&lt;0,T158:T696&lt;0,C159:C697=""),"Check","OK")</f>
        <v>Check</v>
      </c>
    </row>
    <row r="160" ht="17.6" spans="1:24">
      <c r="A160" s="4">
        <v>347</v>
      </c>
      <c r="B160" s="5" t="s">
        <v>1340</v>
      </c>
      <c r="C160" s="6">
        <v>42924</v>
      </c>
      <c r="D160" s="6">
        <v>42928</v>
      </c>
      <c r="E160" s="5" t="s">
        <v>4</v>
      </c>
      <c r="F160" s="5" t="s">
        <v>663</v>
      </c>
      <c r="G160" s="5" t="s">
        <v>664</v>
      </c>
      <c r="H160" s="5" t="s">
        <v>111</v>
      </c>
      <c r="I160" s="5" t="s">
        <v>708</v>
      </c>
      <c r="J160" s="5" t="s">
        <v>269</v>
      </c>
      <c r="K160" s="5" t="s">
        <v>195</v>
      </c>
      <c r="L160" s="5">
        <v>1852</v>
      </c>
      <c r="M160" s="5" t="s">
        <v>759</v>
      </c>
      <c r="N160" s="5" t="s">
        <v>33</v>
      </c>
      <c r="O160" s="5" t="s">
        <v>9</v>
      </c>
      <c r="P160" s="5" t="s">
        <v>16</v>
      </c>
      <c r="Q160" s="5" t="s">
        <v>32</v>
      </c>
      <c r="R160" s="12">
        <v>7.56</v>
      </c>
      <c r="S160" s="4">
        <v>3</v>
      </c>
      <c r="T160" s="14">
        <v>0</v>
      </c>
      <c r="U160" s="12">
        <v>3.0996</v>
      </c>
      <c r="V160" s="19">
        <v>3.0996</v>
      </c>
      <c r="W160" s="20">
        <v>7.56</v>
      </c>
      <c r="X160" s="21" t="str" cm="1">
        <f t="array" ref="X160">IF(OR(R160:R697&lt;0,T159:T697&lt;0,C160:C698=""),"Check","OK")</f>
        <v>Check</v>
      </c>
    </row>
    <row r="161" ht="17.6" spans="1:24">
      <c r="A161" s="7">
        <v>350</v>
      </c>
      <c r="B161" s="8" t="s">
        <v>1341</v>
      </c>
      <c r="C161" s="9">
        <v>42614</v>
      </c>
      <c r="D161" s="9">
        <v>42616</v>
      </c>
      <c r="E161" s="8" t="s">
        <v>13</v>
      </c>
      <c r="F161" s="8" t="s">
        <v>1342</v>
      </c>
      <c r="G161" s="8" t="s">
        <v>1343</v>
      </c>
      <c r="H161" s="8" t="s">
        <v>741</v>
      </c>
      <c r="I161" s="8" t="s">
        <v>708</v>
      </c>
      <c r="J161" s="8" t="s">
        <v>204</v>
      </c>
      <c r="K161" s="8" t="s">
        <v>168</v>
      </c>
      <c r="L161" s="8">
        <v>10009</v>
      </c>
      <c r="M161" s="8" t="s">
        <v>759</v>
      </c>
      <c r="N161" s="8" t="s">
        <v>1183</v>
      </c>
      <c r="O161" s="8" t="s">
        <v>10</v>
      </c>
      <c r="P161" s="8" t="s">
        <v>809</v>
      </c>
      <c r="Q161" s="8" t="s">
        <v>1184</v>
      </c>
      <c r="R161" s="15">
        <v>6.79</v>
      </c>
      <c r="S161" s="7">
        <v>1</v>
      </c>
      <c r="T161" s="16">
        <v>0</v>
      </c>
      <c r="U161" s="15">
        <v>2.3086</v>
      </c>
      <c r="V161" s="22">
        <v>2.3086</v>
      </c>
      <c r="W161" s="23">
        <v>6.79</v>
      </c>
      <c r="X161" s="21" t="str" cm="1">
        <f t="array" ref="X161">IF(OR(R161:R698&lt;0,T160:T698&lt;0,C161:C699=""),"Check","OK")</f>
        <v>Check</v>
      </c>
    </row>
    <row r="162" ht="17.6" spans="1:24">
      <c r="A162" s="4">
        <v>355</v>
      </c>
      <c r="B162" s="5" t="s">
        <v>1344</v>
      </c>
      <c r="C162" s="6">
        <v>42468</v>
      </c>
      <c r="D162" s="6">
        <v>42473</v>
      </c>
      <c r="E162" s="5" t="s">
        <v>4</v>
      </c>
      <c r="F162" s="5" t="s">
        <v>409</v>
      </c>
      <c r="G162" s="5" t="s">
        <v>410</v>
      </c>
      <c r="H162" s="5" t="s">
        <v>111</v>
      </c>
      <c r="I162" s="5" t="s">
        <v>708</v>
      </c>
      <c r="J162" s="5" t="s">
        <v>204</v>
      </c>
      <c r="K162" s="5" t="s">
        <v>168</v>
      </c>
      <c r="L162" s="5">
        <v>10035</v>
      </c>
      <c r="M162" s="5" t="s">
        <v>759</v>
      </c>
      <c r="N162" s="5" t="s">
        <v>1345</v>
      </c>
      <c r="O162" s="5" t="s">
        <v>8</v>
      </c>
      <c r="P162" s="5" t="s">
        <v>711</v>
      </c>
      <c r="Q162" s="5" t="s">
        <v>1346</v>
      </c>
      <c r="R162" s="12">
        <v>388.704</v>
      </c>
      <c r="S162" s="4">
        <v>6</v>
      </c>
      <c r="T162" s="14">
        <v>0.2</v>
      </c>
      <c r="U162" s="12">
        <v>-4.8588</v>
      </c>
      <c r="V162" s="19">
        <v>4.8588</v>
      </c>
      <c r="W162" s="20">
        <v>310.9632</v>
      </c>
      <c r="X162" s="21" t="str" cm="1">
        <f t="array" ref="X162">IF(OR(R162:R699&lt;0,T161:T699&lt;0,C162:C700=""),"Check","OK")</f>
        <v>Check</v>
      </c>
    </row>
    <row r="163" ht="17.6" spans="1:24">
      <c r="A163" s="7">
        <v>359</v>
      </c>
      <c r="B163" s="8" t="s">
        <v>1347</v>
      </c>
      <c r="C163" s="9">
        <v>42483</v>
      </c>
      <c r="D163" s="9">
        <v>42488</v>
      </c>
      <c r="E163" s="8" t="s">
        <v>4</v>
      </c>
      <c r="F163" s="8" t="s">
        <v>1117</v>
      </c>
      <c r="G163" s="8" t="s">
        <v>1118</v>
      </c>
      <c r="H163" s="8" t="s">
        <v>716</v>
      </c>
      <c r="I163" s="8" t="s">
        <v>708</v>
      </c>
      <c r="J163" s="8" t="s">
        <v>334</v>
      </c>
      <c r="K163" s="8" t="s">
        <v>128</v>
      </c>
      <c r="L163" s="8">
        <v>28205</v>
      </c>
      <c r="M163" s="8" t="s">
        <v>709</v>
      </c>
      <c r="N163" s="8" t="s">
        <v>1108</v>
      </c>
      <c r="O163" s="8" t="s">
        <v>9</v>
      </c>
      <c r="P163" s="8" t="s">
        <v>731</v>
      </c>
      <c r="Q163" s="8" t="s">
        <v>1109</v>
      </c>
      <c r="R163" s="15">
        <v>36.24</v>
      </c>
      <c r="S163" s="7">
        <v>5</v>
      </c>
      <c r="T163" s="16">
        <v>0.2</v>
      </c>
      <c r="U163" s="15">
        <v>11.325</v>
      </c>
      <c r="V163" s="22">
        <v>11.325</v>
      </c>
      <c r="W163" s="23">
        <v>28.992</v>
      </c>
      <c r="X163" s="21" t="str" cm="1">
        <f t="array" ref="X163">IF(OR(R163:R700&lt;0,T162:T700&lt;0,C163:C701=""),"Check","OK")</f>
        <v>Check</v>
      </c>
    </row>
    <row r="164" ht="17.6" spans="1:24">
      <c r="A164" s="4">
        <v>360</v>
      </c>
      <c r="B164" s="5" t="s">
        <v>1348</v>
      </c>
      <c r="C164" s="6">
        <v>42802</v>
      </c>
      <c r="D164" s="6">
        <v>42805</v>
      </c>
      <c r="E164" s="5" t="s">
        <v>13</v>
      </c>
      <c r="F164" s="5" t="s">
        <v>1349</v>
      </c>
      <c r="G164" s="5" t="s">
        <v>1350</v>
      </c>
      <c r="H164" s="5" t="s">
        <v>716</v>
      </c>
      <c r="I164" s="5" t="s">
        <v>708</v>
      </c>
      <c r="J164" s="5" t="s">
        <v>211</v>
      </c>
      <c r="K164" s="5" t="s">
        <v>257</v>
      </c>
      <c r="L164" s="5">
        <v>31907</v>
      </c>
      <c r="M164" s="5" t="s">
        <v>709</v>
      </c>
      <c r="N164" s="5" t="s">
        <v>1351</v>
      </c>
      <c r="O164" s="5" t="s">
        <v>9</v>
      </c>
      <c r="P164" s="5" t="s">
        <v>744</v>
      </c>
      <c r="Q164" s="5" t="s">
        <v>1352</v>
      </c>
      <c r="R164" s="12">
        <v>647.84</v>
      </c>
      <c r="S164" s="4">
        <v>8</v>
      </c>
      <c r="T164" s="14">
        <v>0</v>
      </c>
      <c r="U164" s="12">
        <v>168.4384</v>
      </c>
      <c r="V164" s="19">
        <v>168.4384</v>
      </c>
      <c r="W164" s="20">
        <v>647.84</v>
      </c>
      <c r="X164" s="21" t="str" cm="1">
        <f t="array" ref="X164">IF(OR(R164:R701&lt;0,T163:T701&lt;0,C164:C702=""),"Check","OK")</f>
        <v>Check</v>
      </c>
    </row>
    <row r="165" ht="17.6" spans="1:24">
      <c r="A165" s="7">
        <v>362</v>
      </c>
      <c r="B165" s="8" t="s">
        <v>1353</v>
      </c>
      <c r="C165" s="9">
        <v>43003</v>
      </c>
      <c r="D165" s="9">
        <v>43009</v>
      </c>
      <c r="E165" s="8" t="s">
        <v>4</v>
      </c>
      <c r="F165" s="8" t="s">
        <v>448</v>
      </c>
      <c r="G165" s="8" t="s">
        <v>449</v>
      </c>
      <c r="H165" s="8" t="s">
        <v>111</v>
      </c>
      <c r="I165" s="8" t="s">
        <v>708</v>
      </c>
      <c r="J165" s="8" t="s">
        <v>204</v>
      </c>
      <c r="K165" s="8" t="s">
        <v>168</v>
      </c>
      <c r="L165" s="8">
        <v>10009</v>
      </c>
      <c r="M165" s="8" t="s">
        <v>759</v>
      </c>
      <c r="N165" s="8" t="s">
        <v>1354</v>
      </c>
      <c r="O165" s="8" t="s">
        <v>9</v>
      </c>
      <c r="P165" s="8" t="s">
        <v>719</v>
      </c>
      <c r="Q165" s="8" t="s">
        <v>1355</v>
      </c>
      <c r="R165" s="15">
        <v>20.7</v>
      </c>
      <c r="S165" s="7">
        <v>2</v>
      </c>
      <c r="T165" s="16">
        <v>0</v>
      </c>
      <c r="U165" s="15">
        <v>9.936</v>
      </c>
      <c r="V165" s="22">
        <v>9.936</v>
      </c>
      <c r="W165" s="23">
        <v>20.7</v>
      </c>
      <c r="X165" s="21" t="str" cm="1">
        <f t="array" ref="X165">IF(OR(R165:R702&lt;0,T164:T702&lt;0,C165:C703=""),"Check","OK")</f>
        <v>Check</v>
      </c>
    </row>
    <row r="166" ht="17.6" spans="1:24">
      <c r="A166" s="4">
        <v>366</v>
      </c>
      <c r="B166" s="5" t="s">
        <v>1356</v>
      </c>
      <c r="C166" s="6">
        <v>41906</v>
      </c>
      <c r="D166" s="6">
        <v>41911</v>
      </c>
      <c r="E166" s="5" t="s">
        <v>4</v>
      </c>
      <c r="F166" s="5" t="s">
        <v>371</v>
      </c>
      <c r="G166" s="5" t="s">
        <v>372</v>
      </c>
      <c r="H166" s="5" t="s">
        <v>111</v>
      </c>
      <c r="I166" s="5" t="s">
        <v>708</v>
      </c>
      <c r="J166" s="5" t="s">
        <v>188</v>
      </c>
      <c r="K166" s="5" t="s">
        <v>136</v>
      </c>
      <c r="L166" s="5">
        <v>94109</v>
      </c>
      <c r="M166" s="5" t="s">
        <v>717</v>
      </c>
      <c r="N166" s="5" t="s">
        <v>812</v>
      </c>
      <c r="O166" s="5" t="s">
        <v>9</v>
      </c>
      <c r="P166" s="5" t="s">
        <v>748</v>
      </c>
      <c r="Q166" s="5" t="s">
        <v>813</v>
      </c>
      <c r="R166" s="12">
        <v>211.96</v>
      </c>
      <c r="S166" s="4">
        <v>4</v>
      </c>
      <c r="T166" s="14">
        <v>0</v>
      </c>
      <c r="U166" s="12">
        <v>8.4784</v>
      </c>
      <c r="V166" s="19">
        <v>8.4784</v>
      </c>
      <c r="W166" s="20">
        <v>211.96</v>
      </c>
      <c r="X166" s="21" t="str" cm="1">
        <f t="array" ref="X166">IF(OR(R166:R703&lt;0,T165:T703&lt;0,C166:C704=""),"Check","OK")</f>
        <v>Check</v>
      </c>
    </row>
    <row r="167" ht="17.6" spans="1:24">
      <c r="A167" s="7">
        <v>367</v>
      </c>
      <c r="B167" s="8" t="s">
        <v>1357</v>
      </c>
      <c r="C167" s="9">
        <v>42664</v>
      </c>
      <c r="D167" s="9">
        <v>42664</v>
      </c>
      <c r="E167" s="8" t="s">
        <v>1358</v>
      </c>
      <c r="F167" s="8" t="s">
        <v>1359</v>
      </c>
      <c r="G167" s="8" t="s">
        <v>1360</v>
      </c>
      <c r="H167" s="8" t="s">
        <v>716</v>
      </c>
      <c r="I167" s="8" t="s">
        <v>708</v>
      </c>
      <c r="J167" s="8" t="s">
        <v>1361</v>
      </c>
      <c r="K167" s="8" t="s">
        <v>638</v>
      </c>
      <c r="L167" s="8">
        <v>6040</v>
      </c>
      <c r="M167" s="8" t="s">
        <v>759</v>
      </c>
      <c r="N167" s="8" t="s">
        <v>1362</v>
      </c>
      <c r="O167" s="8" t="s">
        <v>9</v>
      </c>
      <c r="P167" s="8" t="s">
        <v>736</v>
      </c>
      <c r="Q167" s="8" t="s">
        <v>1363</v>
      </c>
      <c r="R167" s="15">
        <v>23.2</v>
      </c>
      <c r="S167" s="7">
        <v>4</v>
      </c>
      <c r="T167" s="16">
        <v>0</v>
      </c>
      <c r="U167" s="15">
        <v>10.44</v>
      </c>
      <c r="V167" s="22">
        <v>10.44</v>
      </c>
      <c r="W167" s="23">
        <v>23.2</v>
      </c>
      <c r="X167" s="21" t="str" cm="1">
        <f t="array" ref="X167">IF(OR(R167:R704&lt;0,T166:T704&lt;0,C167:C705=""),"Check","OK")</f>
        <v>Check</v>
      </c>
    </row>
    <row r="168" ht="17.6" spans="1:24">
      <c r="A168" s="4">
        <v>371</v>
      </c>
      <c r="B168" s="5" t="s">
        <v>1364</v>
      </c>
      <c r="C168" s="6">
        <v>42884</v>
      </c>
      <c r="D168" s="6">
        <v>42890</v>
      </c>
      <c r="E168" s="5" t="s">
        <v>4</v>
      </c>
      <c r="F168" s="5" t="s">
        <v>345</v>
      </c>
      <c r="G168" s="5" t="s">
        <v>346</v>
      </c>
      <c r="H168" s="5" t="s">
        <v>111</v>
      </c>
      <c r="I168" s="5" t="s">
        <v>708</v>
      </c>
      <c r="J168" s="5" t="s">
        <v>347</v>
      </c>
      <c r="K168" s="5" t="s">
        <v>132</v>
      </c>
      <c r="L168" s="5">
        <v>78550</v>
      </c>
      <c r="M168" s="5" t="s">
        <v>742</v>
      </c>
      <c r="N168" s="5" t="s">
        <v>1365</v>
      </c>
      <c r="O168" s="5" t="s">
        <v>9</v>
      </c>
      <c r="P168" s="5" t="s">
        <v>731</v>
      </c>
      <c r="Q168" s="5" t="s">
        <v>1366</v>
      </c>
      <c r="R168" s="12">
        <v>25.92</v>
      </c>
      <c r="S168" s="4">
        <v>5</v>
      </c>
      <c r="T168" s="14">
        <v>0.2</v>
      </c>
      <c r="U168" s="12">
        <v>9.396</v>
      </c>
      <c r="V168" s="19">
        <v>9.396</v>
      </c>
      <c r="W168" s="20">
        <v>20.736</v>
      </c>
      <c r="X168" s="21" t="str" cm="1">
        <f t="array" ref="X168">IF(OR(R168:R705&lt;0,T167:T705&lt;0,C168:C706=""),"Check","OK")</f>
        <v>Check</v>
      </c>
    </row>
    <row r="169" ht="17.6" spans="1:24">
      <c r="A169" s="7">
        <v>373</v>
      </c>
      <c r="B169" s="8" t="s">
        <v>1367</v>
      </c>
      <c r="C169" s="9">
        <v>41843</v>
      </c>
      <c r="D169" s="9">
        <v>41847</v>
      </c>
      <c r="E169" s="8" t="s">
        <v>4</v>
      </c>
      <c r="F169" s="8" t="s">
        <v>152</v>
      </c>
      <c r="G169" s="8" t="s">
        <v>153</v>
      </c>
      <c r="H169" s="8" t="s">
        <v>111</v>
      </c>
      <c r="I169" s="8" t="s">
        <v>708</v>
      </c>
      <c r="J169" s="8" t="s">
        <v>156</v>
      </c>
      <c r="K169" s="8" t="s">
        <v>122</v>
      </c>
      <c r="L169" s="8">
        <v>85705</v>
      </c>
      <c r="M169" s="8" t="s">
        <v>717</v>
      </c>
      <c r="N169" s="8" t="s">
        <v>1368</v>
      </c>
      <c r="O169" s="8" t="s">
        <v>9</v>
      </c>
      <c r="P169" s="8" t="s">
        <v>736</v>
      </c>
      <c r="Q169" s="8" t="s">
        <v>1369</v>
      </c>
      <c r="R169" s="15">
        <v>8.16</v>
      </c>
      <c r="S169" s="7">
        <v>5</v>
      </c>
      <c r="T169" s="16">
        <v>0.7</v>
      </c>
      <c r="U169" s="15">
        <v>-5.712</v>
      </c>
      <c r="V169" s="22">
        <v>5.712</v>
      </c>
      <c r="W169" s="23">
        <v>2.448</v>
      </c>
      <c r="X169" s="21" t="str" cm="1">
        <f t="array" ref="X169">IF(OR(R169:R706&lt;0,T168:T706&lt;0,C169:C707=""),"Check","OK")</f>
        <v>Check</v>
      </c>
    </row>
    <row r="170" ht="17.6" spans="1:24">
      <c r="A170" s="4">
        <v>377</v>
      </c>
      <c r="B170" s="5" t="s">
        <v>1370</v>
      </c>
      <c r="C170" s="6">
        <v>42641</v>
      </c>
      <c r="D170" s="6">
        <v>42644</v>
      </c>
      <c r="E170" s="5" t="s">
        <v>13</v>
      </c>
      <c r="F170" s="5" t="s">
        <v>1371</v>
      </c>
      <c r="G170" s="5" t="s">
        <v>1372</v>
      </c>
      <c r="H170" s="5" t="s">
        <v>716</v>
      </c>
      <c r="I170" s="5" t="s">
        <v>708</v>
      </c>
      <c r="J170" s="5" t="s">
        <v>666</v>
      </c>
      <c r="K170" s="5" t="s">
        <v>183</v>
      </c>
      <c r="L170" s="5">
        <v>62301</v>
      </c>
      <c r="M170" s="5" t="s">
        <v>742</v>
      </c>
      <c r="N170" s="5" t="s">
        <v>1373</v>
      </c>
      <c r="O170" s="5" t="s">
        <v>9</v>
      </c>
      <c r="P170" s="5" t="s">
        <v>731</v>
      </c>
      <c r="Q170" s="5" t="s">
        <v>1374</v>
      </c>
      <c r="R170" s="12">
        <v>99.136</v>
      </c>
      <c r="S170" s="4">
        <v>4</v>
      </c>
      <c r="T170" s="14">
        <v>0.2</v>
      </c>
      <c r="U170" s="12">
        <v>30.98</v>
      </c>
      <c r="V170" s="19">
        <v>30.98</v>
      </c>
      <c r="W170" s="20">
        <v>79.3088</v>
      </c>
      <c r="X170" s="21" t="str" cm="1">
        <f t="array" ref="X170">IF(OR(R170:R707&lt;0,T169:T707&lt;0,C170:C708=""),"Check","OK")</f>
        <v>Check</v>
      </c>
    </row>
    <row r="171" ht="17.6" spans="1:24">
      <c r="A171" s="7">
        <v>378</v>
      </c>
      <c r="B171" s="8" t="s">
        <v>1375</v>
      </c>
      <c r="C171" s="9">
        <v>42974</v>
      </c>
      <c r="D171" s="9">
        <v>42979</v>
      </c>
      <c r="E171" s="8" t="s">
        <v>4</v>
      </c>
      <c r="F171" s="8" t="s">
        <v>1376</v>
      </c>
      <c r="G171" s="8" t="s">
        <v>1377</v>
      </c>
      <c r="H171" s="8" t="s">
        <v>716</v>
      </c>
      <c r="I171" s="8" t="s">
        <v>708</v>
      </c>
      <c r="J171" s="8" t="s">
        <v>1008</v>
      </c>
      <c r="K171" s="8" t="s">
        <v>195</v>
      </c>
      <c r="L171" s="8">
        <v>2038</v>
      </c>
      <c r="M171" s="8" t="s">
        <v>759</v>
      </c>
      <c r="N171" s="8" t="s">
        <v>1378</v>
      </c>
      <c r="O171" s="8" t="s">
        <v>8</v>
      </c>
      <c r="P171" s="8" t="s">
        <v>723</v>
      </c>
      <c r="Q171" s="8" t="s">
        <v>1379</v>
      </c>
      <c r="R171" s="15">
        <v>1488.424</v>
      </c>
      <c r="S171" s="7">
        <v>7</v>
      </c>
      <c r="T171" s="16">
        <v>0.3</v>
      </c>
      <c r="U171" s="15">
        <v>-297.6848</v>
      </c>
      <c r="V171" s="22">
        <v>297.6848</v>
      </c>
      <c r="W171" s="23">
        <v>1041.8968</v>
      </c>
      <c r="X171" s="21" t="str" cm="1">
        <f t="array" ref="X171">IF(OR(R171:R708&lt;0,T170:T708&lt;0,C171:C709=""),"Check","OK")</f>
        <v>Check</v>
      </c>
    </row>
    <row r="172" ht="17.6" spans="1:24">
      <c r="A172" s="4">
        <v>379</v>
      </c>
      <c r="B172" s="5" t="s">
        <v>1380</v>
      </c>
      <c r="C172" s="6">
        <v>42122</v>
      </c>
      <c r="D172" s="6">
        <v>42129</v>
      </c>
      <c r="E172" s="5" t="s">
        <v>4</v>
      </c>
      <c r="F172" s="5" t="s">
        <v>568</v>
      </c>
      <c r="G172" s="5" t="s">
        <v>569</v>
      </c>
      <c r="H172" s="5" t="s">
        <v>111</v>
      </c>
      <c r="I172" s="5" t="s">
        <v>708</v>
      </c>
      <c r="J172" s="5" t="s">
        <v>131</v>
      </c>
      <c r="K172" s="5" t="s">
        <v>132</v>
      </c>
      <c r="L172" s="5">
        <v>77095</v>
      </c>
      <c r="M172" s="5" t="s">
        <v>742</v>
      </c>
      <c r="N172" s="5" t="s">
        <v>1381</v>
      </c>
      <c r="O172" s="5" t="s">
        <v>9</v>
      </c>
      <c r="P172" s="5" t="s">
        <v>744</v>
      </c>
      <c r="Q172" s="5" t="s">
        <v>1382</v>
      </c>
      <c r="R172" s="12">
        <v>8.652</v>
      </c>
      <c r="S172" s="4">
        <v>3</v>
      </c>
      <c r="T172" s="14">
        <v>0.8</v>
      </c>
      <c r="U172" s="12">
        <v>-20.3322</v>
      </c>
      <c r="V172" s="19">
        <v>20.3322</v>
      </c>
      <c r="W172" s="20">
        <v>1.7304</v>
      </c>
      <c r="X172" s="21" t="str" cm="1">
        <f t="array" ref="X172">IF(OR(R172:R709&lt;0,T171:T709&lt;0,C172:C710=""),"Check","OK")</f>
        <v>Check</v>
      </c>
    </row>
    <row r="173" ht="17.6" spans="1:24">
      <c r="A173" s="7">
        <v>382</v>
      </c>
      <c r="B173" s="8" t="s">
        <v>1383</v>
      </c>
      <c r="C173" s="9">
        <v>42671</v>
      </c>
      <c r="D173" s="9">
        <v>42672</v>
      </c>
      <c r="E173" s="8" t="s">
        <v>13</v>
      </c>
      <c r="F173" s="8" t="s">
        <v>1384</v>
      </c>
      <c r="G173" s="8" t="s">
        <v>1385</v>
      </c>
      <c r="H173" s="8" t="s">
        <v>716</v>
      </c>
      <c r="I173" s="8" t="s">
        <v>708</v>
      </c>
      <c r="J173" s="8" t="s">
        <v>188</v>
      </c>
      <c r="K173" s="8" t="s">
        <v>136</v>
      </c>
      <c r="L173" s="8">
        <v>94109</v>
      </c>
      <c r="M173" s="8" t="s">
        <v>717</v>
      </c>
      <c r="N173" s="8" t="s">
        <v>1386</v>
      </c>
      <c r="O173" s="8" t="s">
        <v>9</v>
      </c>
      <c r="P173" s="8" t="s">
        <v>731</v>
      </c>
      <c r="Q173" s="8" t="s">
        <v>1387</v>
      </c>
      <c r="R173" s="15">
        <v>50.96</v>
      </c>
      <c r="S173" s="7">
        <v>7</v>
      </c>
      <c r="T173" s="16">
        <v>0</v>
      </c>
      <c r="U173" s="15">
        <v>25.48</v>
      </c>
      <c r="V173" s="22">
        <v>25.48</v>
      </c>
      <c r="W173" s="23">
        <v>50.96</v>
      </c>
      <c r="X173" s="21" t="str" cm="1">
        <f t="array" ref="X173">IF(OR(R173:R710&lt;0,T172:T710&lt;0,C173:C711=""),"Check","OK")</f>
        <v>Check</v>
      </c>
    </row>
    <row r="174" ht="17.6" spans="1:24">
      <c r="A174" s="4">
        <v>384</v>
      </c>
      <c r="B174" s="5" t="s">
        <v>1388</v>
      </c>
      <c r="C174" s="6">
        <v>42181</v>
      </c>
      <c r="D174" s="6">
        <v>42184</v>
      </c>
      <c r="E174" s="5" t="s">
        <v>707</v>
      </c>
      <c r="F174" s="5" t="s">
        <v>1389</v>
      </c>
      <c r="G174" s="5" t="s">
        <v>1390</v>
      </c>
      <c r="H174" s="5" t="s">
        <v>716</v>
      </c>
      <c r="I174" s="5" t="s">
        <v>708</v>
      </c>
      <c r="J174" s="5" t="s">
        <v>1270</v>
      </c>
      <c r="K174" s="5" t="s">
        <v>163</v>
      </c>
      <c r="L174" s="5">
        <v>48180</v>
      </c>
      <c r="M174" s="5" t="s">
        <v>742</v>
      </c>
      <c r="N174" s="5" t="s">
        <v>1391</v>
      </c>
      <c r="O174" s="5" t="s">
        <v>10</v>
      </c>
      <c r="P174" s="5" t="s">
        <v>809</v>
      </c>
      <c r="Q174" s="5" t="s">
        <v>1392</v>
      </c>
      <c r="R174" s="12">
        <v>41.9</v>
      </c>
      <c r="S174" s="4">
        <v>2</v>
      </c>
      <c r="T174" s="14">
        <v>0</v>
      </c>
      <c r="U174" s="12">
        <v>8.799</v>
      </c>
      <c r="V174" s="19">
        <v>8.799</v>
      </c>
      <c r="W174" s="20">
        <v>41.9</v>
      </c>
      <c r="X174" s="21" t="str" cm="1">
        <f t="array" ref="X174">IF(OR(R174:R711&lt;0,T173:T711&lt;0,C174:C712=""),"Check","OK")</f>
        <v>Check</v>
      </c>
    </row>
    <row r="175" ht="17.6" spans="1:24">
      <c r="A175" s="7">
        <v>385</v>
      </c>
      <c r="B175" s="8" t="s">
        <v>1393</v>
      </c>
      <c r="C175" s="9">
        <v>42335</v>
      </c>
      <c r="D175" s="9">
        <v>42340</v>
      </c>
      <c r="E175" s="8" t="s">
        <v>4</v>
      </c>
      <c r="F175" s="8" t="s">
        <v>298</v>
      </c>
      <c r="G175" s="8" t="s">
        <v>299</v>
      </c>
      <c r="H175" s="8" t="s">
        <v>111</v>
      </c>
      <c r="I175" s="8" t="s">
        <v>708</v>
      </c>
      <c r="J175" s="8" t="s">
        <v>300</v>
      </c>
      <c r="K175" s="8" t="s">
        <v>172</v>
      </c>
      <c r="L175" s="8">
        <v>33024</v>
      </c>
      <c r="M175" s="8" t="s">
        <v>709</v>
      </c>
      <c r="N175" s="8" t="s">
        <v>1394</v>
      </c>
      <c r="O175" s="8" t="s">
        <v>8</v>
      </c>
      <c r="P175" s="8" t="s">
        <v>723</v>
      </c>
      <c r="Q175" s="8" t="s">
        <v>1395</v>
      </c>
      <c r="R175" s="15">
        <v>375.4575</v>
      </c>
      <c r="S175" s="7">
        <v>3</v>
      </c>
      <c r="T175" s="16">
        <v>0.45</v>
      </c>
      <c r="U175" s="15">
        <v>-157.0095</v>
      </c>
      <c r="V175" s="22">
        <v>157.0095</v>
      </c>
      <c r="W175" s="23">
        <v>206.501625</v>
      </c>
      <c r="X175" s="21" t="str" cm="1">
        <f t="array" ref="X175">IF(OR(R175:R712&lt;0,T174:T712&lt;0,C175:C713=""),"Check","OK")</f>
        <v>Check</v>
      </c>
    </row>
    <row r="176" ht="17.6" spans="1:24">
      <c r="A176" s="4">
        <v>387</v>
      </c>
      <c r="B176" s="5" t="s">
        <v>1396</v>
      </c>
      <c r="C176" s="6">
        <v>42341</v>
      </c>
      <c r="D176" s="6">
        <v>42345</v>
      </c>
      <c r="E176" s="5" t="s">
        <v>4</v>
      </c>
      <c r="F176" s="5" t="s">
        <v>1397</v>
      </c>
      <c r="G176" s="5" t="s">
        <v>1398</v>
      </c>
      <c r="H176" s="5" t="s">
        <v>716</v>
      </c>
      <c r="I176" s="5" t="s">
        <v>708</v>
      </c>
      <c r="J176" s="5" t="s">
        <v>175</v>
      </c>
      <c r="K176" s="5" t="s">
        <v>176</v>
      </c>
      <c r="L176" s="5">
        <v>19140</v>
      </c>
      <c r="M176" s="5" t="s">
        <v>759</v>
      </c>
      <c r="N176" s="5" t="s">
        <v>1399</v>
      </c>
      <c r="O176" s="5" t="s">
        <v>10</v>
      </c>
      <c r="P176" s="5" t="s">
        <v>1194</v>
      </c>
      <c r="Q176" s="5" t="s">
        <v>1400</v>
      </c>
      <c r="R176" s="12">
        <v>482.34</v>
      </c>
      <c r="S176" s="4">
        <v>4</v>
      </c>
      <c r="T176" s="14">
        <v>0.7</v>
      </c>
      <c r="U176" s="12">
        <v>-337.638</v>
      </c>
      <c r="V176" s="19">
        <v>337.638</v>
      </c>
      <c r="W176" s="20">
        <v>144.702</v>
      </c>
      <c r="X176" s="21" t="str" cm="1">
        <f t="array" ref="X176">IF(OR(R176:R713&lt;0,T175:T713&lt;0,C176:C714=""),"Check","OK")</f>
        <v>Check</v>
      </c>
    </row>
    <row r="177" ht="17.6" spans="1:24">
      <c r="A177" s="7">
        <v>389</v>
      </c>
      <c r="B177" s="8" t="s">
        <v>1401</v>
      </c>
      <c r="C177" s="9">
        <v>41967</v>
      </c>
      <c r="D177" s="9">
        <v>41969</v>
      </c>
      <c r="E177" s="8" t="s">
        <v>13</v>
      </c>
      <c r="F177" s="8" t="s">
        <v>522</v>
      </c>
      <c r="G177" s="8" t="s">
        <v>523</v>
      </c>
      <c r="H177" s="8" t="s">
        <v>111</v>
      </c>
      <c r="I177" s="8" t="s">
        <v>708</v>
      </c>
      <c r="J177" s="8" t="s">
        <v>149</v>
      </c>
      <c r="K177" s="8" t="s">
        <v>138</v>
      </c>
      <c r="L177" s="8">
        <v>45231</v>
      </c>
      <c r="M177" s="8" t="s">
        <v>759</v>
      </c>
      <c r="N177" s="8" t="s">
        <v>43</v>
      </c>
      <c r="O177" s="8" t="s">
        <v>9</v>
      </c>
      <c r="P177" s="8" t="s">
        <v>16</v>
      </c>
      <c r="Q177" s="8" t="s">
        <v>42</v>
      </c>
      <c r="R177" s="15">
        <v>2.624</v>
      </c>
      <c r="S177" s="7">
        <v>1</v>
      </c>
      <c r="T177" s="16">
        <v>0.2</v>
      </c>
      <c r="U177" s="15">
        <v>0.4264</v>
      </c>
      <c r="V177" s="22">
        <v>0.4264</v>
      </c>
      <c r="W177" s="23">
        <v>2.0992</v>
      </c>
      <c r="X177" s="21" t="str" cm="1">
        <f t="array" ref="X177">IF(OR(R177:R714&lt;0,T176:T714&lt;0,C177:C715=""),"Check","OK")</f>
        <v>Check</v>
      </c>
    </row>
    <row r="178" ht="17.6" spans="1:24">
      <c r="A178" s="4">
        <v>390</v>
      </c>
      <c r="B178" s="5" t="s">
        <v>1402</v>
      </c>
      <c r="C178" s="6">
        <v>43080</v>
      </c>
      <c r="D178" s="6">
        <v>43084</v>
      </c>
      <c r="E178" s="5" t="s">
        <v>4</v>
      </c>
      <c r="F178" s="5" t="s">
        <v>517</v>
      </c>
      <c r="G178" s="5" t="s">
        <v>518</v>
      </c>
      <c r="H178" s="5" t="s">
        <v>111</v>
      </c>
      <c r="I178" s="5" t="s">
        <v>708</v>
      </c>
      <c r="J178" s="5" t="s">
        <v>204</v>
      </c>
      <c r="K178" s="5" t="s">
        <v>168</v>
      </c>
      <c r="L178" s="5">
        <v>10009</v>
      </c>
      <c r="M178" s="5" t="s">
        <v>759</v>
      </c>
      <c r="N178" s="5" t="s">
        <v>1403</v>
      </c>
      <c r="O178" s="5" t="s">
        <v>9</v>
      </c>
      <c r="P178" s="5" t="s">
        <v>736</v>
      </c>
      <c r="Q178" s="5" t="s">
        <v>1404</v>
      </c>
      <c r="R178" s="12">
        <v>23.36</v>
      </c>
      <c r="S178" s="4">
        <v>4</v>
      </c>
      <c r="T178" s="14">
        <v>0.2</v>
      </c>
      <c r="U178" s="12">
        <v>7.884</v>
      </c>
      <c r="V178" s="19">
        <v>7.884</v>
      </c>
      <c r="W178" s="20">
        <v>18.688</v>
      </c>
      <c r="X178" s="21" t="str" cm="1">
        <f t="array" ref="X178">IF(OR(R178:R715&lt;0,T177:T715&lt;0,C178:C716=""),"Check","OK")</f>
        <v>Check</v>
      </c>
    </row>
    <row r="179" ht="17.6" spans="1:24">
      <c r="A179" s="7">
        <v>392</v>
      </c>
      <c r="B179" s="8" t="s">
        <v>1405</v>
      </c>
      <c r="C179" s="9">
        <v>41903</v>
      </c>
      <c r="D179" s="9">
        <v>41905</v>
      </c>
      <c r="E179" s="8" t="s">
        <v>707</v>
      </c>
      <c r="F179" s="8" t="s">
        <v>389</v>
      </c>
      <c r="G179" s="8" t="s">
        <v>390</v>
      </c>
      <c r="H179" s="8" t="s">
        <v>111</v>
      </c>
      <c r="I179" s="8" t="s">
        <v>708</v>
      </c>
      <c r="J179" s="8" t="s">
        <v>391</v>
      </c>
      <c r="K179" s="8" t="s">
        <v>185</v>
      </c>
      <c r="L179" s="8">
        <v>98198</v>
      </c>
      <c r="M179" s="8" t="s">
        <v>717</v>
      </c>
      <c r="N179" s="8" t="s">
        <v>1406</v>
      </c>
      <c r="O179" s="8" t="s">
        <v>10</v>
      </c>
      <c r="P179" s="8" t="s">
        <v>780</v>
      </c>
      <c r="Q179" s="8" t="s">
        <v>1407</v>
      </c>
      <c r="R179" s="15">
        <v>246.384</v>
      </c>
      <c r="S179" s="7">
        <v>2</v>
      </c>
      <c r="T179" s="16">
        <v>0.2</v>
      </c>
      <c r="U179" s="15">
        <v>27.7182</v>
      </c>
      <c r="V179" s="22">
        <v>27.7182</v>
      </c>
      <c r="W179" s="23">
        <v>197.1072</v>
      </c>
      <c r="X179" s="21" t="str" cm="1">
        <f t="array" ref="X179">IF(OR(R179:R716&lt;0,T178:T716&lt;0,C179:C717=""),"Check","OK")</f>
        <v>Check</v>
      </c>
    </row>
    <row r="180" ht="17.6" spans="1:24">
      <c r="A180" s="4">
        <v>394</v>
      </c>
      <c r="B180" s="5" t="s">
        <v>1408</v>
      </c>
      <c r="C180" s="6">
        <v>41797</v>
      </c>
      <c r="D180" s="6">
        <v>41800</v>
      </c>
      <c r="E180" s="5" t="s">
        <v>707</v>
      </c>
      <c r="F180" s="5" t="s">
        <v>1409</v>
      </c>
      <c r="G180" s="5" t="s">
        <v>1410</v>
      </c>
      <c r="H180" s="5" t="s">
        <v>716</v>
      </c>
      <c r="I180" s="5" t="s">
        <v>708</v>
      </c>
      <c r="J180" s="5" t="s">
        <v>1411</v>
      </c>
      <c r="K180" s="5" t="s">
        <v>183</v>
      </c>
      <c r="L180" s="5">
        <v>61604</v>
      </c>
      <c r="M180" s="5" t="s">
        <v>742</v>
      </c>
      <c r="N180" s="5" t="s">
        <v>1412</v>
      </c>
      <c r="O180" s="5" t="s">
        <v>9</v>
      </c>
      <c r="P180" s="5" t="s">
        <v>736</v>
      </c>
      <c r="Q180" s="5" t="s">
        <v>1413</v>
      </c>
      <c r="R180" s="12">
        <v>12.462</v>
      </c>
      <c r="S180" s="4">
        <v>3</v>
      </c>
      <c r="T180" s="14">
        <v>0.8</v>
      </c>
      <c r="U180" s="12">
        <v>-20.5623</v>
      </c>
      <c r="V180" s="19">
        <v>20.5623</v>
      </c>
      <c r="W180" s="20">
        <v>2.4924</v>
      </c>
      <c r="X180" s="21" t="str" cm="1">
        <f t="array" ref="X180">IF(OR(R180:R717&lt;0,T179:T717&lt;0,C180:C718=""),"Check","OK")</f>
        <v>Check</v>
      </c>
    </row>
    <row r="181" ht="17.6" spans="1:24">
      <c r="A181" s="7">
        <v>395</v>
      </c>
      <c r="B181" s="8" t="s">
        <v>1414</v>
      </c>
      <c r="C181" s="9">
        <v>42916</v>
      </c>
      <c r="D181" s="9">
        <v>42921</v>
      </c>
      <c r="E181" s="8" t="s">
        <v>4</v>
      </c>
      <c r="F181" s="8" t="s">
        <v>1415</v>
      </c>
      <c r="G181" s="8" t="s">
        <v>1416</v>
      </c>
      <c r="H181" s="8" t="s">
        <v>741</v>
      </c>
      <c r="I181" s="8" t="s">
        <v>708</v>
      </c>
      <c r="J181" s="8" t="s">
        <v>359</v>
      </c>
      <c r="K181" s="8" t="s">
        <v>360</v>
      </c>
      <c r="L181" s="8">
        <v>89115</v>
      </c>
      <c r="M181" s="8" t="s">
        <v>717</v>
      </c>
      <c r="N181" s="8" t="s">
        <v>1417</v>
      </c>
      <c r="O181" s="8" t="s">
        <v>9</v>
      </c>
      <c r="P181" s="8" t="s">
        <v>736</v>
      </c>
      <c r="Q181" s="8" t="s">
        <v>1418</v>
      </c>
      <c r="R181" s="15">
        <v>75.792</v>
      </c>
      <c r="S181" s="7">
        <v>3</v>
      </c>
      <c r="T181" s="16">
        <v>0.2</v>
      </c>
      <c r="U181" s="15">
        <v>25.5798</v>
      </c>
      <c r="V181" s="22">
        <v>25.5798</v>
      </c>
      <c r="W181" s="23">
        <v>60.6336</v>
      </c>
      <c r="X181" s="21" t="str" cm="1">
        <f t="array" ref="X181">IF(OR(R181:R718&lt;0,T180:T718&lt;0,C181:C719=""),"Check","OK")</f>
        <v>Check</v>
      </c>
    </row>
    <row r="182" ht="17.6" spans="1:24">
      <c r="A182" s="4">
        <v>396</v>
      </c>
      <c r="B182" s="5" t="s">
        <v>1419</v>
      </c>
      <c r="C182" s="6">
        <v>43025</v>
      </c>
      <c r="D182" s="6">
        <v>43027</v>
      </c>
      <c r="E182" s="5" t="s">
        <v>707</v>
      </c>
      <c r="F182" s="5" t="s">
        <v>1420</v>
      </c>
      <c r="G182" s="5" t="s">
        <v>1421</v>
      </c>
      <c r="H182" s="5" t="s">
        <v>716</v>
      </c>
      <c r="I182" s="5" t="s">
        <v>708</v>
      </c>
      <c r="J182" s="5" t="s">
        <v>1422</v>
      </c>
      <c r="K182" s="5" t="s">
        <v>1423</v>
      </c>
      <c r="L182" s="5">
        <v>2886</v>
      </c>
      <c r="M182" s="5" t="s">
        <v>759</v>
      </c>
      <c r="N182" s="5" t="s">
        <v>1424</v>
      </c>
      <c r="O182" s="5" t="s">
        <v>9</v>
      </c>
      <c r="P182" s="5" t="s">
        <v>748</v>
      </c>
      <c r="Q182" s="5" t="s">
        <v>1425</v>
      </c>
      <c r="R182" s="12">
        <v>49.96</v>
      </c>
      <c r="S182" s="4">
        <v>2</v>
      </c>
      <c r="T182" s="14">
        <v>0</v>
      </c>
      <c r="U182" s="12">
        <v>9.4924</v>
      </c>
      <c r="V182" s="19">
        <v>9.4924</v>
      </c>
      <c r="W182" s="20">
        <v>49.96</v>
      </c>
      <c r="X182" s="21" t="str" cm="1">
        <f t="array" ref="X182">IF(OR(R182:R719&lt;0,T181:T719&lt;0,C182:C720=""),"Check","OK")</f>
        <v>Check</v>
      </c>
    </row>
    <row r="183" ht="17.6" spans="1:24">
      <c r="A183" s="7">
        <v>398</v>
      </c>
      <c r="B183" s="8" t="s">
        <v>1426</v>
      </c>
      <c r="C183" s="9">
        <v>42308</v>
      </c>
      <c r="D183" s="9">
        <v>42312</v>
      </c>
      <c r="E183" s="8" t="s">
        <v>4</v>
      </c>
      <c r="F183" s="8" t="s">
        <v>739</v>
      </c>
      <c r="G183" s="8" t="s">
        <v>740</v>
      </c>
      <c r="H183" s="8" t="s">
        <v>741</v>
      </c>
      <c r="I183" s="8" t="s">
        <v>708</v>
      </c>
      <c r="J183" s="8" t="s">
        <v>490</v>
      </c>
      <c r="K183" s="8" t="s">
        <v>163</v>
      </c>
      <c r="L183" s="8">
        <v>49201</v>
      </c>
      <c r="M183" s="8" t="s">
        <v>742</v>
      </c>
      <c r="N183" s="8" t="s">
        <v>1427</v>
      </c>
      <c r="O183" s="8" t="s">
        <v>9</v>
      </c>
      <c r="P183" s="8" t="s">
        <v>1428</v>
      </c>
      <c r="Q183" s="8" t="s">
        <v>1429</v>
      </c>
      <c r="R183" s="15">
        <v>70.12</v>
      </c>
      <c r="S183" s="7">
        <v>4</v>
      </c>
      <c r="T183" s="16">
        <v>0</v>
      </c>
      <c r="U183" s="15">
        <v>21.036</v>
      </c>
      <c r="V183" s="22">
        <v>21.036</v>
      </c>
      <c r="W183" s="23">
        <v>70.12</v>
      </c>
      <c r="X183" s="21" t="str" cm="1">
        <f t="array" ref="X183">IF(OR(R183:R720&lt;0,T182:T720&lt;0,C183:C721=""),"Check","OK")</f>
        <v>Check</v>
      </c>
    </row>
    <row r="184" ht="17.6" spans="1:24">
      <c r="A184" s="4">
        <v>399</v>
      </c>
      <c r="B184" s="5" t="s">
        <v>1430</v>
      </c>
      <c r="C184" s="6">
        <v>42621</v>
      </c>
      <c r="D184" s="6">
        <v>42623</v>
      </c>
      <c r="E184" s="5" t="s">
        <v>707</v>
      </c>
      <c r="F184" s="5" t="s">
        <v>150</v>
      </c>
      <c r="G184" s="5" t="s">
        <v>151</v>
      </c>
      <c r="H184" s="5" t="s">
        <v>111</v>
      </c>
      <c r="I184" s="5" t="s">
        <v>708</v>
      </c>
      <c r="J184" s="5" t="s">
        <v>131</v>
      </c>
      <c r="K184" s="5" t="s">
        <v>132</v>
      </c>
      <c r="L184" s="5">
        <v>77036</v>
      </c>
      <c r="M184" s="5" t="s">
        <v>742</v>
      </c>
      <c r="N184" s="5" t="s">
        <v>1431</v>
      </c>
      <c r="O184" s="5" t="s">
        <v>9</v>
      </c>
      <c r="P184" s="5" t="s">
        <v>748</v>
      </c>
      <c r="Q184" s="5" t="s">
        <v>1432</v>
      </c>
      <c r="R184" s="12">
        <v>35.952</v>
      </c>
      <c r="S184" s="4">
        <v>3</v>
      </c>
      <c r="T184" s="14">
        <v>0.2</v>
      </c>
      <c r="U184" s="12">
        <v>3.5952</v>
      </c>
      <c r="V184" s="19">
        <v>3.5952</v>
      </c>
      <c r="W184" s="20">
        <v>28.7616</v>
      </c>
      <c r="X184" s="21" t="str" cm="1">
        <f t="array" ref="X184">IF(OR(R184:R721&lt;0,T183:T721&lt;0,C184:C722=""),"Check","OK")</f>
        <v>Check</v>
      </c>
    </row>
    <row r="185" ht="17.6" spans="1:24">
      <c r="A185" s="7">
        <v>403</v>
      </c>
      <c r="B185" s="8" t="s">
        <v>1433</v>
      </c>
      <c r="C185" s="9">
        <v>41997</v>
      </c>
      <c r="D185" s="9">
        <v>41999</v>
      </c>
      <c r="E185" s="8" t="s">
        <v>13</v>
      </c>
      <c r="F185" s="8" t="s">
        <v>461</v>
      </c>
      <c r="G185" s="8" t="s">
        <v>462</v>
      </c>
      <c r="H185" s="8" t="s">
        <v>111</v>
      </c>
      <c r="I185" s="8" t="s">
        <v>708</v>
      </c>
      <c r="J185" s="8" t="s">
        <v>196</v>
      </c>
      <c r="K185" s="8" t="s">
        <v>172</v>
      </c>
      <c r="L185" s="8">
        <v>33180</v>
      </c>
      <c r="M185" s="8" t="s">
        <v>709</v>
      </c>
      <c r="N185" s="8" t="s">
        <v>1434</v>
      </c>
      <c r="O185" s="8" t="s">
        <v>9</v>
      </c>
      <c r="P185" s="8" t="s">
        <v>731</v>
      </c>
      <c r="Q185" s="8" t="s">
        <v>1435</v>
      </c>
      <c r="R185" s="15">
        <v>9.568</v>
      </c>
      <c r="S185" s="7">
        <v>2</v>
      </c>
      <c r="T185" s="16">
        <v>0.2</v>
      </c>
      <c r="U185" s="15">
        <v>3.4684</v>
      </c>
      <c r="V185" s="22">
        <v>3.4684</v>
      </c>
      <c r="W185" s="23">
        <v>7.6544</v>
      </c>
      <c r="X185" s="21" t="str" cm="1">
        <f t="array" ref="X185">IF(OR(R185:R722&lt;0,T184:T722&lt;0,C185:C723=""),"Check","OK")</f>
        <v>Check</v>
      </c>
    </row>
    <row r="186" ht="17.6" spans="1:24">
      <c r="A186" s="4">
        <v>404</v>
      </c>
      <c r="B186" s="5" t="s">
        <v>1436</v>
      </c>
      <c r="C186" s="6">
        <v>41745</v>
      </c>
      <c r="D186" s="6">
        <v>41749</v>
      </c>
      <c r="E186" s="5" t="s">
        <v>4</v>
      </c>
      <c r="F186" s="5" t="s">
        <v>1017</v>
      </c>
      <c r="G186" s="5" t="s">
        <v>1018</v>
      </c>
      <c r="H186" s="5" t="s">
        <v>716</v>
      </c>
      <c r="I186" s="5" t="s">
        <v>708</v>
      </c>
      <c r="J186" s="5" t="s">
        <v>164</v>
      </c>
      <c r="K186" s="5" t="s">
        <v>128</v>
      </c>
      <c r="L186" s="5">
        <v>28403</v>
      </c>
      <c r="M186" s="5" t="s">
        <v>709</v>
      </c>
      <c r="N186" s="5" t="s">
        <v>23</v>
      </c>
      <c r="O186" s="5" t="s">
        <v>9</v>
      </c>
      <c r="P186" s="5" t="s">
        <v>16</v>
      </c>
      <c r="Q186" s="5" t="s">
        <v>22</v>
      </c>
      <c r="R186" s="12">
        <v>39.072</v>
      </c>
      <c r="S186" s="4">
        <v>6</v>
      </c>
      <c r="T186" s="14">
        <v>0.2</v>
      </c>
      <c r="U186" s="12">
        <v>9.768</v>
      </c>
      <c r="V186" s="19">
        <v>9.768</v>
      </c>
      <c r="W186" s="20">
        <v>31.2576</v>
      </c>
      <c r="X186" s="21" t="str" cm="1">
        <f t="array" ref="X186">IF(OR(R186:R723&lt;0,T185:T723&lt;0,C186:C724=""),"Check","OK")</f>
        <v>Check</v>
      </c>
    </row>
    <row r="187" ht="17.6" spans="1:24">
      <c r="A187" s="7">
        <v>405</v>
      </c>
      <c r="B187" s="8" t="s">
        <v>1437</v>
      </c>
      <c r="C187" s="9">
        <v>43093</v>
      </c>
      <c r="D187" s="9">
        <v>43098</v>
      </c>
      <c r="E187" s="8" t="s">
        <v>4</v>
      </c>
      <c r="F187" s="8" t="s">
        <v>595</v>
      </c>
      <c r="G187" s="8" t="s">
        <v>596</v>
      </c>
      <c r="H187" s="8" t="s">
        <v>111</v>
      </c>
      <c r="I187" s="8" t="s">
        <v>708</v>
      </c>
      <c r="J187" s="8" t="s">
        <v>204</v>
      </c>
      <c r="K187" s="8" t="s">
        <v>168</v>
      </c>
      <c r="L187" s="8">
        <v>10024</v>
      </c>
      <c r="M187" s="8" t="s">
        <v>759</v>
      </c>
      <c r="N187" s="8" t="s">
        <v>1438</v>
      </c>
      <c r="O187" s="8" t="s">
        <v>9</v>
      </c>
      <c r="P187" s="8" t="s">
        <v>744</v>
      </c>
      <c r="Q187" s="8" t="s">
        <v>1439</v>
      </c>
      <c r="R187" s="15">
        <v>35.91</v>
      </c>
      <c r="S187" s="7">
        <v>3</v>
      </c>
      <c r="T187" s="16">
        <v>0</v>
      </c>
      <c r="U187" s="15">
        <v>9.6957</v>
      </c>
      <c r="V187" s="22">
        <v>9.6957</v>
      </c>
      <c r="W187" s="23">
        <v>35.91</v>
      </c>
      <c r="X187" s="21" t="str" cm="1">
        <f t="array" ref="X187">IF(OR(R187:R724&lt;0,T186:T724&lt;0,C187:C725=""),"Check","OK")</f>
        <v>Check</v>
      </c>
    </row>
    <row r="188" ht="17.6" spans="1:24">
      <c r="A188" s="4">
        <v>406</v>
      </c>
      <c r="B188" s="5" t="s">
        <v>1440</v>
      </c>
      <c r="C188" s="6">
        <v>43077</v>
      </c>
      <c r="D188" s="6">
        <v>43081</v>
      </c>
      <c r="E188" s="5" t="s">
        <v>4</v>
      </c>
      <c r="F188" s="5" t="s">
        <v>438</v>
      </c>
      <c r="G188" s="5" t="s">
        <v>439</v>
      </c>
      <c r="H188" s="5" t="s">
        <v>111</v>
      </c>
      <c r="I188" s="5" t="s">
        <v>708</v>
      </c>
      <c r="J188" s="5" t="s">
        <v>188</v>
      </c>
      <c r="K188" s="5" t="s">
        <v>136</v>
      </c>
      <c r="L188" s="5">
        <v>94110</v>
      </c>
      <c r="M188" s="5" t="s">
        <v>717</v>
      </c>
      <c r="N188" s="5" t="s">
        <v>1441</v>
      </c>
      <c r="O188" s="5" t="s">
        <v>10</v>
      </c>
      <c r="P188" s="5" t="s">
        <v>809</v>
      </c>
      <c r="Q188" s="5" t="s">
        <v>1442</v>
      </c>
      <c r="R188" s="12">
        <v>179.95</v>
      </c>
      <c r="S188" s="4">
        <v>5</v>
      </c>
      <c r="T188" s="14">
        <v>0</v>
      </c>
      <c r="U188" s="12">
        <v>37.7895</v>
      </c>
      <c r="V188" s="19">
        <v>37.7895</v>
      </c>
      <c r="W188" s="20">
        <v>179.95</v>
      </c>
      <c r="X188" s="21" t="str" cm="1">
        <f t="array" ref="X188">IF(OR(R188:R725&lt;0,T187:T725&lt;0,C188:C726=""),"Check","OK")</f>
        <v>Check</v>
      </c>
    </row>
    <row r="189" ht="17.6" spans="1:24">
      <c r="A189" s="7">
        <v>415</v>
      </c>
      <c r="B189" s="8" t="s">
        <v>1443</v>
      </c>
      <c r="C189" s="9">
        <v>43042</v>
      </c>
      <c r="D189" s="9">
        <v>43046</v>
      </c>
      <c r="E189" s="8" t="s">
        <v>4</v>
      </c>
      <c r="F189" s="8" t="s">
        <v>1444</v>
      </c>
      <c r="G189" s="8" t="s">
        <v>1445</v>
      </c>
      <c r="H189" s="8" t="s">
        <v>716</v>
      </c>
      <c r="I189" s="8" t="s">
        <v>708</v>
      </c>
      <c r="J189" s="8" t="s">
        <v>184</v>
      </c>
      <c r="K189" s="8" t="s">
        <v>185</v>
      </c>
      <c r="L189" s="8">
        <v>98105</v>
      </c>
      <c r="M189" s="8" t="s">
        <v>717</v>
      </c>
      <c r="N189" s="8" t="s">
        <v>1446</v>
      </c>
      <c r="O189" s="8" t="s">
        <v>9</v>
      </c>
      <c r="P189" s="8" t="s">
        <v>731</v>
      </c>
      <c r="Q189" s="8" t="s">
        <v>1447</v>
      </c>
      <c r="R189" s="15">
        <v>139.86</v>
      </c>
      <c r="S189" s="7">
        <v>7</v>
      </c>
      <c r="T189" s="16">
        <v>0</v>
      </c>
      <c r="U189" s="15">
        <v>65.7342</v>
      </c>
      <c r="V189" s="22">
        <v>65.7342</v>
      </c>
      <c r="W189" s="23">
        <v>139.86</v>
      </c>
      <c r="X189" s="21" t="str" cm="1">
        <f t="array" ref="X189">IF(OR(R189:R726&lt;0,T188:T726&lt;0,C189:C727=""),"Check","OK")</f>
        <v>Check</v>
      </c>
    </row>
    <row r="190" ht="17.6" spans="1:24">
      <c r="A190" s="4">
        <v>417</v>
      </c>
      <c r="B190" s="5" t="s">
        <v>1448</v>
      </c>
      <c r="C190" s="6">
        <v>42910</v>
      </c>
      <c r="D190" s="6">
        <v>42914</v>
      </c>
      <c r="E190" s="5" t="s">
        <v>4</v>
      </c>
      <c r="F190" s="5" t="s">
        <v>241</v>
      </c>
      <c r="G190" s="5" t="s">
        <v>242</v>
      </c>
      <c r="H190" s="5" t="s">
        <v>111</v>
      </c>
      <c r="I190" s="5" t="s">
        <v>708</v>
      </c>
      <c r="J190" s="5" t="s">
        <v>243</v>
      </c>
      <c r="K190" s="5" t="s">
        <v>136</v>
      </c>
      <c r="L190" s="5">
        <v>92646</v>
      </c>
      <c r="M190" s="5" t="s">
        <v>717</v>
      </c>
      <c r="N190" s="5" t="s">
        <v>41</v>
      </c>
      <c r="O190" s="5" t="s">
        <v>9</v>
      </c>
      <c r="P190" s="5" t="s">
        <v>16</v>
      </c>
      <c r="Q190" s="5" t="s">
        <v>40</v>
      </c>
      <c r="R190" s="12">
        <v>95.92</v>
      </c>
      <c r="S190" s="4">
        <v>8</v>
      </c>
      <c r="T190" s="14">
        <v>0</v>
      </c>
      <c r="U190" s="12">
        <v>25.8984</v>
      </c>
      <c r="V190" s="19">
        <v>25.8984</v>
      </c>
      <c r="W190" s="20">
        <v>95.92</v>
      </c>
      <c r="X190" s="21" t="str" cm="1">
        <f t="array" ref="X190">IF(OR(R190:R727&lt;0,T189:T727&lt;0,C190:C728=""),"Check","OK")</f>
        <v>Check</v>
      </c>
    </row>
    <row r="191" ht="17.6" spans="1:24">
      <c r="A191" s="7">
        <v>418</v>
      </c>
      <c r="B191" s="8" t="s">
        <v>1449</v>
      </c>
      <c r="C191" s="9">
        <v>42474</v>
      </c>
      <c r="D191" s="9">
        <v>42478</v>
      </c>
      <c r="E191" s="8" t="s">
        <v>4</v>
      </c>
      <c r="F191" s="8" t="s">
        <v>538</v>
      </c>
      <c r="G191" s="8" t="s">
        <v>539</v>
      </c>
      <c r="H191" s="8" t="s">
        <v>111</v>
      </c>
      <c r="I191" s="8" t="s">
        <v>708</v>
      </c>
      <c r="J191" s="8" t="s">
        <v>135</v>
      </c>
      <c r="K191" s="8" t="s">
        <v>136</v>
      </c>
      <c r="L191" s="8">
        <v>90004</v>
      </c>
      <c r="M191" s="8" t="s">
        <v>717</v>
      </c>
      <c r="N191" s="8" t="s">
        <v>1450</v>
      </c>
      <c r="O191" s="8" t="s">
        <v>8</v>
      </c>
      <c r="P191" s="8" t="s">
        <v>761</v>
      </c>
      <c r="Q191" s="8" t="s">
        <v>1451</v>
      </c>
      <c r="R191" s="15">
        <v>383.8</v>
      </c>
      <c r="S191" s="7">
        <v>5</v>
      </c>
      <c r="T191" s="16">
        <v>0.2</v>
      </c>
      <c r="U191" s="15">
        <v>38.38</v>
      </c>
      <c r="V191" s="22">
        <v>38.38</v>
      </c>
      <c r="W191" s="23">
        <v>307.04</v>
      </c>
      <c r="X191" s="21" t="str" cm="1">
        <f t="array" ref="X191">IF(OR(R191:R728&lt;0,T190:T728&lt;0,C191:C729=""),"Check","OK")</f>
        <v>Check</v>
      </c>
    </row>
    <row r="192" ht="17.6" spans="1:24">
      <c r="A192" s="4">
        <v>419</v>
      </c>
      <c r="B192" s="5" t="s">
        <v>1452</v>
      </c>
      <c r="C192" s="6">
        <v>43045</v>
      </c>
      <c r="D192" s="6">
        <v>43049</v>
      </c>
      <c r="E192" s="5" t="s">
        <v>4</v>
      </c>
      <c r="F192" s="5" t="s">
        <v>1349</v>
      </c>
      <c r="G192" s="5" t="s">
        <v>1350</v>
      </c>
      <c r="H192" s="5" t="s">
        <v>716</v>
      </c>
      <c r="I192" s="5" t="s">
        <v>708</v>
      </c>
      <c r="J192" s="5" t="s">
        <v>199</v>
      </c>
      <c r="K192" s="5" t="s">
        <v>142</v>
      </c>
      <c r="L192" s="5">
        <v>40475</v>
      </c>
      <c r="M192" s="5" t="s">
        <v>709</v>
      </c>
      <c r="N192" s="5" t="s">
        <v>1453</v>
      </c>
      <c r="O192" s="5" t="s">
        <v>9</v>
      </c>
      <c r="P192" s="5" t="s">
        <v>731</v>
      </c>
      <c r="Q192" s="5" t="s">
        <v>1454</v>
      </c>
      <c r="R192" s="12">
        <v>5.78</v>
      </c>
      <c r="S192" s="4">
        <v>1</v>
      </c>
      <c r="T192" s="14">
        <v>0</v>
      </c>
      <c r="U192" s="12">
        <v>2.8322</v>
      </c>
      <c r="V192" s="19">
        <v>2.8322</v>
      </c>
      <c r="W192" s="20">
        <v>5.78</v>
      </c>
      <c r="X192" s="21" t="str" cm="1">
        <f t="array" ref="X192">IF(OR(R192:R729&lt;0,T191:T729&lt;0,C192:C730=""),"Check","OK")</f>
        <v>Check</v>
      </c>
    </row>
    <row r="193" ht="17.6" spans="1:24">
      <c r="A193" s="7">
        <v>420</v>
      </c>
      <c r="B193" s="8" t="s">
        <v>1455</v>
      </c>
      <c r="C193" s="9">
        <v>42798</v>
      </c>
      <c r="D193" s="9">
        <v>42803</v>
      </c>
      <c r="E193" s="8" t="s">
        <v>4</v>
      </c>
      <c r="F193" s="8" t="s">
        <v>1296</v>
      </c>
      <c r="G193" s="8" t="s">
        <v>1297</v>
      </c>
      <c r="H193" s="8" t="s">
        <v>716</v>
      </c>
      <c r="I193" s="8" t="s">
        <v>708</v>
      </c>
      <c r="J193" s="8" t="s">
        <v>135</v>
      </c>
      <c r="K193" s="8" t="s">
        <v>136</v>
      </c>
      <c r="L193" s="8">
        <v>90045</v>
      </c>
      <c r="M193" s="8" t="s">
        <v>717</v>
      </c>
      <c r="N193" s="8" t="s">
        <v>21</v>
      </c>
      <c r="O193" s="8" t="s">
        <v>9</v>
      </c>
      <c r="P193" s="8" t="s">
        <v>16</v>
      </c>
      <c r="Q193" s="8" t="s">
        <v>20</v>
      </c>
      <c r="R193" s="15">
        <v>9.32</v>
      </c>
      <c r="S193" s="7">
        <v>4</v>
      </c>
      <c r="T193" s="16">
        <v>0</v>
      </c>
      <c r="U193" s="15">
        <v>2.7028</v>
      </c>
      <c r="V193" s="22">
        <v>2.7028</v>
      </c>
      <c r="W193" s="23">
        <v>9.32</v>
      </c>
      <c r="X193" s="21" t="str" cm="1">
        <f t="array" ref="X193">IF(OR(R193:R730&lt;0,T192:T730&lt;0,C193:C731=""),"Check","OK")</f>
        <v>Check</v>
      </c>
    </row>
    <row r="194" ht="17.6" spans="1:24">
      <c r="A194" s="4">
        <v>422</v>
      </c>
      <c r="B194" s="5" t="s">
        <v>1456</v>
      </c>
      <c r="C194" s="6">
        <v>41812</v>
      </c>
      <c r="D194" s="6">
        <v>41815</v>
      </c>
      <c r="E194" s="5" t="s">
        <v>13</v>
      </c>
      <c r="F194" s="5" t="s">
        <v>377</v>
      </c>
      <c r="G194" s="5" t="s">
        <v>378</v>
      </c>
      <c r="H194" s="5" t="s">
        <v>111</v>
      </c>
      <c r="I194" s="5" t="s">
        <v>708</v>
      </c>
      <c r="J194" s="5" t="s">
        <v>141</v>
      </c>
      <c r="K194" s="5" t="s">
        <v>217</v>
      </c>
      <c r="L194" s="5">
        <v>80027</v>
      </c>
      <c r="M194" s="5" t="s">
        <v>717</v>
      </c>
      <c r="N194" s="5" t="s">
        <v>1457</v>
      </c>
      <c r="O194" s="5" t="s">
        <v>10</v>
      </c>
      <c r="P194" s="5" t="s">
        <v>809</v>
      </c>
      <c r="Q194" s="5" t="s">
        <v>1458</v>
      </c>
      <c r="R194" s="12">
        <v>196.752</v>
      </c>
      <c r="S194" s="4">
        <v>6</v>
      </c>
      <c r="T194" s="14">
        <v>0.2</v>
      </c>
      <c r="U194" s="12">
        <v>56.5662</v>
      </c>
      <c r="V194" s="19">
        <v>56.5662</v>
      </c>
      <c r="W194" s="20">
        <v>157.4016</v>
      </c>
      <c r="X194" s="21" t="str" cm="1">
        <f t="array" ref="X194">IF(OR(R194:R731&lt;0,T193:T731&lt;0,C194:C732=""),"Check","OK")</f>
        <v>Check</v>
      </c>
    </row>
    <row r="195" ht="17.6" spans="1:24">
      <c r="A195" s="7">
        <v>423</v>
      </c>
      <c r="B195" s="8" t="s">
        <v>1459</v>
      </c>
      <c r="C195" s="9">
        <v>43027</v>
      </c>
      <c r="D195" s="9">
        <v>43031</v>
      </c>
      <c r="E195" s="8" t="s">
        <v>4</v>
      </c>
      <c r="F195" s="8" t="s">
        <v>1460</v>
      </c>
      <c r="G195" s="8" t="s">
        <v>1461</v>
      </c>
      <c r="H195" s="8" t="s">
        <v>716</v>
      </c>
      <c r="I195" s="8" t="s">
        <v>708</v>
      </c>
      <c r="J195" s="8" t="s">
        <v>194</v>
      </c>
      <c r="K195" s="8" t="s">
        <v>195</v>
      </c>
      <c r="L195" s="8">
        <v>1841</v>
      </c>
      <c r="M195" s="8" t="s">
        <v>759</v>
      </c>
      <c r="N195" s="8" t="s">
        <v>1462</v>
      </c>
      <c r="O195" s="8" t="s">
        <v>8</v>
      </c>
      <c r="P195" s="8" t="s">
        <v>727</v>
      </c>
      <c r="Q195" s="8" t="s">
        <v>1463</v>
      </c>
      <c r="R195" s="15">
        <v>56.56</v>
      </c>
      <c r="S195" s="7">
        <v>4</v>
      </c>
      <c r="T195" s="16">
        <v>0</v>
      </c>
      <c r="U195" s="15">
        <v>14.7056</v>
      </c>
      <c r="V195" s="22">
        <v>14.7056</v>
      </c>
      <c r="W195" s="23">
        <v>56.56</v>
      </c>
      <c r="X195" s="21" t="str" cm="1">
        <f t="array" ref="X195">IF(OR(R195:R732&lt;0,T194:T732&lt;0,C195:C733=""),"Check","OK")</f>
        <v>Check</v>
      </c>
    </row>
    <row r="196" ht="17.6" spans="1:24">
      <c r="A196" s="4">
        <v>425</v>
      </c>
      <c r="B196" s="5" t="s">
        <v>1464</v>
      </c>
      <c r="C196" s="6">
        <v>42968</v>
      </c>
      <c r="D196" s="6">
        <v>42970</v>
      </c>
      <c r="E196" s="5" t="s">
        <v>707</v>
      </c>
      <c r="F196" s="5" t="s">
        <v>519</v>
      </c>
      <c r="G196" s="5" t="s">
        <v>520</v>
      </c>
      <c r="H196" s="5" t="s">
        <v>111</v>
      </c>
      <c r="I196" s="5" t="s">
        <v>708</v>
      </c>
      <c r="J196" s="5" t="s">
        <v>490</v>
      </c>
      <c r="K196" s="5" t="s">
        <v>491</v>
      </c>
      <c r="L196" s="5">
        <v>39212</v>
      </c>
      <c r="M196" s="5" t="s">
        <v>709</v>
      </c>
      <c r="N196" s="5" t="s">
        <v>1465</v>
      </c>
      <c r="O196" s="5" t="s">
        <v>8</v>
      </c>
      <c r="P196" s="5" t="s">
        <v>761</v>
      </c>
      <c r="Q196" s="5" t="s">
        <v>1466</v>
      </c>
      <c r="R196" s="12">
        <v>866.4</v>
      </c>
      <c r="S196" s="4">
        <v>4</v>
      </c>
      <c r="T196" s="14">
        <v>0</v>
      </c>
      <c r="U196" s="12">
        <v>225.264</v>
      </c>
      <c r="V196" s="19">
        <v>225.264</v>
      </c>
      <c r="W196" s="20">
        <v>866.4</v>
      </c>
      <c r="X196" s="21" t="str" cm="1">
        <f t="array" ref="X196">IF(OR(R196:R733&lt;0,T195:T733&lt;0,C196:C734=""),"Check","OK")</f>
        <v>Check</v>
      </c>
    </row>
    <row r="197" ht="17.6" spans="1:24">
      <c r="A197" s="7">
        <v>426</v>
      </c>
      <c r="B197" s="8" t="s">
        <v>1467</v>
      </c>
      <c r="C197" s="9">
        <v>43062</v>
      </c>
      <c r="D197" s="9">
        <v>43065</v>
      </c>
      <c r="E197" s="8" t="s">
        <v>707</v>
      </c>
      <c r="F197" s="8" t="s">
        <v>821</v>
      </c>
      <c r="G197" s="8" t="s">
        <v>822</v>
      </c>
      <c r="H197" s="8" t="s">
        <v>716</v>
      </c>
      <c r="I197" s="8" t="s">
        <v>708</v>
      </c>
      <c r="J197" s="8" t="s">
        <v>1468</v>
      </c>
      <c r="K197" s="8" t="s">
        <v>163</v>
      </c>
      <c r="L197" s="8">
        <v>48187</v>
      </c>
      <c r="M197" s="8" t="s">
        <v>742</v>
      </c>
      <c r="N197" s="8" t="s">
        <v>1469</v>
      </c>
      <c r="O197" s="8" t="s">
        <v>8</v>
      </c>
      <c r="P197" s="8" t="s">
        <v>727</v>
      </c>
      <c r="Q197" s="8" t="s">
        <v>1470</v>
      </c>
      <c r="R197" s="15">
        <v>28.4</v>
      </c>
      <c r="S197" s="7">
        <v>2</v>
      </c>
      <c r="T197" s="16">
        <v>0</v>
      </c>
      <c r="U197" s="15">
        <v>11.076</v>
      </c>
      <c r="V197" s="22">
        <v>11.076</v>
      </c>
      <c r="W197" s="23">
        <v>28.4</v>
      </c>
      <c r="X197" s="21" t="str" cm="1">
        <f t="array" ref="X197">IF(OR(R197:R734&lt;0,T196:T734&lt;0,C197:C735=""),"Check","OK")</f>
        <v>Check</v>
      </c>
    </row>
    <row r="198" ht="17.6" spans="1:24">
      <c r="A198" s="4">
        <v>428</v>
      </c>
      <c r="B198" s="5" t="s">
        <v>1471</v>
      </c>
      <c r="C198" s="6">
        <v>41894</v>
      </c>
      <c r="D198" s="6">
        <v>41895</v>
      </c>
      <c r="E198" s="5" t="s">
        <v>13</v>
      </c>
      <c r="F198" s="5" t="s">
        <v>1472</v>
      </c>
      <c r="G198" s="5" t="s">
        <v>1473</v>
      </c>
      <c r="H198" s="5" t="s">
        <v>741</v>
      </c>
      <c r="I198" s="5" t="s">
        <v>708</v>
      </c>
      <c r="J198" s="5" t="s">
        <v>375</v>
      </c>
      <c r="K198" s="5" t="s">
        <v>168</v>
      </c>
      <c r="L198" s="5">
        <v>10801</v>
      </c>
      <c r="M198" s="5" t="s">
        <v>759</v>
      </c>
      <c r="N198" s="5" t="s">
        <v>1474</v>
      </c>
      <c r="O198" s="5" t="s">
        <v>10</v>
      </c>
      <c r="P198" s="5" t="s">
        <v>1194</v>
      </c>
      <c r="Q198" s="5" t="s">
        <v>1475</v>
      </c>
      <c r="R198" s="12">
        <v>69.99</v>
      </c>
      <c r="S198" s="4">
        <v>1</v>
      </c>
      <c r="T198" s="14">
        <v>0</v>
      </c>
      <c r="U198" s="12">
        <v>30.0957</v>
      </c>
      <c r="V198" s="19">
        <v>30.0957</v>
      </c>
      <c r="W198" s="20">
        <v>69.99</v>
      </c>
      <c r="X198" s="21" t="str" cm="1">
        <f t="array" ref="X198">IF(OR(R198:R735&lt;0,T197:T735&lt;0,C198:C736=""),"Check","OK")</f>
        <v>Check</v>
      </c>
    </row>
    <row r="199" ht="17.6" spans="1:24">
      <c r="A199" s="7">
        <v>429</v>
      </c>
      <c r="B199" s="8" t="s">
        <v>1476</v>
      </c>
      <c r="C199" s="9">
        <v>43009</v>
      </c>
      <c r="D199" s="9">
        <v>43016</v>
      </c>
      <c r="E199" s="8" t="s">
        <v>4</v>
      </c>
      <c r="F199" s="8" t="s">
        <v>1477</v>
      </c>
      <c r="G199" s="8" t="s">
        <v>1478</v>
      </c>
      <c r="H199" s="8" t="s">
        <v>716</v>
      </c>
      <c r="I199" s="8" t="s">
        <v>708</v>
      </c>
      <c r="J199" s="8" t="s">
        <v>207</v>
      </c>
      <c r="K199" s="8" t="s">
        <v>132</v>
      </c>
      <c r="L199" s="8">
        <v>78207</v>
      </c>
      <c r="M199" s="8" t="s">
        <v>742</v>
      </c>
      <c r="N199" s="8" t="s">
        <v>45</v>
      </c>
      <c r="O199" s="8" t="s">
        <v>9</v>
      </c>
      <c r="P199" s="8" t="s">
        <v>16</v>
      </c>
      <c r="Q199" s="8" t="s">
        <v>44</v>
      </c>
      <c r="R199" s="15">
        <v>6.672</v>
      </c>
      <c r="S199" s="7">
        <v>6</v>
      </c>
      <c r="T199" s="16">
        <v>0.2</v>
      </c>
      <c r="U199" s="15">
        <v>0.5004</v>
      </c>
      <c r="V199" s="22">
        <v>0.5004</v>
      </c>
      <c r="W199" s="23">
        <v>5.3376</v>
      </c>
      <c r="X199" s="21" t="str" cm="1">
        <f t="array" ref="X199">IF(OR(R199:R736&lt;0,T198:T736&lt;0,C199:C737=""),"Check","OK")</f>
        <v>Check</v>
      </c>
    </row>
    <row r="200" ht="17.6" spans="1:24">
      <c r="A200" s="4">
        <v>430</v>
      </c>
      <c r="B200" s="5" t="s">
        <v>1479</v>
      </c>
      <c r="C200" s="6">
        <v>42475</v>
      </c>
      <c r="D200" s="6">
        <v>42481</v>
      </c>
      <c r="E200" s="5" t="s">
        <v>4</v>
      </c>
      <c r="F200" s="5" t="s">
        <v>1480</v>
      </c>
      <c r="G200" s="5" t="s">
        <v>1481</v>
      </c>
      <c r="H200" s="5" t="s">
        <v>741</v>
      </c>
      <c r="I200" s="5" t="s">
        <v>708</v>
      </c>
      <c r="J200" s="5" t="s">
        <v>1482</v>
      </c>
      <c r="K200" s="5" t="s">
        <v>128</v>
      </c>
      <c r="L200" s="5">
        <v>28052</v>
      </c>
      <c r="M200" s="5" t="s">
        <v>709</v>
      </c>
      <c r="N200" s="5" t="s">
        <v>1483</v>
      </c>
      <c r="O200" s="5" t="s">
        <v>9</v>
      </c>
      <c r="P200" s="5" t="s">
        <v>736</v>
      </c>
      <c r="Q200" s="5" t="s">
        <v>1484</v>
      </c>
      <c r="R200" s="12">
        <v>189.588</v>
      </c>
      <c r="S200" s="4">
        <v>2</v>
      </c>
      <c r="T200" s="14">
        <v>0.7</v>
      </c>
      <c r="U200" s="12">
        <v>-145.3508</v>
      </c>
      <c r="V200" s="19">
        <v>145.3508</v>
      </c>
      <c r="W200" s="20">
        <v>56.8764</v>
      </c>
      <c r="X200" s="21" t="str" cm="1">
        <f t="array" ref="X200">IF(OR(R200:R737&lt;0,T199:T737&lt;0,C200:C738=""),"Check","OK")</f>
        <v>Check</v>
      </c>
    </row>
    <row r="201" ht="17.6" spans="1:24">
      <c r="A201" s="7">
        <v>434</v>
      </c>
      <c r="B201" s="8" t="s">
        <v>1485</v>
      </c>
      <c r="C201" s="9">
        <v>42527</v>
      </c>
      <c r="D201" s="9">
        <v>42528</v>
      </c>
      <c r="E201" s="8" t="s">
        <v>13</v>
      </c>
      <c r="F201" s="8" t="s">
        <v>267</v>
      </c>
      <c r="G201" s="8" t="s">
        <v>268</v>
      </c>
      <c r="H201" s="8" t="s">
        <v>111</v>
      </c>
      <c r="I201" s="8" t="s">
        <v>708</v>
      </c>
      <c r="J201" s="8" t="s">
        <v>269</v>
      </c>
      <c r="K201" s="8" t="s">
        <v>195</v>
      </c>
      <c r="L201" s="8">
        <v>1852</v>
      </c>
      <c r="M201" s="8" t="s">
        <v>759</v>
      </c>
      <c r="N201" s="8" t="s">
        <v>1486</v>
      </c>
      <c r="O201" s="8" t="s">
        <v>9</v>
      </c>
      <c r="P201" s="8" t="s">
        <v>748</v>
      </c>
      <c r="Q201" s="8" t="s">
        <v>1487</v>
      </c>
      <c r="R201" s="15">
        <v>714.3</v>
      </c>
      <c r="S201" s="7">
        <v>5</v>
      </c>
      <c r="T201" s="16">
        <v>0</v>
      </c>
      <c r="U201" s="15">
        <v>207.147</v>
      </c>
      <c r="V201" s="22">
        <v>207.147</v>
      </c>
      <c r="W201" s="23">
        <v>714.3</v>
      </c>
      <c r="X201" s="21" t="str" cm="1">
        <f t="array" ref="X201">IF(OR(R201:R738&lt;0,T200:T738&lt;0,C201:C739=""),"Check","OK")</f>
        <v>Check</v>
      </c>
    </row>
    <row r="202" ht="17.6" spans="1:24">
      <c r="A202" s="4">
        <v>435</v>
      </c>
      <c r="B202" s="5" t="s">
        <v>1488</v>
      </c>
      <c r="C202" s="6">
        <v>41992</v>
      </c>
      <c r="D202" s="6">
        <v>41998</v>
      </c>
      <c r="E202" s="5" t="s">
        <v>4</v>
      </c>
      <c r="F202" s="5" t="s">
        <v>504</v>
      </c>
      <c r="G202" s="5" t="s">
        <v>505</v>
      </c>
      <c r="H202" s="5" t="s">
        <v>111</v>
      </c>
      <c r="I202" s="5" t="s">
        <v>708</v>
      </c>
      <c r="J202" s="5" t="s">
        <v>408</v>
      </c>
      <c r="K202" s="5" t="s">
        <v>172</v>
      </c>
      <c r="L202" s="5">
        <v>32216</v>
      </c>
      <c r="M202" s="5" t="s">
        <v>709</v>
      </c>
      <c r="N202" s="5" t="s">
        <v>1489</v>
      </c>
      <c r="O202" s="5" t="s">
        <v>9</v>
      </c>
      <c r="P202" s="5" t="s">
        <v>736</v>
      </c>
      <c r="Q202" s="5" t="s">
        <v>1490</v>
      </c>
      <c r="R202" s="12">
        <v>4.812</v>
      </c>
      <c r="S202" s="4">
        <v>2</v>
      </c>
      <c r="T202" s="14">
        <v>0.7</v>
      </c>
      <c r="U202" s="12">
        <v>-3.6892</v>
      </c>
      <c r="V202" s="19">
        <v>3.6892</v>
      </c>
      <c r="W202" s="20">
        <v>1.4436</v>
      </c>
      <c r="X202" s="21" t="str" cm="1">
        <f t="array" ref="X202">IF(OR(R202:R739&lt;0,T201:T739&lt;0,C202:C740=""),"Check","OK")</f>
        <v>Check</v>
      </c>
    </row>
    <row r="203" ht="17.6" spans="1:24">
      <c r="A203" s="7">
        <v>437</v>
      </c>
      <c r="B203" s="8" t="s">
        <v>1491</v>
      </c>
      <c r="C203" s="9">
        <v>42533</v>
      </c>
      <c r="D203" s="9">
        <v>42535</v>
      </c>
      <c r="E203" s="8" t="s">
        <v>707</v>
      </c>
      <c r="F203" s="8" t="s">
        <v>1492</v>
      </c>
      <c r="G203" s="8" t="s">
        <v>1493</v>
      </c>
      <c r="H203" s="8" t="s">
        <v>741</v>
      </c>
      <c r="I203" s="8" t="s">
        <v>708</v>
      </c>
      <c r="J203" s="8" t="s">
        <v>182</v>
      </c>
      <c r="K203" s="8" t="s">
        <v>183</v>
      </c>
      <c r="L203" s="8">
        <v>60623</v>
      </c>
      <c r="M203" s="8" t="s">
        <v>742</v>
      </c>
      <c r="N203" s="8" t="s">
        <v>1494</v>
      </c>
      <c r="O203" s="8" t="s">
        <v>10</v>
      </c>
      <c r="P203" s="8" t="s">
        <v>1194</v>
      </c>
      <c r="Q203" s="8" t="s">
        <v>1495</v>
      </c>
      <c r="R203" s="15">
        <v>1007.979</v>
      </c>
      <c r="S203" s="7">
        <v>3</v>
      </c>
      <c r="T203" s="16">
        <v>0.3</v>
      </c>
      <c r="U203" s="15">
        <v>43.1991</v>
      </c>
      <c r="V203" s="22">
        <v>43.1991</v>
      </c>
      <c r="W203" s="23">
        <v>705.5853</v>
      </c>
      <c r="X203" s="21" t="str" cm="1">
        <f t="array" ref="X203">IF(OR(R203:R740&lt;0,T202:T740&lt;0,C203:C741=""),"Check","OK")</f>
        <v>Check</v>
      </c>
    </row>
    <row r="204" ht="17.6" spans="1:24">
      <c r="A204" s="4">
        <v>439</v>
      </c>
      <c r="B204" s="5" t="s">
        <v>1496</v>
      </c>
      <c r="C204" s="6">
        <v>42993</v>
      </c>
      <c r="D204" s="6">
        <v>42997</v>
      </c>
      <c r="E204" s="5" t="s">
        <v>4</v>
      </c>
      <c r="F204" s="5" t="s">
        <v>1497</v>
      </c>
      <c r="G204" s="5" t="s">
        <v>1498</v>
      </c>
      <c r="H204" s="5" t="s">
        <v>716</v>
      </c>
      <c r="I204" s="5" t="s">
        <v>708</v>
      </c>
      <c r="J204" s="5" t="s">
        <v>131</v>
      </c>
      <c r="K204" s="5" t="s">
        <v>132</v>
      </c>
      <c r="L204" s="5">
        <v>77070</v>
      </c>
      <c r="M204" s="5" t="s">
        <v>742</v>
      </c>
      <c r="N204" s="5" t="s">
        <v>1499</v>
      </c>
      <c r="O204" s="5" t="s">
        <v>9</v>
      </c>
      <c r="P204" s="5" t="s">
        <v>731</v>
      </c>
      <c r="Q204" s="5" t="s">
        <v>1500</v>
      </c>
      <c r="R204" s="12">
        <v>31.872</v>
      </c>
      <c r="S204" s="4">
        <v>8</v>
      </c>
      <c r="T204" s="14">
        <v>0.2</v>
      </c>
      <c r="U204" s="12">
        <v>11.5536</v>
      </c>
      <c r="V204" s="19">
        <v>11.5536</v>
      </c>
      <c r="W204" s="20">
        <v>25.4976</v>
      </c>
      <c r="X204" s="21" t="str" cm="1">
        <f t="array" ref="X204">IF(OR(R204:R741&lt;0,T203:T741&lt;0,C204:C742=""),"Check","OK")</f>
        <v>Check</v>
      </c>
    </row>
    <row r="205" ht="17.6" spans="1:24">
      <c r="A205" s="7">
        <v>440</v>
      </c>
      <c r="B205" s="8" t="s">
        <v>1501</v>
      </c>
      <c r="C205" s="9">
        <v>42755</v>
      </c>
      <c r="D205" s="9">
        <v>42758</v>
      </c>
      <c r="E205" s="8" t="s">
        <v>707</v>
      </c>
      <c r="F205" s="8" t="s">
        <v>945</v>
      </c>
      <c r="G205" s="8" t="s">
        <v>946</v>
      </c>
      <c r="H205" s="8" t="s">
        <v>716</v>
      </c>
      <c r="I205" s="8" t="s">
        <v>708</v>
      </c>
      <c r="J205" s="8" t="s">
        <v>204</v>
      </c>
      <c r="K205" s="8" t="s">
        <v>168</v>
      </c>
      <c r="L205" s="8">
        <v>10024</v>
      </c>
      <c r="M205" s="8" t="s">
        <v>759</v>
      </c>
      <c r="N205" s="8" t="s">
        <v>1502</v>
      </c>
      <c r="O205" s="8" t="s">
        <v>8</v>
      </c>
      <c r="P205" s="8" t="s">
        <v>761</v>
      </c>
      <c r="Q205" s="8" t="s">
        <v>1503</v>
      </c>
      <c r="R205" s="15">
        <v>207.846</v>
      </c>
      <c r="S205" s="7">
        <v>3</v>
      </c>
      <c r="T205" s="16">
        <v>0.1</v>
      </c>
      <c r="U205" s="15">
        <v>2.3094</v>
      </c>
      <c r="V205" s="22">
        <v>2.3094</v>
      </c>
      <c r="W205" s="23">
        <v>187.0614</v>
      </c>
      <c r="X205" s="21" t="str" cm="1">
        <f t="array" ref="X205">IF(OR(R205:R742&lt;0,T204:T742&lt;0,C205:C743=""),"Check","OK")</f>
        <v>Check</v>
      </c>
    </row>
    <row r="206" ht="17.6" spans="1:24">
      <c r="A206" s="4">
        <v>441</v>
      </c>
      <c r="B206" s="5" t="s">
        <v>1504</v>
      </c>
      <c r="C206" s="6">
        <v>42618</v>
      </c>
      <c r="D206" s="6">
        <v>42620</v>
      </c>
      <c r="E206" s="5" t="s">
        <v>707</v>
      </c>
      <c r="F206" s="5" t="s">
        <v>554</v>
      </c>
      <c r="G206" s="5" t="s">
        <v>555</v>
      </c>
      <c r="H206" s="5" t="s">
        <v>111</v>
      </c>
      <c r="I206" s="5" t="s">
        <v>708</v>
      </c>
      <c r="J206" s="5" t="s">
        <v>162</v>
      </c>
      <c r="K206" s="5" t="s">
        <v>163</v>
      </c>
      <c r="L206" s="5">
        <v>48227</v>
      </c>
      <c r="M206" s="5" t="s">
        <v>742</v>
      </c>
      <c r="N206" s="5" t="s">
        <v>1505</v>
      </c>
      <c r="O206" s="5" t="s">
        <v>8</v>
      </c>
      <c r="P206" s="5" t="s">
        <v>727</v>
      </c>
      <c r="Q206" s="5" t="s">
        <v>1506</v>
      </c>
      <c r="R206" s="12">
        <v>12.22</v>
      </c>
      <c r="S206" s="4">
        <v>1</v>
      </c>
      <c r="T206" s="14">
        <v>0</v>
      </c>
      <c r="U206" s="12">
        <v>3.666</v>
      </c>
      <c r="V206" s="19">
        <v>3.666</v>
      </c>
      <c r="W206" s="20">
        <v>12.22</v>
      </c>
      <c r="X206" s="21" t="str" cm="1">
        <f t="array" ref="X206">IF(OR(R206:R743&lt;0,T205:T743&lt;0,C206:C744=""),"Check","OK")</f>
        <v>Check</v>
      </c>
    </row>
    <row r="207" ht="17.6" spans="1:24">
      <c r="A207" s="7">
        <v>447</v>
      </c>
      <c r="B207" s="8" t="s">
        <v>1507</v>
      </c>
      <c r="C207" s="9">
        <v>42814</v>
      </c>
      <c r="D207" s="9">
        <v>42819</v>
      </c>
      <c r="E207" s="8" t="s">
        <v>707</v>
      </c>
      <c r="F207" s="8" t="s">
        <v>661</v>
      </c>
      <c r="G207" s="8" t="s">
        <v>662</v>
      </c>
      <c r="H207" s="8" t="s">
        <v>111</v>
      </c>
      <c r="I207" s="8" t="s">
        <v>708</v>
      </c>
      <c r="J207" s="8" t="s">
        <v>211</v>
      </c>
      <c r="K207" s="8" t="s">
        <v>304</v>
      </c>
      <c r="L207" s="8">
        <v>47201</v>
      </c>
      <c r="M207" s="8" t="s">
        <v>742</v>
      </c>
      <c r="N207" s="8" t="s">
        <v>1508</v>
      </c>
      <c r="O207" s="8" t="s">
        <v>8</v>
      </c>
      <c r="P207" s="8" t="s">
        <v>727</v>
      </c>
      <c r="Q207" s="8" t="s">
        <v>1509</v>
      </c>
      <c r="R207" s="15">
        <v>2.91</v>
      </c>
      <c r="S207" s="7">
        <v>1</v>
      </c>
      <c r="T207" s="16">
        <v>0</v>
      </c>
      <c r="U207" s="15">
        <v>1.3677</v>
      </c>
      <c r="V207" s="22">
        <v>1.3677</v>
      </c>
      <c r="W207" s="23">
        <v>2.91</v>
      </c>
      <c r="X207" s="21" t="str" cm="1">
        <f t="array" ref="X207">IF(OR(R207:R744&lt;0,T206:T744&lt;0,C207:C745=""),"Check","OK")</f>
        <v>Check</v>
      </c>
    </row>
    <row r="208" ht="17.6" spans="1:24">
      <c r="A208" s="4">
        <v>448</v>
      </c>
      <c r="B208" s="5" t="s">
        <v>1510</v>
      </c>
      <c r="C208" s="6">
        <v>42461</v>
      </c>
      <c r="D208" s="6">
        <v>42463</v>
      </c>
      <c r="E208" s="5" t="s">
        <v>707</v>
      </c>
      <c r="F208" s="5" t="s">
        <v>573</v>
      </c>
      <c r="G208" s="5" t="s">
        <v>574</v>
      </c>
      <c r="H208" s="5" t="s">
        <v>111</v>
      </c>
      <c r="I208" s="5" t="s">
        <v>708</v>
      </c>
      <c r="J208" s="5" t="s">
        <v>575</v>
      </c>
      <c r="K208" s="5" t="s">
        <v>168</v>
      </c>
      <c r="L208" s="5">
        <v>13021</v>
      </c>
      <c r="M208" s="5" t="s">
        <v>759</v>
      </c>
      <c r="N208" s="5" t="s">
        <v>87</v>
      </c>
      <c r="O208" s="5" t="s">
        <v>9</v>
      </c>
      <c r="P208" s="5" t="s">
        <v>16</v>
      </c>
      <c r="Q208" s="5" t="s">
        <v>86</v>
      </c>
      <c r="R208" s="12">
        <v>59.52</v>
      </c>
      <c r="S208" s="4">
        <v>3</v>
      </c>
      <c r="T208" s="14">
        <v>0</v>
      </c>
      <c r="U208" s="12">
        <v>15.4752</v>
      </c>
      <c r="V208" s="19">
        <v>15.4752</v>
      </c>
      <c r="W208" s="20">
        <v>59.52</v>
      </c>
      <c r="X208" s="21" t="str" cm="1">
        <f t="array" ref="X208">IF(OR(R208:R745&lt;0,T207:T745&lt;0,C208:C746=""),"Check","OK")</f>
        <v>Check</v>
      </c>
    </row>
    <row r="209" ht="17.6" spans="1:24">
      <c r="A209" s="7">
        <v>454</v>
      </c>
      <c r="B209" s="8" t="s">
        <v>1511</v>
      </c>
      <c r="C209" s="9">
        <v>43028</v>
      </c>
      <c r="D209" s="9">
        <v>43032</v>
      </c>
      <c r="E209" s="8" t="s">
        <v>4</v>
      </c>
      <c r="F209" s="8" t="s">
        <v>1512</v>
      </c>
      <c r="G209" s="8" t="s">
        <v>1513</v>
      </c>
      <c r="H209" s="8" t="s">
        <v>716</v>
      </c>
      <c r="I209" s="8" t="s">
        <v>708</v>
      </c>
      <c r="J209" s="8" t="s">
        <v>487</v>
      </c>
      <c r="K209" s="8" t="s">
        <v>138</v>
      </c>
      <c r="L209" s="8">
        <v>44312</v>
      </c>
      <c r="M209" s="8" t="s">
        <v>759</v>
      </c>
      <c r="N209" s="8" t="s">
        <v>1514</v>
      </c>
      <c r="O209" s="8" t="s">
        <v>8</v>
      </c>
      <c r="P209" s="8" t="s">
        <v>723</v>
      </c>
      <c r="Q209" s="8" t="s">
        <v>1515</v>
      </c>
      <c r="R209" s="15">
        <v>284.364</v>
      </c>
      <c r="S209" s="7">
        <v>2</v>
      </c>
      <c r="T209" s="16">
        <v>0.4</v>
      </c>
      <c r="U209" s="15">
        <v>-75.8304</v>
      </c>
      <c r="V209" s="22">
        <v>75.8304</v>
      </c>
      <c r="W209" s="23">
        <v>170.6184</v>
      </c>
      <c r="X209" s="21" t="str" cm="1">
        <f t="array" ref="X209">IF(OR(R209:R746&lt;0,T208:T746&lt;0,C209:C747=""),"Check","OK")</f>
        <v>Check</v>
      </c>
    </row>
    <row r="210" ht="17.6" spans="1:24">
      <c r="A210" s="4">
        <v>456</v>
      </c>
      <c r="B210" s="5" t="s">
        <v>1516</v>
      </c>
      <c r="C210" s="6">
        <v>42717</v>
      </c>
      <c r="D210" s="6">
        <v>42721</v>
      </c>
      <c r="E210" s="5" t="s">
        <v>4</v>
      </c>
      <c r="F210" s="5" t="s">
        <v>1477</v>
      </c>
      <c r="G210" s="5" t="s">
        <v>1478</v>
      </c>
      <c r="H210" s="5" t="s">
        <v>716</v>
      </c>
      <c r="I210" s="5" t="s">
        <v>708</v>
      </c>
      <c r="J210" s="5" t="s">
        <v>1517</v>
      </c>
      <c r="K210" s="5" t="s">
        <v>530</v>
      </c>
      <c r="L210" s="5">
        <v>73071</v>
      </c>
      <c r="M210" s="5" t="s">
        <v>742</v>
      </c>
      <c r="N210" s="5" t="s">
        <v>1518</v>
      </c>
      <c r="O210" s="5" t="s">
        <v>10</v>
      </c>
      <c r="P210" s="5" t="s">
        <v>809</v>
      </c>
      <c r="Q210" s="5" t="s">
        <v>1519</v>
      </c>
      <c r="R210" s="12">
        <v>63.88</v>
      </c>
      <c r="S210" s="4">
        <v>4</v>
      </c>
      <c r="T210" s="14">
        <v>0</v>
      </c>
      <c r="U210" s="12">
        <v>24.9132</v>
      </c>
      <c r="V210" s="19">
        <v>24.9132</v>
      </c>
      <c r="W210" s="20">
        <v>63.88</v>
      </c>
      <c r="X210" s="21" t="str" cm="1">
        <f t="array" ref="X210">IF(OR(R210:R747&lt;0,T209:T747&lt;0,C210:C748=""),"Check","OK")</f>
        <v>Check</v>
      </c>
    </row>
    <row r="211" ht="17.6" spans="1:24">
      <c r="A211" s="7">
        <v>457</v>
      </c>
      <c r="B211" s="8" t="s">
        <v>1520</v>
      </c>
      <c r="C211" s="9">
        <v>41682</v>
      </c>
      <c r="D211" s="9">
        <v>41688</v>
      </c>
      <c r="E211" s="8" t="s">
        <v>4</v>
      </c>
      <c r="F211" s="8" t="s">
        <v>613</v>
      </c>
      <c r="G211" s="8" t="s">
        <v>614</v>
      </c>
      <c r="H211" s="8" t="s">
        <v>111</v>
      </c>
      <c r="I211" s="8" t="s">
        <v>708</v>
      </c>
      <c r="J211" s="8" t="s">
        <v>127</v>
      </c>
      <c r="K211" s="8" t="s">
        <v>136</v>
      </c>
      <c r="L211" s="8">
        <v>94521</v>
      </c>
      <c r="M211" s="8" t="s">
        <v>717</v>
      </c>
      <c r="N211" s="8" t="s">
        <v>1521</v>
      </c>
      <c r="O211" s="8" t="s">
        <v>8</v>
      </c>
      <c r="P211" s="8" t="s">
        <v>761</v>
      </c>
      <c r="Q211" s="8" t="s">
        <v>1522</v>
      </c>
      <c r="R211" s="15">
        <v>129.568</v>
      </c>
      <c r="S211" s="7">
        <v>2</v>
      </c>
      <c r="T211" s="16">
        <v>0.2</v>
      </c>
      <c r="U211" s="15">
        <v>-24.294</v>
      </c>
      <c r="V211" s="22">
        <v>24.294</v>
      </c>
      <c r="W211" s="23">
        <v>103.6544</v>
      </c>
      <c r="X211" s="21" t="str" cm="1">
        <f t="array" ref="X211">IF(OR(R211:R748&lt;0,T210:T748&lt;0,C211:C749=""),"Check","OK")</f>
        <v>Check</v>
      </c>
    </row>
    <row r="212" ht="17.6" spans="1:24">
      <c r="A212" s="4">
        <v>458</v>
      </c>
      <c r="B212" s="5" t="s">
        <v>1523</v>
      </c>
      <c r="C212" s="6">
        <v>42639</v>
      </c>
      <c r="D212" s="6">
        <v>42644</v>
      </c>
      <c r="E212" s="5" t="s">
        <v>4</v>
      </c>
      <c r="F212" s="5" t="s">
        <v>519</v>
      </c>
      <c r="G212" s="5" t="s">
        <v>520</v>
      </c>
      <c r="H212" s="5" t="s">
        <v>111</v>
      </c>
      <c r="I212" s="5" t="s">
        <v>708</v>
      </c>
      <c r="J212" s="5" t="s">
        <v>521</v>
      </c>
      <c r="K212" s="5" t="s">
        <v>183</v>
      </c>
      <c r="L212" s="5">
        <v>62521</v>
      </c>
      <c r="M212" s="5" t="s">
        <v>742</v>
      </c>
      <c r="N212" s="5" t="s">
        <v>1524</v>
      </c>
      <c r="O212" s="5" t="s">
        <v>8</v>
      </c>
      <c r="P212" s="5" t="s">
        <v>761</v>
      </c>
      <c r="Q212" s="5" t="s">
        <v>1525</v>
      </c>
      <c r="R212" s="12">
        <v>747.558</v>
      </c>
      <c r="S212" s="4">
        <v>3</v>
      </c>
      <c r="T212" s="14">
        <v>0.3</v>
      </c>
      <c r="U212" s="12">
        <v>-96.1146</v>
      </c>
      <c r="V212" s="19">
        <v>96.1146</v>
      </c>
      <c r="W212" s="20">
        <v>523.2906</v>
      </c>
      <c r="X212" s="21" t="str" cm="1">
        <f t="array" ref="X212">IF(OR(R212:R749&lt;0,T211:T749&lt;0,C212:C750=""),"Check","OK")</f>
        <v>Check</v>
      </c>
    </row>
    <row r="213" ht="17.6" spans="1:24">
      <c r="A213" s="7">
        <v>460</v>
      </c>
      <c r="B213" s="8" t="s">
        <v>1526</v>
      </c>
      <c r="C213" s="9">
        <v>42353</v>
      </c>
      <c r="D213" s="9">
        <v>42360</v>
      </c>
      <c r="E213" s="8" t="s">
        <v>4</v>
      </c>
      <c r="F213" s="8" t="s">
        <v>397</v>
      </c>
      <c r="G213" s="8" t="s">
        <v>398</v>
      </c>
      <c r="H213" s="8" t="s">
        <v>111</v>
      </c>
      <c r="I213" s="8" t="s">
        <v>708</v>
      </c>
      <c r="J213" s="8" t="s">
        <v>184</v>
      </c>
      <c r="K213" s="8" t="s">
        <v>185</v>
      </c>
      <c r="L213" s="8">
        <v>98115</v>
      </c>
      <c r="M213" s="8" t="s">
        <v>717</v>
      </c>
      <c r="N213" s="8" t="s">
        <v>1527</v>
      </c>
      <c r="O213" s="8" t="s">
        <v>9</v>
      </c>
      <c r="P213" s="8" t="s">
        <v>744</v>
      </c>
      <c r="Q213" s="8" t="s">
        <v>1528</v>
      </c>
      <c r="R213" s="15">
        <v>103.92</v>
      </c>
      <c r="S213" s="7">
        <v>4</v>
      </c>
      <c r="T213" s="16">
        <v>0</v>
      </c>
      <c r="U213" s="15">
        <v>36.372</v>
      </c>
      <c r="V213" s="22">
        <v>36.372</v>
      </c>
      <c r="W213" s="23">
        <v>103.92</v>
      </c>
      <c r="X213" s="21" t="str" cm="1">
        <f t="array" ref="X213">IF(OR(R213:R750&lt;0,T212:T750&lt;0,C213:C751=""),"Check","OK")</f>
        <v>Check</v>
      </c>
    </row>
    <row r="214" ht="17.6" spans="1:24">
      <c r="A214" s="4">
        <v>463</v>
      </c>
      <c r="B214" s="5" t="s">
        <v>1529</v>
      </c>
      <c r="C214" s="6">
        <v>42482</v>
      </c>
      <c r="D214" s="6">
        <v>42489</v>
      </c>
      <c r="E214" s="5" t="s">
        <v>4</v>
      </c>
      <c r="F214" s="5" t="s">
        <v>1530</v>
      </c>
      <c r="G214" s="5" t="s">
        <v>1531</v>
      </c>
      <c r="H214" s="5" t="s">
        <v>741</v>
      </c>
      <c r="I214" s="5" t="s">
        <v>708</v>
      </c>
      <c r="J214" s="5" t="s">
        <v>365</v>
      </c>
      <c r="K214" s="5" t="s">
        <v>122</v>
      </c>
      <c r="L214" s="5">
        <v>85023</v>
      </c>
      <c r="M214" s="5" t="s">
        <v>717</v>
      </c>
      <c r="N214" s="5" t="s">
        <v>1532</v>
      </c>
      <c r="O214" s="5" t="s">
        <v>8</v>
      </c>
      <c r="P214" s="5" t="s">
        <v>727</v>
      </c>
      <c r="Q214" s="5" t="s">
        <v>1533</v>
      </c>
      <c r="R214" s="12">
        <v>23.56</v>
      </c>
      <c r="S214" s="4">
        <v>5</v>
      </c>
      <c r="T214" s="14">
        <v>0.2</v>
      </c>
      <c r="U214" s="12">
        <v>7.068</v>
      </c>
      <c r="V214" s="19">
        <v>7.068</v>
      </c>
      <c r="W214" s="20">
        <v>18.848</v>
      </c>
      <c r="X214" s="21" t="str" cm="1">
        <f t="array" ref="X214">IF(OR(R214:R751&lt;0,T213:T751&lt;0,C214:C752=""),"Check","OK")</f>
        <v>Check</v>
      </c>
    </row>
    <row r="215" ht="17.6" spans="1:24">
      <c r="A215" s="7">
        <v>468</v>
      </c>
      <c r="B215" s="8" t="s">
        <v>1534</v>
      </c>
      <c r="C215" s="9">
        <v>42021</v>
      </c>
      <c r="D215" s="9">
        <v>42028</v>
      </c>
      <c r="E215" s="8" t="s">
        <v>4</v>
      </c>
      <c r="F215" s="8" t="s">
        <v>1535</v>
      </c>
      <c r="G215" s="8" t="s">
        <v>1536</v>
      </c>
      <c r="H215" s="8" t="s">
        <v>741</v>
      </c>
      <c r="I215" s="8" t="s">
        <v>708</v>
      </c>
      <c r="J215" s="8" t="s">
        <v>1537</v>
      </c>
      <c r="K215" s="8" t="s">
        <v>183</v>
      </c>
      <c r="L215" s="8">
        <v>60068</v>
      </c>
      <c r="M215" s="8" t="s">
        <v>742</v>
      </c>
      <c r="N215" s="8" t="s">
        <v>1538</v>
      </c>
      <c r="O215" s="8" t="s">
        <v>8</v>
      </c>
      <c r="P215" s="8" t="s">
        <v>727</v>
      </c>
      <c r="Q215" s="8" t="s">
        <v>1539</v>
      </c>
      <c r="R215" s="15">
        <v>254.744</v>
      </c>
      <c r="S215" s="7">
        <v>7</v>
      </c>
      <c r="T215" s="16">
        <v>0.6</v>
      </c>
      <c r="U215" s="15">
        <v>-312.0614</v>
      </c>
      <c r="V215" s="22">
        <v>312.0614</v>
      </c>
      <c r="W215" s="23">
        <v>101.8976</v>
      </c>
      <c r="X215" s="21" t="str" cm="1">
        <f t="array" ref="X215">IF(OR(R215:R752&lt;0,T214:T752&lt;0,C215:C753=""),"Check","OK")</f>
        <v>Check</v>
      </c>
    </row>
    <row r="216" ht="17.6" spans="1:24">
      <c r="A216" s="4">
        <v>469</v>
      </c>
      <c r="B216" s="5" t="s">
        <v>1540</v>
      </c>
      <c r="C216" s="6">
        <v>42825</v>
      </c>
      <c r="D216" s="6">
        <v>42829</v>
      </c>
      <c r="E216" s="5" t="s">
        <v>4</v>
      </c>
      <c r="F216" s="5" t="s">
        <v>1143</v>
      </c>
      <c r="G216" s="5" t="s">
        <v>1144</v>
      </c>
      <c r="H216" s="5" t="s">
        <v>716</v>
      </c>
      <c r="I216" s="5" t="s">
        <v>708</v>
      </c>
      <c r="J216" s="5" t="s">
        <v>1541</v>
      </c>
      <c r="K216" s="5" t="s">
        <v>132</v>
      </c>
      <c r="L216" s="5">
        <v>79109</v>
      </c>
      <c r="M216" s="5" t="s">
        <v>742</v>
      </c>
      <c r="N216" s="5" t="s">
        <v>1542</v>
      </c>
      <c r="O216" s="5" t="s">
        <v>8</v>
      </c>
      <c r="P216" s="5" t="s">
        <v>711</v>
      </c>
      <c r="Q216" s="5" t="s">
        <v>1543</v>
      </c>
      <c r="R216" s="12">
        <v>205.3328</v>
      </c>
      <c r="S216" s="4">
        <v>2</v>
      </c>
      <c r="T216" s="14">
        <v>0.32</v>
      </c>
      <c r="U216" s="12">
        <v>-36.2352</v>
      </c>
      <c r="V216" s="19">
        <v>36.2352</v>
      </c>
      <c r="W216" s="20">
        <v>139.626304</v>
      </c>
      <c r="X216" s="21" t="str" cm="1">
        <f t="array" ref="X216">IF(OR(R216:R753&lt;0,T215:T753&lt;0,C216:C754=""),"Check","OK")</f>
        <v>Check</v>
      </c>
    </row>
    <row r="217" ht="17.6" spans="1:24">
      <c r="A217" s="7">
        <v>470</v>
      </c>
      <c r="B217" s="8" t="s">
        <v>1544</v>
      </c>
      <c r="C217" s="9">
        <v>42720</v>
      </c>
      <c r="D217" s="9">
        <v>42724</v>
      </c>
      <c r="E217" s="8" t="s">
        <v>707</v>
      </c>
      <c r="F217" s="8" t="s">
        <v>230</v>
      </c>
      <c r="G217" s="8" t="s">
        <v>231</v>
      </c>
      <c r="H217" s="8" t="s">
        <v>111</v>
      </c>
      <c r="I217" s="8" t="s">
        <v>708</v>
      </c>
      <c r="J217" s="8" t="s">
        <v>182</v>
      </c>
      <c r="K217" s="8" t="s">
        <v>183</v>
      </c>
      <c r="L217" s="8">
        <v>60610</v>
      </c>
      <c r="M217" s="8" t="s">
        <v>742</v>
      </c>
      <c r="N217" s="8" t="s">
        <v>1545</v>
      </c>
      <c r="O217" s="8" t="s">
        <v>9</v>
      </c>
      <c r="P217" s="8" t="s">
        <v>736</v>
      </c>
      <c r="Q217" s="8" t="s">
        <v>1546</v>
      </c>
      <c r="R217" s="15">
        <v>4.788</v>
      </c>
      <c r="S217" s="7">
        <v>3</v>
      </c>
      <c r="T217" s="16">
        <v>0.8</v>
      </c>
      <c r="U217" s="15">
        <v>-7.9002</v>
      </c>
      <c r="V217" s="22">
        <v>7.9002</v>
      </c>
      <c r="W217" s="23">
        <v>0.9576</v>
      </c>
      <c r="X217" s="21" t="str" cm="1">
        <f t="array" ref="X217">IF(OR(R217:R754&lt;0,T216:T754&lt;0,C217:C755=""),"Check","OK")</f>
        <v>Check</v>
      </c>
    </row>
    <row r="218" ht="17.6" spans="1:24">
      <c r="A218" s="4">
        <v>471</v>
      </c>
      <c r="B218" s="5" t="s">
        <v>1547</v>
      </c>
      <c r="C218" s="6">
        <v>42358</v>
      </c>
      <c r="D218" s="6">
        <v>42362</v>
      </c>
      <c r="E218" s="5" t="s">
        <v>4</v>
      </c>
      <c r="F218" s="5" t="s">
        <v>1548</v>
      </c>
      <c r="G218" s="5" t="s">
        <v>1549</v>
      </c>
      <c r="H218" s="5" t="s">
        <v>716</v>
      </c>
      <c r="I218" s="5" t="s">
        <v>708</v>
      </c>
      <c r="J218" s="5" t="s">
        <v>1550</v>
      </c>
      <c r="K218" s="5" t="s">
        <v>168</v>
      </c>
      <c r="L218" s="5">
        <v>11757</v>
      </c>
      <c r="M218" s="5" t="s">
        <v>759</v>
      </c>
      <c r="N218" s="5" t="s">
        <v>1551</v>
      </c>
      <c r="O218" s="5" t="s">
        <v>9</v>
      </c>
      <c r="P218" s="5" t="s">
        <v>731</v>
      </c>
      <c r="Q218" s="5" t="s">
        <v>1552</v>
      </c>
      <c r="R218" s="12">
        <v>55.48</v>
      </c>
      <c r="S218" s="4">
        <v>1</v>
      </c>
      <c r="T218" s="14">
        <v>0</v>
      </c>
      <c r="U218" s="12">
        <v>26.6304</v>
      </c>
      <c r="V218" s="19">
        <v>26.6304</v>
      </c>
      <c r="W218" s="20">
        <v>55.48</v>
      </c>
      <c r="X218" s="21" t="str" cm="1">
        <f t="array" ref="X218">IF(OR(R218:R755&lt;0,T217:T755&lt;0,C218:C756=""),"Check","OK")</f>
        <v>Check</v>
      </c>
    </row>
    <row r="219" ht="17.6" spans="1:24">
      <c r="A219" s="7">
        <v>472</v>
      </c>
      <c r="B219" s="8" t="s">
        <v>1553</v>
      </c>
      <c r="C219" s="9">
        <v>41952</v>
      </c>
      <c r="D219" s="9">
        <v>41954</v>
      </c>
      <c r="E219" s="8" t="s">
        <v>707</v>
      </c>
      <c r="F219" s="8" t="s">
        <v>422</v>
      </c>
      <c r="G219" s="8" t="s">
        <v>423</v>
      </c>
      <c r="H219" s="8" t="s">
        <v>111</v>
      </c>
      <c r="I219" s="8" t="s">
        <v>708</v>
      </c>
      <c r="J219" s="8" t="s">
        <v>188</v>
      </c>
      <c r="K219" s="8" t="s">
        <v>136</v>
      </c>
      <c r="L219" s="8">
        <v>94110</v>
      </c>
      <c r="M219" s="8" t="s">
        <v>717</v>
      </c>
      <c r="N219" s="8" t="s">
        <v>1554</v>
      </c>
      <c r="O219" s="8" t="s">
        <v>9</v>
      </c>
      <c r="P219" s="8" t="s">
        <v>748</v>
      </c>
      <c r="Q219" s="8" t="s">
        <v>1555</v>
      </c>
      <c r="R219" s="15">
        <v>340.92</v>
      </c>
      <c r="S219" s="7">
        <v>3</v>
      </c>
      <c r="T219" s="16">
        <v>0</v>
      </c>
      <c r="U219" s="15">
        <v>3.4092</v>
      </c>
      <c r="V219" s="22">
        <v>3.4092</v>
      </c>
      <c r="W219" s="23">
        <v>340.92</v>
      </c>
      <c r="X219" s="21" t="str" cm="1">
        <f t="array" ref="X219">IF(OR(R219:R756&lt;0,T218:T756&lt;0,C219:C757=""),"Check","OK")</f>
        <v>Check</v>
      </c>
    </row>
    <row r="220" ht="17.6" spans="1:24">
      <c r="A220" s="4">
        <v>478</v>
      </c>
      <c r="B220" s="5" t="s">
        <v>1556</v>
      </c>
      <c r="C220" s="6">
        <v>42563</v>
      </c>
      <c r="D220" s="6">
        <v>42570</v>
      </c>
      <c r="E220" s="5" t="s">
        <v>4</v>
      </c>
      <c r="F220" s="5" t="s">
        <v>1215</v>
      </c>
      <c r="G220" s="5" t="s">
        <v>1216</v>
      </c>
      <c r="H220" s="5" t="s">
        <v>716</v>
      </c>
      <c r="I220" s="5" t="s">
        <v>708</v>
      </c>
      <c r="J220" s="5" t="s">
        <v>135</v>
      </c>
      <c r="K220" s="5" t="s">
        <v>136</v>
      </c>
      <c r="L220" s="5">
        <v>90008</v>
      </c>
      <c r="M220" s="5" t="s">
        <v>717</v>
      </c>
      <c r="N220" s="5" t="s">
        <v>1557</v>
      </c>
      <c r="O220" s="5" t="s">
        <v>10</v>
      </c>
      <c r="P220" s="5" t="s">
        <v>780</v>
      </c>
      <c r="Q220" s="5" t="s">
        <v>1558</v>
      </c>
      <c r="R220" s="12">
        <v>95.76</v>
      </c>
      <c r="S220" s="4">
        <v>6</v>
      </c>
      <c r="T220" s="14">
        <v>0.2</v>
      </c>
      <c r="U220" s="12">
        <v>7.182</v>
      </c>
      <c r="V220" s="19">
        <v>7.182</v>
      </c>
      <c r="W220" s="20">
        <v>76.608</v>
      </c>
      <c r="X220" s="21" t="str" cm="1">
        <f t="array" ref="X220">IF(OR(R220:R757&lt;0,T219:T757&lt;0,C220:C758=""),"Check","OK")</f>
        <v>Check</v>
      </c>
    </row>
    <row r="221" ht="17.6" spans="1:24">
      <c r="A221" s="7">
        <v>479</v>
      </c>
      <c r="B221" s="8" t="s">
        <v>1559</v>
      </c>
      <c r="C221" s="9">
        <v>42670</v>
      </c>
      <c r="D221" s="9">
        <v>42676</v>
      </c>
      <c r="E221" s="8" t="s">
        <v>4</v>
      </c>
      <c r="F221" s="8" t="s">
        <v>373</v>
      </c>
      <c r="G221" s="8" t="s">
        <v>374</v>
      </c>
      <c r="H221" s="8" t="s">
        <v>111</v>
      </c>
      <c r="I221" s="8" t="s">
        <v>708</v>
      </c>
      <c r="J221" s="8" t="s">
        <v>376</v>
      </c>
      <c r="K221" s="8" t="s">
        <v>168</v>
      </c>
      <c r="L221" s="8">
        <v>12180</v>
      </c>
      <c r="M221" s="8" t="s">
        <v>759</v>
      </c>
      <c r="N221" s="8" t="s">
        <v>1267</v>
      </c>
      <c r="O221" s="8" t="s">
        <v>8</v>
      </c>
      <c r="P221" s="8" t="s">
        <v>727</v>
      </c>
      <c r="Q221" s="8" t="s">
        <v>1268</v>
      </c>
      <c r="R221" s="15">
        <v>40.2</v>
      </c>
      <c r="S221" s="7">
        <v>3</v>
      </c>
      <c r="T221" s="16">
        <v>0</v>
      </c>
      <c r="U221" s="15">
        <v>19.296</v>
      </c>
      <c r="V221" s="22">
        <v>19.296</v>
      </c>
      <c r="W221" s="23">
        <v>40.2</v>
      </c>
      <c r="X221" s="21" t="str" cm="1">
        <f t="array" ref="X221">IF(OR(R221:R758&lt;0,T220:T758&lt;0,C221:C759=""),"Check","OK")</f>
        <v>Check</v>
      </c>
    </row>
    <row r="222" ht="17.6" spans="1:24">
      <c r="A222" s="4">
        <v>480</v>
      </c>
      <c r="B222" s="5" t="s">
        <v>1560</v>
      </c>
      <c r="C222" s="6">
        <v>42547</v>
      </c>
      <c r="D222" s="6">
        <v>42553</v>
      </c>
      <c r="E222" s="5" t="s">
        <v>4</v>
      </c>
      <c r="F222" s="5" t="s">
        <v>1561</v>
      </c>
      <c r="G222" s="5" t="s">
        <v>1562</v>
      </c>
      <c r="H222" s="5" t="s">
        <v>716</v>
      </c>
      <c r="I222" s="5" t="s">
        <v>708</v>
      </c>
      <c r="J222" s="5" t="s">
        <v>204</v>
      </c>
      <c r="K222" s="5" t="s">
        <v>168</v>
      </c>
      <c r="L222" s="5">
        <v>10024</v>
      </c>
      <c r="M222" s="5" t="s">
        <v>759</v>
      </c>
      <c r="N222" s="5" t="s">
        <v>91</v>
      </c>
      <c r="O222" s="5" t="s">
        <v>9</v>
      </c>
      <c r="P222" s="5" t="s">
        <v>16</v>
      </c>
      <c r="Q222" s="5" t="s">
        <v>90</v>
      </c>
      <c r="R222" s="12">
        <v>14.7</v>
      </c>
      <c r="S222" s="4">
        <v>5</v>
      </c>
      <c r="T222" s="14">
        <v>0</v>
      </c>
      <c r="U222" s="12">
        <v>6.615</v>
      </c>
      <c r="V222" s="19">
        <v>6.615</v>
      </c>
      <c r="W222" s="20">
        <v>14.7</v>
      </c>
      <c r="X222" s="21" t="str" cm="1">
        <f t="array" ref="X222">IF(OR(R222:R759&lt;0,T221:T759&lt;0,C222:C760=""),"Check","OK")</f>
        <v>Check</v>
      </c>
    </row>
    <row r="223" ht="17.6" spans="1:24">
      <c r="A223" s="7">
        <v>482</v>
      </c>
      <c r="B223" s="8" t="s">
        <v>1563</v>
      </c>
      <c r="C223" s="9">
        <v>41918</v>
      </c>
      <c r="D223" s="9">
        <v>41922</v>
      </c>
      <c r="E223" s="8" t="s">
        <v>4</v>
      </c>
      <c r="F223" s="8" t="s">
        <v>687</v>
      </c>
      <c r="G223" s="8" t="s">
        <v>688</v>
      </c>
      <c r="H223" s="8" t="s">
        <v>111</v>
      </c>
      <c r="I223" s="8" t="s">
        <v>708</v>
      </c>
      <c r="J223" s="8" t="s">
        <v>431</v>
      </c>
      <c r="K223" s="8" t="s">
        <v>136</v>
      </c>
      <c r="L223" s="8">
        <v>92024</v>
      </c>
      <c r="M223" s="8" t="s">
        <v>717</v>
      </c>
      <c r="N223" s="8" t="s">
        <v>1564</v>
      </c>
      <c r="O223" s="8" t="s">
        <v>10</v>
      </c>
      <c r="P223" s="8" t="s">
        <v>809</v>
      </c>
      <c r="Q223" s="8" t="s">
        <v>1565</v>
      </c>
      <c r="R223" s="15">
        <v>9.09</v>
      </c>
      <c r="S223" s="7">
        <v>3</v>
      </c>
      <c r="T223" s="16">
        <v>0</v>
      </c>
      <c r="U223" s="15">
        <v>1.9089</v>
      </c>
      <c r="V223" s="22">
        <v>1.9089</v>
      </c>
      <c r="W223" s="23">
        <v>9.09</v>
      </c>
      <c r="X223" s="21" t="str" cm="1">
        <f t="array" ref="X223">IF(OR(R223:R760&lt;0,T222:T760&lt;0,C223:C761=""),"Check","OK")</f>
        <v>Check</v>
      </c>
    </row>
    <row r="224" ht="17.6" spans="1:24">
      <c r="A224" s="4">
        <v>483</v>
      </c>
      <c r="B224" s="5" t="s">
        <v>1566</v>
      </c>
      <c r="C224" s="6">
        <v>41842</v>
      </c>
      <c r="D224" s="6">
        <v>41847</v>
      </c>
      <c r="E224" s="5" t="s">
        <v>4</v>
      </c>
      <c r="F224" s="5" t="s">
        <v>321</v>
      </c>
      <c r="G224" s="5" t="s">
        <v>322</v>
      </c>
      <c r="H224" s="5" t="s">
        <v>111</v>
      </c>
      <c r="I224" s="5" t="s">
        <v>708</v>
      </c>
      <c r="J224" s="5" t="s">
        <v>204</v>
      </c>
      <c r="K224" s="5" t="s">
        <v>168</v>
      </c>
      <c r="L224" s="5">
        <v>10024</v>
      </c>
      <c r="M224" s="5" t="s">
        <v>759</v>
      </c>
      <c r="N224" s="5" t="s">
        <v>93</v>
      </c>
      <c r="O224" s="5" t="s">
        <v>9</v>
      </c>
      <c r="P224" s="5" t="s">
        <v>16</v>
      </c>
      <c r="Q224" s="5" t="s">
        <v>92</v>
      </c>
      <c r="R224" s="12">
        <v>5.96</v>
      </c>
      <c r="S224" s="4">
        <v>2</v>
      </c>
      <c r="T224" s="14">
        <v>0</v>
      </c>
      <c r="U224" s="12">
        <v>1.6688</v>
      </c>
      <c r="V224" s="19">
        <v>1.6688</v>
      </c>
      <c r="W224" s="20">
        <v>5.96</v>
      </c>
      <c r="X224" s="21" t="str" cm="1">
        <f t="array" ref="X224">IF(OR(R224:R761&lt;0,T223:T761&lt;0,C224:C762=""),"Check","OK")</f>
        <v>Check</v>
      </c>
    </row>
    <row r="225" ht="17.6" spans="1:24">
      <c r="A225" s="7">
        <v>485</v>
      </c>
      <c r="B225" s="8" t="s">
        <v>1567</v>
      </c>
      <c r="C225" s="9">
        <v>42896</v>
      </c>
      <c r="D225" s="9">
        <v>42899</v>
      </c>
      <c r="E225" s="8" t="s">
        <v>13</v>
      </c>
      <c r="F225" s="8" t="s">
        <v>1568</v>
      </c>
      <c r="G225" s="8" t="s">
        <v>1569</v>
      </c>
      <c r="H225" s="8" t="s">
        <v>741</v>
      </c>
      <c r="I225" s="8" t="s">
        <v>708</v>
      </c>
      <c r="J225" s="8" t="s">
        <v>135</v>
      </c>
      <c r="K225" s="8" t="s">
        <v>136</v>
      </c>
      <c r="L225" s="8">
        <v>90045</v>
      </c>
      <c r="M225" s="8" t="s">
        <v>717</v>
      </c>
      <c r="N225" s="8" t="s">
        <v>1570</v>
      </c>
      <c r="O225" s="8" t="s">
        <v>9</v>
      </c>
      <c r="P225" s="8" t="s">
        <v>719</v>
      </c>
      <c r="Q225" s="8" t="s">
        <v>1571</v>
      </c>
      <c r="R225" s="15">
        <v>29.6</v>
      </c>
      <c r="S225" s="7">
        <v>2</v>
      </c>
      <c r="T225" s="16">
        <v>0</v>
      </c>
      <c r="U225" s="15">
        <v>14.8</v>
      </c>
      <c r="V225" s="22">
        <v>14.8</v>
      </c>
      <c r="W225" s="23">
        <v>29.6</v>
      </c>
      <c r="X225" s="21" t="str" cm="1">
        <f t="array" ref="X225">IF(OR(R225:R762&lt;0,T224:T762&lt;0,C225:C763=""),"Check","OK")</f>
        <v>Check</v>
      </c>
    </row>
    <row r="226" ht="17.6" spans="1:24">
      <c r="A226" s="4">
        <v>488</v>
      </c>
      <c r="B226" s="5" t="s">
        <v>1572</v>
      </c>
      <c r="C226" s="6">
        <v>41941</v>
      </c>
      <c r="D226" s="6">
        <v>41943</v>
      </c>
      <c r="E226" s="5" t="s">
        <v>13</v>
      </c>
      <c r="F226" s="5" t="s">
        <v>611</v>
      </c>
      <c r="G226" s="5" t="s">
        <v>612</v>
      </c>
      <c r="H226" s="5" t="s">
        <v>111</v>
      </c>
      <c r="I226" s="5" t="s">
        <v>708</v>
      </c>
      <c r="J226" s="5" t="s">
        <v>182</v>
      </c>
      <c r="K226" s="5" t="s">
        <v>183</v>
      </c>
      <c r="L226" s="5">
        <v>60610</v>
      </c>
      <c r="M226" s="5" t="s">
        <v>742</v>
      </c>
      <c r="N226" s="5" t="s">
        <v>1573</v>
      </c>
      <c r="O226" s="5" t="s">
        <v>10</v>
      </c>
      <c r="P226" s="5" t="s">
        <v>780</v>
      </c>
      <c r="Q226" s="5" t="s">
        <v>1574</v>
      </c>
      <c r="R226" s="12">
        <v>2735.952</v>
      </c>
      <c r="S226" s="4">
        <v>6</v>
      </c>
      <c r="T226" s="14">
        <v>0.2</v>
      </c>
      <c r="U226" s="12">
        <v>341.994</v>
      </c>
      <c r="V226" s="19">
        <v>341.994</v>
      </c>
      <c r="W226" s="20">
        <v>2188.7616</v>
      </c>
      <c r="X226" s="21" t="str" cm="1">
        <f t="array" ref="X226">IF(OR(R226:R763&lt;0,T225:T763&lt;0,C226:C764=""),"Check","OK")</f>
        <v>Check</v>
      </c>
    </row>
    <row r="227" ht="17.6" spans="1:24">
      <c r="A227" s="7">
        <v>489</v>
      </c>
      <c r="B227" s="8" t="s">
        <v>1575</v>
      </c>
      <c r="C227" s="9">
        <v>41799</v>
      </c>
      <c r="D227" s="9">
        <v>41803</v>
      </c>
      <c r="E227" s="8" t="s">
        <v>707</v>
      </c>
      <c r="F227" s="8" t="s">
        <v>1576</v>
      </c>
      <c r="G227" s="8" t="s">
        <v>1577</v>
      </c>
      <c r="H227" s="8" t="s">
        <v>741</v>
      </c>
      <c r="I227" s="8" t="s">
        <v>708</v>
      </c>
      <c r="J227" s="8" t="s">
        <v>1578</v>
      </c>
      <c r="K227" s="8" t="s">
        <v>132</v>
      </c>
      <c r="L227" s="8">
        <v>77340</v>
      </c>
      <c r="M227" s="8" t="s">
        <v>742</v>
      </c>
      <c r="N227" s="8" t="s">
        <v>1579</v>
      </c>
      <c r="O227" s="8" t="s">
        <v>10</v>
      </c>
      <c r="P227" s="8" t="s">
        <v>780</v>
      </c>
      <c r="Q227" s="8" t="s">
        <v>1580</v>
      </c>
      <c r="R227" s="15">
        <v>7.992</v>
      </c>
      <c r="S227" s="7">
        <v>1</v>
      </c>
      <c r="T227" s="16">
        <v>0.2</v>
      </c>
      <c r="U227" s="15">
        <v>0.5994</v>
      </c>
      <c r="V227" s="22">
        <v>0.5994</v>
      </c>
      <c r="W227" s="23">
        <v>6.3936</v>
      </c>
      <c r="X227" s="21" t="str" cm="1">
        <f t="array" ref="X227">IF(OR(R227:R764&lt;0,T226:T764&lt;0,C227:C765=""),"Check","OK")</f>
        <v>Check</v>
      </c>
    </row>
    <row r="228" ht="17.6" spans="1:24">
      <c r="A228" s="4">
        <v>492</v>
      </c>
      <c r="B228" s="5" t="s">
        <v>1581</v>
      </c>
      <c r="C228" s="6">
        <v>41896</v>
      </c>
      <c r="D228" s="6">
        <v>41901</v>
      </c>
      <c r="E228" s="5" t="s">
        <v>4</v>
      </c>
      <c r="F228" s="5" t="s">
        <v>165</v>
      </c>
      <c r="G228" s="5" t="s">
        <v>166</v>
      </c>
      <c r="H228" s="5" t="s">
        <v>111</v>
      </c>
      <c r="I228" s="5" t="s">
        <v>708</v>
      </c>
      <c r="J228" s="5" t="s">
        <v>167</v>
      </c>
      <c r="K228" s="5" t="s">
        <v>168</v>
      </c>
      <c r="L228" s="5">
        <v>14609</v>
      </c>
      <c r="M228" s="5" t="s">
        <v>759</v>
      </c>
      <c r="N228" s="5" t="s">
        <v>1582</v>
      </c>
      <c r="O228" s="5" t="s">
        <v>9</v>
      </c>
      <c r="P228" s="5" t="s">
        <v>748</v>
      </c>
      <c r="Q228" s="5" t="s">
        <v>1583</v>
      </c>
      <c r="R228" s="12">
        <v>449.15</v>
      </c>
      <c r="S228" s="4">
        <v>5</v>
      </c>
      <c r="T228" s="14">
        <v>0</v>
      </c>
      <c r="U228" s="12">
        <v>8.983</v>
      </c>
      <c r="V228" s="19">
        <v>8.983</v>
      </c>
      <c r="W228" s="20">
        <v>449.15</v>
      </c>
      <c r="X228" s="21" t="str" cm="1">
        <f t="array" ref="X228">IF(OR(R228:R765&lt;0,T227:T765&lt;0,C228:C766=""),"Check","OK")</f>
        <v>Check</v>
      </c>
    </row>
    <row r="229" ht="17.6" spans="1:24">
      <c r="A229" s="7">
        <v>494</v>
      </c>
      <c r="B229" s="8" t="s">
        <v>1584</v>
      </c>
      <c r="C229" s="9">
        <v>42499</v>
      </c>
      <c r="D229" s="9">
        <v>42504</v>
      </c>
      <c r="E229" s="8" t="s">
        <v>4</v>
      </c>
      <c r="F229" s="8" t="s">
        <v>644</v>
      </c>
      <c r="G229" s="8" t="s">
        <v>645</v>
      </c>
      <c r="H229" s="8" t="s">
        <v>111</v>
      </c>
      <c r="I229" s="8" t="s">
        <v>708</v>
      </c>
      <c r="J229" s="8" t="s">
        <v>184</v>
      </c>
      <c r="K229" s="8" t="s">
        <v>185</v>
      </c>
      <c r="L229" s="8">
        <v>98115</v>
      </c>
      <c r="M229" s="8" t="s">
        <v>717</v>
      </c>
      <c r="N229" s="8" t="s">
        <v>1585</v>
      </c>
      <c r="O229" s="8" t="s">
        <v>10</v>
      </c>
      <c r="P229" s="8" t="s">
        <v>809</v>
      </c>
      <c r="Q229" s="8" t="s">
        <v>1586</v>
      </c>
      <c r="R229" s="15">
        <v>93.98</v>
      </c>
      <c r="S229" s="7">
        <v>2</v>
      </c>
      <c r="T229" s="16">
        <v>0</v>
      </c>
      <c r="U229" s="15">
        <v>13.1572</v>
      </c>
      <c r="V229" s="22">
        <v>13.1572</v>
      </c>
      <c r="W229" s="23">
        <v>93.98</v>
      </c>
      <c r="X229" s="21" t="str" cm="1">
        <f t="array" ref="X229">IF(OR(R229:R766&lt;0,T228:T766&lt;0,C229:C767=""),"Check","OK")</f>
        <v>Check</v>
      </c>
    </row>
    <row r="230" ht="17.6" spans="1:24">
      <c r="A230" s="4">
        <v>495</v>
      </c>
      <c r="B230" s="5" t="s">
        <v>1587</v>
      </c>
      <c r="C230" s="6">
        <v>42447</v>
      </c>
      <c r="D230" s="6">
        <v>42450</v>
      </c>
      <c r="E230" s="5" t="s">
        <v>707</v>
      </c>
      <c r="F230" s="5" t="s">
        <v>605</v>
      </c>
      <c r="G230" s="5" t="s">
        <v>606</v>
      </c>
      <c r="H230" s="5" t="s">
        <v>111</v>
      </c>
      <c r="I230" s="5" t="s">
        <v>708</v>
      </c>
      <c r="J230" s="5" t="s">
        <v>380</v>
      </c>
      <c r="K230" s="5" t="s">
        <v>381</v>
      </c>
      <c r="L230" s="5">
        <v>38109</v>
      </c>
      <c r="M230" s="5" t="s">
        <v>709</v>
      </c>
      <c r="N230" s="5" t="s">
        <v>1588</v>
      </c>
      <c r="O230" s="5" t="s">
        <v>8</v>
      </c>
      <c r="P230" s="5" t="s">
        <v>723</v>
      </c>
      <c r="Q230" s="5" t="s">
        <v>1589</v>
      </c>
      <c r="R230" s="12">
        <v>189.882</v>
      </c>
      <c r="S230" s="4">
        <v>3</v>
      </c>
      <c r="T230" s="14">
        <v>0.4</v>
      </c>
      <c r="U230" s="12">
        <v>-94.941</v>
      </c>
      <c r="V230" s="19">
        <v>94.941</v>
      </c>
      <c r="W230" s="20">
        <v>113.9292</v>
      </c>
      <c r="X230" s="21" t="str" cm="1">
        <f t="array" ref="X230">IF(OR(R230:R767&lt;0,T229:T767&lt;0,C230:C768=""),"Check","OK")</f>
        <v>Check</v>
      </c>
    </row>
    <row r="231" ht="17.6" spans="1:24">
      <c r="A231" s="7">
        <v>496</v>
      </c>
      <c r="B231" s="8" t="s">
        <v>1590</v>
      </c>
      <c r="C231" s="9">
        <v>42365</v>
      </c>
      <c r="D231" s="9">
        <v>42369</v>
      </c>
      <c r="E231" s="8" t="s">
        <v>4</v>
      </c>
      <c r="F231" s="8" t="s">
        <v>492</v>
      </c>
      <c r="G231" s="8" t="s">
        <v>493</v>
      </c>
      <c r="H231" s="8" t="s">
        <v>111</v>
      </c>
      <c r="I231" s="8" t="s">
        <v>708</v>
      </c>
      <c r="J231" s="8" t="s">
        <v>494</v>
      </c>
      <c r="K231" s="8" t="s">
        <v>495</v>
      </c>
      <c r="L231" s="8">
        <v>72701</v>
      </c>
      <c r="M231" s="8" t="s">
        <v>709</v>
      </c>
      <c r="N231" s="8" t="s">
        <v>1591</v>
      </c>
      <c r="O231" s="8" t="s">
        <v>9</v>
      </c>
      <c r="P231" s="8" t="s">
        <v>786</v>
      </c>
      <c r="Q231" s="8" t="s">
        <v>1592</v>
      </c>
      <c r="R231" s="15">
        <v>105.42</v>
      </c>
      <c r="S231" s="7">
        <v>2</v>
      </c>
      <c r="T231" s="16">
        <v>0</v>
      </c>
      <c r="U231" s="15">
        <v>51.6558</v>
      </c>
      <c r="V231" s="22">
        <v>51.6558</v>
      </c>
      <c r="W231" s="23">
        <v>105.42</v>
      </c>
      <c r="X231" s="21" t="str" cm="1">
        <f t="array" ref="X231">IF(OR(R231:R768&lt;0,T230:T768&lt;0,C231:C769=""),"Check","OK")</f>
        <v>Check</v>
      </c>
    </row>
    <row r="232" ht="17.6" spans="1:24">
      <c r="A232" s="4">
        <v>497</v>
      </c>
      <c r="B232" s="5" t="s">
        <v>1593</v>
      </c>
      <c r="C232" s="6">
        <v>42576</v>
      </c>
      <c r="D232" s="6">
        <v>42582</v>
      </c>
      <c r="E232" s="5" t="s">
        <v>4</v>
      </c>
      <c r="F232" s="5" t="s">
        <v>613</v>
      </c>
      <c r="G232" s="5" t="s">
        <v>614</v>
      </c>
      <c r="H232" s="5" t="s">
        <v>111</v>
      </c>
      <c r="I232" s="5" t="s">
        <v>708</v>
      </c>
      <c r="J232" s="5" t="s">
        <v>615</v>
      </c>
      <c r="K232" s="5" t="s">
        <v>136</v>
      </c>
      <c r="L232" s="5">
        <v>92627</v>
      </c>
      <c r="M232" s="5" t="s">
        <v>717</v>
      </c>
      <c r="N232" s="5" t="s">
        <v>1594</v>
      </c>
      <c r="O232" s="5" t="s">
        <v>9</v>
      </c>
      <c r="P232" s="5" t="s">
        <v>736</v>
      </c>
      <c r="Q232" s="5" t="s">
        <v>1595</v>
      </c>
      <c r="R232" s="12">
        <v>119.616</v>
      </c>
      <c r="S232" s="4">
        <v>8</v>
      </c>
      <c r="T232" s="14">
        <v>0.2</v>
      </c>
      <c r="U232" s="12">
        <v>40.3704</v>
      </c>
      <c r="V232" s="19">
        <v>40.3704</v>
      </c>
      <c r="W232" s="20">
        <v>95.6928</v>
      </c>
      <c r="X232" s="21" t="str" cm="1">
        <f t="array" ref="X232">IF(OR(R232:R769&lt;0,T231:T769&lt;0,C232:C770=""),"Check","OK")</f>
        <v>Check</v>
      </c>
    </row>
    <row r="233" ht="17.6" spans="1:24">
      <c r="A233" s="7">
        <v>501</v>
      </c>
      <c r="B233" s="8" t="s">
        <v>1596</v>
      </c>
      <c r="C233" s="9">
        <v>42520</v>
      </c>
      <c r="D233" s="9">
        <v>42525</v>
      </c>
      <c r="E233" s="8" t="s">
        <v>4</v>
      </c>
      <c r="F233" s="8" t="s">
        <v>1597</v>
      </c>
      <c r="G233" s="8" t="s">
        <v>1598</v>
      </c>
      <c r="H233" s="8" t="s">
        <v>716</v>
      </c>
      <c r="I233" s="8" t="s">
        <v>708</v>
      </c>
      <c r="J233" s="8" t="s">
        <v>1599</v>
      </c>
      <c r="K233" s="8" t="s">
        <v>217</v>
      </c>
      <c r="L233" s="8">
        <v>80134</v>
      </c>
      <c r="M233" s="8" t="s">
        <v>717</v>
      </c>
      <c r="N233" s="8" t="s">
        <v>1600</v>
      </c>
      <c r="O233" s="8" t="s">
        <v>9</v>
      </c>
      <c r="P233" s="8" t="s">
        <v>736</v>
      </c>
      <c r="Q233" s="8" t="s">
        <v>1601</v>
      </c>
      <c r="R233" s="15">
        <v>22.62</v>
      </c>
      <c r="S233" s="7">
        <v>2</v>
      </c>
      <c r="T233" s="16">
        <v>0.7</v>
      </c>
      <c r="U233" s="15">
        <v>-15.08</v>
      </c>
      <c r="V233" s="22">
        <v>15.08</v>
      </c>
      <c r="W233" s="23">
        <v>6.786</v>
      </c>
      <c r="X233" s="21" t="str" cm="1">
        <f t="array" ref="X233">IF(OR(R233:R770&lt;0,T232:T770&lt;0,C233:C771=""),"Check","OK")</f>
        <v>Check</v>
      </c>
    </row>
    <row r="234" ht="17.6" spans="1:24">
      <c r="A234" s="4">
        <v>506</v>
      </c>
      <c r="B234" s="5" t="s">
        <v>1602</v>
      </c>
      <c r="C234" s="6">
        <v>43051</v>
      </c>
      <c r="D234" s="6">
        <v>43054</v>
      </c>
      <c r="E234" s="5" t="s">
        <v>707</v>
      </c>
      <c r="F234" s="5" t="s">
        <v>1512</v>
      </c>
      <c r="G234" s="5" t="s">
        <v>1513</v>
      </c>
      <c r="H234" s="5" t="s">
        <v>716</v>
      </c>
      <c r="I234" s="5" t="s">
        <v>708</v>
      </c>
      <c r="J234" s="5" t="s">
        <v>204</v>
      </c>
      <c r="K234" s="5" t="s">
        <v>168</v>
      </c>
      <c r="L234" s="5">
        <v>10024</v>
      </c>
      <c r="M234" s="5" t="s">
        <v>759</v>
      </c>
      <c r="N234" s="5" t="s">
        <v>974</v>
      </c>
      <c r="O234" s="5" t="s">
        <v>9</v>
      </c>
      <c r="P234" s="5" t="s">
        <v>736</v>
      </c>
      <c r="Q234" s="5" t="s">
        <v>975</v>
      </c>
      <c r="R234" s="12">
        <v>15.92</v>
      </c>
      <c r="S234" s="4">
        <v>5</v>
      </c>
      <c r="T234" s="14">
        <v>0.2</v>
      </c>
      <c r="U234" s="12">
        <v>5.373</v>
      </c>
      <c r="V234" s="19">
        <v>5.373</v>
      </c>
      <c r="W234" s="20">
        <v>12.736</v>
      </c>
      <c r="X234" s="21" t="str" cm="1">
        <f t="array" ref="X234">IF(OR(R234:R771&lt;0,T233:T771&lt;0,C234:C772=""),"Check","OK")</f>
        <v>Check</v>
      </c>
    </row>
    <row r="235" ht="17.6" spans="1:24">
      <c r="A235" s="7">
        <v>507</v>
      </c>
      <c r="B235" s="8" t="s">
        <v>1603</v>
      </c>
      <c r="C235" s="9">
        <v>42079</v>
      </c>
      <c r="D235" s="9">
        <v>42085</v>
      </c>
      <c r="E235" s="8" t="s">
        <v>4</v>
      </c>
      <c r="F235" s="8" t="s">
        <v>254</v>
      </c>
      <c r="G235" s="8" t="s">
        <v>255</v>
      </c>
      <c r="H235" s="8" t="s">
        <v>111</v>
      </c>
      <c r="I235" s="8" t="s">
        <v>708</v>
      </c>
      <c r="J235" s="8" t="s">
        <v>256</v>
      </c>
      <c r="K235" s="8" t="s">
        <v>257</v>
      </c>
      <c r="L235" s="8">
        <v>30318</v>
      </c>
      <c r="M235" s="8" t="s">
        <v>709</v>
      </c>
      <c r="N235" s="8" t="s">
        <v>97</v>
      </c>
      <c r="O235" s="8" t="s">
        <v>9</v>
      </c>
      <c r="P235" s="8" t="s">
        <v>16</v>
      </c>
      <c r="Q235" s="8" t="s">
        <v>96</v>
      </c>
      <c r="R235" s="15">
        <v>2.74</v>
      </c>
      <c r="S235" s="7">
        <v>1</v>
      </c>
      <c r="T235" s="16">
        <v>0</v>
      </c>
      <c r="U235" s="15">
        <v>0.7398</v>
      </c>
      <c r="V235" s="22">
        <v>0.7398</v>
      </c>
      <c r="W235" s="23">
        <v>2.74</v>
      </c>
      <c r="X235" s="21" t="str" cm="1">
        <f t="array" ref="X235">IF(OR(R235:R772&lt;0,T234:T772&lt;0,C235:C773=""),"Check","OK")</f>
        <v>Check</v>
      </c>
    </row>
    <row r="236" ht="17.6" spans="1:24">
      <c r="A236" s="4">
        <v>511</v>
      </c>
      <c r="B236" s="5" t="s">
        <v>1604</v>
      </c>
      <c r="C236" s="6">
        <v>43065</v>
      </c>
      <c r="D236" s="6">
        <v>43066</v>
      </c>
      <c r="E236" s="5" t="s">
        <v>13</v>
      </c>
      <c r="F236" s="5" t="s">
        <v>479</v>
      </c>
      <c r="G236" s="5" t="s">
        <v>480</v>
      </c>
      <c r="H236" s="5" t="s">
        <v>111</v>
      </c>
      <c r="I236" s="5" t="s">
        <v>708</v>
      </c>
      <c r="J236" s="5" t="s">
        <v>481</v>
      </c>
      <c r="K236" s="5" t="s">
        <v>482</v>
      </c>
      <c r="L236" s="5">
        <v>64118</v>
      </c>
      <c r="M236" s="5" t="s">
        <v>742</v>
      </c>
      <c r="N236" s="5" t="s">
        <v>1605</v>
      </c>
      <c r="O236" s="5" t="s">
        <v>8</v>
      </c>
      <c r="P236" s="5" t="s">
        <v>727</v>
      </c>
      <c r="Q236" s="5" t="s">
        <v>1606</v>
      </c>
      <c r="R236" s="12">
        <v>126.3</v>
      </c>
      <c r="S236" s="4">
        <v>3</v>
      </c>
      <c r="T236" s="14">
        <v>0</v>
      </c>
      <c r="U236" s="12">
        <v>40.416</v>
      </c>
      <c r="V236" s="19">
        <v>40.416</v>
      </c>
      <c r="W236" s="20">
        <v>126.3</v>
      </c>
      <c r="X236" s="21" t="str" cm="1">
        <f t="array" ref="X236">IF(OR(R236:R773&lt;0,T235:T773&lt;0,C236:C774=""),"Check","OK")</f>
        <v>Check</v>
      </c>
    </row>
    <row r="237" ht="17.6" spans="1:24">
      <c r="A237" s="7">
        <v>513</v>
      </c>
      <c r="B237" s="8" t="s">
        <v>1607</v>
      </c>
      <c r="C237" s="9">
        <v>42663</v>
      </c>
      <c r="D237" s="9">
        <v>42666</v>
      </c>
      <c r="E237" s="8" t="s">
        <v>13</v>
      </c>
      <c r="F237" s="8" t="s">
        <v>461</v>
      </c>
      <c r="G237" s="8" t="s">
        <v>462</v>
      </c>
      <c r="H237" s="8" t="s">
        <v>111</v>
      </c>
      <c r="I237" s="8" t="s">
        <v>708</v>
      </c>
      <c r="J237" s="8" t="s">
        <v>382</v>
      </c>
      <c r="K237" s="8" t="s">
        <v>138</v>
      </c>
      <c r="L237" s="8">
        <v>43055</v>
      </c>
      <c r="M237" s="8" t="s">
        <v>759</v>
      </c>
      <c r="N237" s="8" t="s">
        <v>93</v>
      </c>
      <c r="O237" s="8" t="s">
        <v>9</v>
      </c>
      <c r="P237" s="8" t="s">
        <v>16</v>
      </c>
      <c r="Q237" s="8" t="s">
        <v>92</v>
      </c>
      <c r="R237" s="15">
        <v>7.152</v>
      </c>
      <c r="S237" s="7">
        <v>3</v>
      </c>
      <c r="T237" s="16">
        <v>0.2</v>
      </c>
      <c r="U237" s="15">
        <v>0.7152</v>
      </c>
      <c r="V237" s="22">
        <v>0.7152</v>
      </c>
      <c r="W237" s="23">
        <v>5.7216</v>
      </c>
      <c r="X237" s="21" t="str" cm="1">
        <f t="array" ref="X237">IF(OR(R237:R774&lt;0,T236:T774&lt;0,C237:C775=""),"Check","OK")</f>
        <v>Check</v>
      </c>
    </row>
    <row r="238" ht="17.6" spans="1:24">
      <c r="A238" s="4">
        <v>514</v>
      </c>
      <c r="B238" s="5" t="s">
        <v>1608</v>
      </c>
      <c r="C238" s="6">
        <v>43090</v>
      </c>
      <c r="D238" s="6">
        <v>43094</v>
      </c>
      <c r="E238" s="5" t="s">
        <v>4</v>
      </c>
      <c r="F238" s="5" t="s">
        <v>212</v>
      </c>
      <c r="G238" s="5" t="s">
        <v>213</v>
      </c>
      <c r="H238" s="5" t="s">
        <v>111</v>
      </c>
      <c r="I238" s="5" t="s">
        <v>708</v>
      </c>
      <c r="J238" s="5" t="s">
        <v>135</v>
      </c>
      <c r="K238" s="5" t="s">
        <v>136</v>
      </c>
      <c r="L238" s="5">
        <v>90049</v>
      </c>
      <c r="M238" s="5" t="s">
        <v>717</v>
      </c>
      <c r="N238" s="5" t="s">
        <v>75</v>
      </c>
      <c r="O238" s="5" t="s">
        <v>9</v>
      </c>
      <c r="P238" s="5" t="s">
        <v>16</v>
      </c>
      <c r="Q238" s="5" t="s">
        <v>74</v>
      </c>
      <c r="R238" s="12">
        <v>6.63</v>
      </c>
      <c r="S238" s="4">
        <v>3</v>
      </c>
      <c r="T238" s="14">
        <v>0</v>
      </c>
      <c r="U238" s="12">
        <v>1.7901</v>
      </c>
      <c r="V238" s="19">
        <v>1.7901</v>
      </c>
      <c r="W238" s="20">
        <v>6.63</v>
      </c>
      <c r="X238" s="21" t="str" cm="1">
        <f t="array" ref="X238">IF(OR(R238:R775&lt;0,T237:T775&lt;0,C238:C776=""),"Check","OK")</f>
        <v>Check</v>
      </c>
    </row>
    <row r="239" ht="17.6" spans="1:24">
      <c r="A239" s="7">
        <v>516</v>
      </c>
      <c r="B239" s="8" t="s">
        <v>1609</v>
      </c>
      <c r="C239" s="9">
        <v>42757</v>
      </c>
      <c r="D239" s="9">
        <v>42762</v>
      </c>
      <c r="E239" s="8" t="s">
        <v>4</v>
      </c>
      <c r="F239" s="8" t="s">
        <v>966</v>
      </c>
      <c r="G239" s="8" t="s">
        <v>967</v>
      </c>
      <c r="H239" s="8" t="s">
        <v>741</v>
      </c>
      <c r="I239" s="8" t="s">
        <v>708</v>
      </c>
      <c r="J239" s="8" t="s">
        <v>1610</v>
      </c>
      <c r="K239" s="8" t="s">
        <v>1611</v>
      </c>
      <c r="L239" s="8">
        <v>59405</v>
      </c>
      <c r="M239" s="8" t="s">
        <v>717</v>
      </c>
      <c r="N239" s="8" t="s">
        <v>1612</v>
      </c>
      <c r="O239" s="8" t="s">
        <v>10</v>
      </c>
      <c r="P239" s="8" t="s">
        <v>1613</v>
      </c>
      <c r="Q239" s="8" t="s">
        <v>1614</v>
      </c>
      <c r="R239" s="15">
        <v>2999.95</v>
      </c>
      <c r="S239" s="7">
        <v>5</v>
      </c>
      <c r="T239" s="16">
        <v>0</v>
      </c>
      <c r="U239" s="15">
        <v>1379.977</v>
      </c>
      <c r="V239" s="22">
        <v>1379.977</v>
      </c>
      <c r="W239" s="23">
        <v>2999.95</v>
      </c>
      <c r="X239" s="21" t="str" cm="1">
        <f t="array" ref="X239">IF(OR(R239:R776&lt;0,T238:T776&lt;0,C239:C777=""),"Check","OK")</f>
        <v>Check</v>
      </c>
    </row>
    <row r="240" ht="17.6" spans="1:24">
      <c r="A240" s="4">
        <v>520</v>
      </c>
      <c r="B240" s="5" t="s">
        <v>1615</v>
      </c>
      <c r="C240" s="6">
        <v>42085</v>
      </c>
      <c r="D240" s="6">
        <v>42089</v>
      </c>
      <c r="E240" s="5" t="s">
        <v>4</v>
      </c>
      <c r="F240" s="5" t="s">
        <v>270</v>
      </c>
      <c r="G240" s="5" t="s">
        <v>271</v>
      </c>
      <c r="H240" s="5" t="s">
        <v>111</v>
      </c>
      <c r="I240" s="5" t="s">
        <v>708</v>
      </c>
      <c r="J240" s="5" t="s">
        <v>131</v>
      </c>
      <c r="K240" s="5" t="s">
        <v>132</v>
      </c>
      <c r="L240" s="5">
        <v>77041</v>
      </c>
      <c r="M240" s="5" t="s">
        <v>742</v>
      </c>
      <c r="N240" s="5" t="s">
        <v>808</v>
      </c>
      <c r="O240" s="5" t="s">
        <v>10</v>
      </c>
      <c r="P240" s="5" t="s">
        <v>809</v>
      </c>
      <c r="Q240" s="5" t="s">
        <v>810</v>
      </c>
      <c r="R240" s="12">
        <v>18.392</v>
      </c>
      <c r="S240" s="4">
        <v>1</v>
      </c>
      <c r="T240" s="14">
        <v>0.2</v>
      </c>
      <c r="U240" s="12">
        <v>5.2877</v>
      </c>
      <c r="V240" s="19">
        <v>5.2877</v>
      </c>
      <c r="W240" s="20">
        <v>14.7136</v>
      </c>
      <c r="X240" s="21" t="str" cm="1">
        <f t="array" ref="X240">IF(OR(R240:R777&lt;0,T239:T777&lt;0,C240:C778=""),"Check","OK")</f>
        <v>Check</v>
      </c>
    </row>
    <row r="241" ht="17.6" spans="1:24">
      <c r="A241" s="7">
        <v>523</v>
      </c>
      <c r="B241" s="8" t="s">
        <v>1616</v>
      </c>
      <c r="C241" s="9">
        <v>42758</v>
      </c>
      <c r="D241" s="9">
        <v>42760</v>
      </c>
      <c r="E241" s="8" t="s">
        <v>13</v>
      </c>
      <c r="F241" s="8" t="s">
        <v>1617</v>
      </c>
      <c r="G241" s="8" t="s">
        <v>1618</v>
      </c>
      <c r="H241" s="8" t="s">
        <v>716</v>
      </c>
      <c r="I241" s="8" t="s">
        <v>708</v>
      </c>
      <c r="J241" s="8" t="s">
        <v>162</v>
      </c>
      <c r="K241" s="8" t="s">
        <v>163</v>
      </c>
      <c r="L241" s="8">
        <v>48234</v>
      </c>
      <c r="M241" s="8" t="s">
        <v>742</v>
      </c>
      <c r="N241" s="8" t="s">
        <v>1588</v>
      </c>
      <c r="O241" s="8" t="s">
        <v>8</v>
      </c>
      <c r="P241" s="8" t="s">
        <v>723</v>
      </c>
      <c r="Q241" s="8" t="s">
        <v>1589</v>
      </c>
      <c r="R241" s="15">
        <v>210.98</v>
      </c>
      <c r="S241" s="7">
        <v>2</v>
      </c>
      <c r="T241" s="16">
        <v>0</v>
      </c>
      <c r="U241" s="15">
        <v>21.098</v>
      </c>
      <c r="V241" s="22">
        <v>21.098</v>
      </c>
      <c r="W241" s="23">
        <v>210.98</v>
      </c>
      <c r="X241" s="21" t="str" cm="1">
        <f t="array" ref="X241">IF(OR(R241:R778&lt;0,T240:T778&lt;0,C241:C779=""),"Check","OK")</f>
        <v>Check</v>
      </c>
    </row>
    <row r="242" ht="17.6" spans="1:24">
      <c r="A242" s="4">
        <v>524</v>
      </c>
      <c r="B242" s="5" t="s">
        <v>1619</v>
      </c>
      <c r="C242" s="6">
        <v>42511</v>
      </c>
      <c r="D242" s="6">
        <v>42513</v>
      </c>
      <c r="E242" s="5" t="s">
        <v>13</v>
      </c>
      <c r="F242" s="5" t="s">
        <v>469</v>
      </c>
      <c r="G242" s="5" t="s">
        <v>470</v>
      </c>
      <c r="H242" s="5" t="s">
        <v>111</v>
      </c>
      <c r="I242" s="5" t="s">
        <v>708</v>
      </c>
      <c r="J242" s="5" t="s">
        <v>135</v>
      </c>
      <c r="K242" s="5" t="s">
        <v>136</v>
      </c>
      <c r="L242" s="5">
        <v>90032</v>
      </c>
      <c r="M242" s="5" t="s">
        <v>717</v>
      </c>
      <c r="N242" s="5" t="s">
        <v>1620</v>
      </c>
      <c r="O242" s="5" t="s">
        <v>10</v>
      </c>
      <c r="P242" s="5" t="s">
        <v>780</v>
      </c>
      <c r="Q242" s="5" t="s">
        <v>1621</v>
      </c>
      <c r="R242" s="12">
        <v>55.176</v>
      </c>
      <c r="S242" s="4">
        <v>3</v>
      </c>
      <c r="T242" s="14">
        <v>0.2</v>
      </c>
      <c r="U242" s="12">
        <v>-12.4146</v>
      </c>
      <c r="V242" s="19">
        <v>12.4146</v>
      </c>
      <c r="W242" s="20">
        <v>44.1408</v>
      </c>
      <c r="X242" s="21" t="str" cm="1">
        <f t="array" ref="X242">IF(OR(R242:R779&lt;0,T241:T779&lt;0,C242:C780=""),"Check","OK")</f>
        <v>Check</v>
      </c>
    </row>
    <row r="243" ht="17.6" spans="1:24">
      <c r="A243" s="7">
        <v>526</v>
      </c>
      <c r="B243" s="8" t="s">
        <v>1622</v>
      </c>
      <c r="C243" s="9">
        <v>42364</v>
      </c>
      <c r="D243" s="9">
        <v>42371</v>
      </c>
      <c r="E243" s="8" t="s">
        <v>4</v>
      </c>
      <c r="F243" s="8" t="s">
        <v>192</v>
      </c>
      <c r="G243" s="8" t="s">
        <v>193</v>
      </c>
      <c r="H243" s="8" t="s">
        <v>111</v>
      </c>
      <c r="I243" s="8" t="s">
        <v>708</v>
      </c>
      <c r="J243" s="8" t="s">
        <v>194</v>
      </c>
      <c r="K243" s="8" t="s">
        <v>195</v>
      </c>
      <c r="L243" s="8">
        <v>1841</v>
      </c>
      <c r="M243" s="8" t="s">
        <v>759</v>
      </c>
      <c r="N243" s="8" t="s">
        <v>1623</v>
      </c>
      <c r="O243" s="8" t="s">
        <v>9</v>
      </c>
      <c r="P243" s="8" t="s">
        <v>824</v>
      </c>
      <c r="Q243" s="8" t="s">
        <v>1624</v>
      </c>
      <c r="R243" s="15">
        <v>22.2</v>
      </c>
      <c r="S243" s="7">
        <v>5</v>
      </c>
      <c r="T243" s="16">
        <v>0</v>
      </c>
      <c r="U243" s="15">
        <v>10.434</v>
      </c>
      <c r="V243" s="22">
        <v>10.434</v>
      </c>
      <c r="W243" s="23">
        <v>22.2</v>
      </c>
      <c r="X243" s="21" t="str" cm="1">
        <f t="array" ref="X243">IF(OR(R243:R780&lt;0,T242:T780&lt;0,C243:C781=""),"Check","OK")</f>
        <v>Check</v>
      </c>
    </row>
    <row r="244" ht="17.6" spans="1:24">
      <c r="A244" s="4">
        <v>527</v>
      </c>
      <c r="B244" s="5" t="s">
        <v>1625</v>
      </c>
      <c r="C244" s="6">
        <v>43029</v>
      </c>
      <c r="D244" s="6">
        <v>43034</v>
      </c>
      <c r="E244" s="5" t="s">
        <v>4</v>
      </c>
      <c r="F244" s="5" t="s">
        <v>1626</v>
      </c>
      <c r="G244" s="5" t="s">
        <v>1627</v>
      </c>
      <c r="H244" s="5" t="s">
        <v>741</v>
      </c>
      <c r="I244" s="5" t="s">
        <v>708</v>
      </c>
      <c r="J244" s="5" t="s">
        <v>1628</v>
      </c>
      <c r="K244" s="5" t="s">
        <v>172</v>
      </c>
      <c r="L244" s="5">
        <v>33801</v>
      </c>
      <c r="M244" s="5" t="s">
        <v>709</v>
      </c>
      <c r="N244" s="5" t="s">
        <v>1629</v>
      </c>
      <c r="O244" s="5" t="s">
        <v>8</v>
      </c>
      <c r="P244" s="5" t="s">
        <v>761</v>
      </c>
      <c r="Q244" s="5" t="s">
        <v>1630</v>
      </c>
      <c r="R244" s="12">
        <v>683.952</v>
      </c>
      <c r="S244" s="4">
        <v>3</v>
      </c>
      <c r="T244" s="14">
        <v>0.2</v>
      </c>
      <c r="U244" s="12">
        <v>42.747</v>
      </c>
      <c r="V244" s="19">
        <v>42.747</v>
      </c>
      <c r="W244" s="20">
        <v>547.1616</v>
      </c>
      <c r="X244" s="21" t="str" cm="1">
        <f t="array" ref="X244">IF(OR(R244:R781&lt;0,T243:T781&lt;0,C244:C782=""),"Check","OK")</f>
        <v>Check</v>
      </c>
    </row>
    <row r="245" ht="17.6" spans="1:24">
      <c r="A245" s="7">
        <v>529</v>
      </c>
      <c r="B245" s="8" t="s">
        <v>1631</v>
      </c>
      <c r="C245" s="9">
        <v>42250</v>
      </c>
      <c r="D245" s="9">
        <v>42254</v>
      </c>
      <c r="E245" s="8" t="s">
        <v>4</v>
      </c>
      <c r="F245" s="8" t="s">
        <v>500</v>
      </c>
      <c r="G245" s="8" t="s">
        <v>501</v>
      </c>
      <c r="H245" s="8" t="s">
        <v>111</v>
      </c>
      <c r="I245" s="8" t="s">
        <v>708</v>
      </c>
      <c r="J245" s="8" t="s">
        <v>175</v>
      </c>
      <c r="K245" s="8" t="s">
        <v>176</v>
      </c>
      <c r="L245" s="8">
        <v>19134</v>
      </c>
      <c r="M245" s="8" t="s">
        <v>759</v>
      </c>
      <c r="N245" s="8" t="s">
        <v>1632</v>
      </c>
      <c r="O245" s="8" t="s">
        <v>9</v>
      </c>
      <c r="P245" s="8" t="s">
        <v>748</v>
      </c>
      <c r="Q245" s="8" t="s">
        <v>1633</v>
      </c>
      <c r="R245" s="15">
        <v>36.336</v>
      </c>
      <c r="S245" s="7">
        <v>3</v>
      </c>
      <c r="T245" s="16">
        <v>0.2</v>
      </c>
      <c r="U245" s="15">
        <v>-7.2672</v>
      </c>
      <c r="V245" s="22">
        <v>7.2672</v>
      </c>
      <c r="W245" s="23">
        <v>29.0688</v>
      </c>
      <c r="X245" s="21" t="str" cm="1">
        <f t="array" ref="X245">IF(OR(R245:R782&lt;0,T244:T782&lt;0,C245:C783=""),"Check","OK")</f>
        <v>Check</v>
      </c>
    </row>
    <row r="246" ht="17.6" spans="1:24">
      <c r="A246" s="4">
        <v>532</v>
      </c>
      <c r="B246" s="5" t="s">
        <v>1634</v>
      </c>
      <c r="C246" s="6">
        <v>42315</v>
      </c>
      <c r="D246" s="6">
        <v>42317</v>
      </c>
      <c r="E246" s="5" t="s">
        <v>707</v>
      </c>
      <c r="F246" s="5" t="s">
        <v>1635</v>
      </c>
      <c r="G246" s="5" t="s">
        <v>1636</v>
      </c>
      <c r="H246" s="5" t="s">
        <v>716</v>
      </c>
      <c r="I246" s="5" t="s">
        <v>708</v>
      </c>
      <c r="J246" s="5" t="s">
        <v>135</v>
      </c>
      <c r="K246" s="5" t="s">
        <v>136</v>
      </c>
      <c r="L246" s="5">
        <v>90036</v>
      </c>
      <c r="M246" s="5" t="s">
        <v>717</v>
      </c>
      <c r="N246" s="5" t="s">
        <v>1637</v>
      </c>
      <c r="O246" s="5" t="s">
        <v>8</v>
      </c>
      <c r="P246" s="5" t="s">
        <v>761</v>
      </c>
      <c r="Q246" s="5" t="s">
        <v>1638</v>
      </c>
      <c r="R246" s="12">
        <v>190.72</v>
      </c>
      <c r="S246" s="4">
        <v>1</v>
      </c>
      <c r="T246" s="14">
        <v>0.2</v>
      </c>
      <c r="U246" s="12">
        <v>11.92</v>
      </c>
      <c r="V246" s="19">
        <v>11.92</v>
      </c>
      <c r="W246" s="20">
        <v>152.576</v>
      </c>
      <c r="X246" s="21" t="str" cm="1">
        <f t="array" ref="X246">IF(OR(R246:R783&lt;0,T245:T783&lt;0,C246:C784=""),"Check","OK")</f>
        <v>Check</v>
      </c>
    </row>
    <row r="247" ht="17.6" spans="1:24">
      <c r="A247" s="7">
        <v>533</v>
      </c>
      <c r="B247" s="8" t="s">
        <v>1639</v>
      </c>
      <c r="C247" s="9">
        <v>42985</v>
      </c>
      <c r="D247" s="9">
        <v>42989</v>
      </c>
      <c r="E247" s="8" t="s">
        <v>4</v>
      </c>
      <c r="F247" s="8" t="s">
        <v>369</v>
      </c>
      <c r="G247" s="8" t="s">
        <v>370</v>
      </c>
      <c r="H247" s="8" t="s">
        <v>111</v>
      </c>
      <c r="I247" s="8" t="s">
        <v>708</v>
      </c>
      <c r="J247" s="8" t="s">
        <v>135</v>
      </c>
      <c r="K247" s="8" t="s">
        <v>136</v>
      </c>
      <c r="L247" s="8">
        <v>90032</v>
      </c>
      <c r="M247" s="8" t="s">
        <v>717</v>
      </c>
      <c r="N247" s="8" t="s">
        <v>1640</v>
      </c>
      <c r="O247" s="8" t="s">
        <v>8</v>
      </c>
      <c r="P247" s="8" t="s">
        <v>727</v>
      </c>
      <c r="Q247" s="8" t="s">
        <v>1641</v>
      </c>
      <c r="R247" s="15">
        <v>47.94</v>
      </c>
      <c r="S247" s="7">
        <v>3</v>
      </c>
      <c r="T247" s="16">
        <v>0</v>
      </c>
      <c r="U247" s="15">
        <v>2.397</v>
      </c>
      <c r="V247" s="22">
        <v>2.397</v>
      </c>
      <c r="W247" s="23">
        <v>47.94</v>
      </c>
      <c r="X247" s="21" t="str" cm="1">
        <f t="array" ref="X247">IF(OR(R247:R784&lt;0,T246:T784&lt;0,C247:C785=""),"Check","OK")</f>
        <v>Check</v>
      </c>
    </row>
    <row r="248" ht="17.6" spans="1:24">
      <c r="A248" s="4">
        <v>534</v>
      </c>
      <c r="B248" s="5" t="s">
        <v>1642</v>
      </c>
      <c r="C248" s="6">
        <v>42519</v>
      </c>
      <c r="D248" s="6">
        <v>42522</v>
      </c>
      <c r="E248" s="5" t="s">
        <v>707</v>
      </c>
      <c r="F248" s="5" t="s">
        <v>601</v>
      </c>
      <c r="G248" s="5" t="s">
        <v>602</v>
      </c>
      <c r="H248" s="5" t="s">
        <v>111</v>
      </c>
      <c r="I248" s="5" t="s">
        <v>708</v>
      </c>
      <c r="J248" s="5" t="s">
        <v>603</v>
      </c>
      <c r="K248" s="5" t="s">
        <v>604</v>
      </c>
      <c r="L248" s="5">
        <v>36116</v>
      </c>
      <c r="M248" s="5" t="s">
        <v>709</v>
      </c>
      <c r="N248" s="5" t="s">
        <v>1643</v>
      </c>
      <c r="O248" s="5" t="s">
        <v>10</v>
      </c>
      <c r="P248" s="5" t="s">
        <v>780</v>
      </c>
      <c r="Q248" s="5" t="s">
        <v>1644</v>
      </c>
      <c r="R248" s="12">
        <v>979.95</v>
      </c>
      <c r="S248" s="4">
        <v>5</v>
      </c>
      <c r="T248" s="14">
        <v>0</v>
      </c>
      <c r="U248" s="12">
        <v>274.386</v>
      </c>
      <c r="V248" s="19">
        <v>274.386</v>
      </c>
      <c r="W248" s="20">
        <v>979.95</v>
      </c>
      <c r="X248" s="21" t="str" cm="1">
        <f t="array" ref="X248">IF(OR(R248:R785&lt;0,T247:T785&lt;0,C248:C786=""),"Check","OK")</f>
        <v>Check</v>
      </c>
    </row>
    <row r="249" ht="17.6" spans="1:24">
      <c r="A249" s="7">
        <v>536</v>
      </c>
      <c r="B249" s="8" t="s">
        <v>1645</v>
      </c>
      <c r="C249" s="9">
        <v>42561</v>
      </c>
      <c r="D249" s="9">
        <v>42567</v>
      </c>
      <c r="E249" s="8" t="s">
        <v>4</v>
      </c>
      <c r="F249" s="8" t="s">
        <v>119</v>
      </c>
      <c r="G249" s="8" t="s">
        <v>120</v>
      </c>
      <c r="H249" s="8" t="s">
        <v>111</v>
      </c>
      <c r="I249" s="8" t="s">
        <v>708</v>
      </c>
      <c r="J249" s="8" t="s">
        <v>121</v>
      </c>
      <c r="K249" s="8" t="s">
        <v>122</v>
      </c>
      <c r="L249" s="8">
        <v>85204</v>
      </c>
      <c r="M249" s="8" t="s">
        <v>717</v>
      </c>
      <c r="N249" s="8" t="s">
        <v>1646</v>
      </c>
      <c r="O249" s="8" t="s">
        <v>9</v>
      </c>
      <c r="P249" s="8" t="s">
        <v>748</v>
      </c>
      <c r="Q249" s="8" t="s">
        <v>1647</v>
      </c>
      <c r="R249" s="15">
        <v>16.768</v>
      </c>
      <c r="S249" s="7">
        <v>2</v>
      </c>
      <c r="T249" s="16">
        <v>0.2</v>
      </c>
      <c r="U249" s="15">
        <v>1.4672</v>
      </c>
      <c r="V249" s="22">
        <v>1.4672</v>
      </c>
      <c r="W249" s="23">
        <v>13.4144</v>
      </c>
      <c r="X249" s="21" t="str" cm="1">
        <f t="array" ref="X249">IF(OR(R249:R786&lt;0,T248:T786&lt;0,C249:C787=""),"Check","OK")</f>
        <v>Check</v>
      </c>
    </row>
    <row r="250" ht="17.6" spans="1:24">
      <c r="A250" s="4">
        <v>537</v>
      </c>
      <c r="B250" s="5" t="s">
        <v>1648</v>
      </c>
      <c r="C250" s="6">
        <v>42981</v>
      </c>
      <c r="D250" s="6">
        <v>42986</v>
      </c>
      <c r="E250" s="5" t="s">
        <v>707</v>
      </c>
      <c r="F250" s="5" t="s">
        <v>323</v>
      </c>
      <c r="G250" s="5" t="s">
        <v>324</v>
      </c>
      <c r="H250" s="5" t="s">
        <v>111</v>
      </c>
      <c r="I250" s="5" t="s">
        <v>708</v>
      </c>
      <c r="J250" s="5" t="s">
        <v>182</v>
      </c>
      <c r="K250" s="5" t="s">
        <v>183</v>
      </c>
      <c r="L250" s="5">
        <v>60653</v>
      </c>
      <c r="M250" s="5" t="s">
        <v>742</v>
      </c>
      <c r="N250" s="5" t="s">
        <v>1649</v>
      </c>
      <c r="O250" s="5" t="s">
        <v>9</v>
      </c>
      <c r="P250" s="5" t="s">
        <v>736</v>
      </c>
      <c r="Q250" s="5" t="s">
        <v>1650</v>
      </c>
      <c r="R250" s="12">
        <v>42.616</v>
      </c>
      <c r="S250" s="4">
        <v>7</v>
      </c>
      <c r="T250" s="14">
        <v>0.8</v>
      </c>
      <c r="U250" s="12">
        <v>-68.1856</v>
      </c>
      <c r="V250" s="19">
        <v>68.1856</v>
      </c>
      <c r="W250" s="20">
        <v>8.5232</v>
      </c>
      <c r="X250" s="21" t="str" cm="1">
        <f t="array" ref="X250">IF(OR(R250:R787&lt;0,T249:T787&lt;0,C250:C788=""),"Check","OK")</f>
        <v>Check</v>
      </c>
    </row>
    <row r="251" ht="17.6" spans="1:24">
      <c r="A251" s="7">
        <v>538</v>
      </c>
      <c r="B251" s="8" t="s">
        <v>1651</v>
      </c>
      <c r="C251" s="9">
        <v>42341</v>
      </c>
      <c r="D251" s="9">
        <v>42346</v>
      </c>
      <c r="E251" s="8" t="s">
        <v>4</v>
      </c>
      <c r="F251" s="8" t="s">
        <v>1085</v>
      </c>
      <c r="G251" s="8" t="s">
        <v>1086</v>
      </c>
      <c r="H251" s="8" t="s">
        <v>741</v>
      </c>
      <c r="I251" s="8" t="s">
        <v>708</v>
      </c>
      <c r="J251" s="8" t="s">
        <v>204</v>
      </c>
      <c r="K251" s="8" t="s">
        <v>168</v>
      </c>
      <c r="L251" s="8">
        <v>10009</v>
      </c>
      <c r="M251" s="8" t="s">
        <v>759</v>
      </c>
      <c r="N251" s="8" t="s">
        <v>1652</v>
      </c>
      <c r="O251" s="8" t="s">
        <v>9</v>
      </c>
      <c r="P251" s="8" t="s">
        <v>736</v>
      </c>
      <c r="Q251" s="8" t="s">
        <v>1653</v>
      </c>
      <c r="R251" s="15">
        <v>10.752</v>
      </c>
      <c r="S251" s="7">
        <v>4</v>
      </c>
      <c r="T251" s="16">
        <v>0.2</v>
      </c>
      <c r="U251" s="15">
        <v>3.36</v>
      </c>
      <c r="V251" s="22">
        <v>3.36</v>
      </c>
      <c r="W251" s="23">
        <v>8.6016</v>
      </c>
      <c r="X251" s="21" t="str" cm="1">
        <f t="array" ref="X251">IF(OR(R251:R788&lt;0,T250:T788&lt;0,C251:C789=""),"Check","OK")</f>
        <v>Check</v>
      </c>
    </row>
    <row r="252" ht="17.6" spans="1:24">
      <c r="A252" s="4">
        <v>539</v>
      </c>
      <c r="B252" s="5" t="s">
        <v>1654</v>
      </c>
      <c r="C252" s="6">
        <v>42345</v>
      </c>
      <c r="D252" s="6">
        <v>42349</v>
      </c>
      <c r="E252" s="5" t="s">
        <v>4</v>
      </c>
      <c r="F252" s="5" t="s">
        <v>283</v>
      </c>
      <c r="G252" s="5" t="s">
        <v>284</v>
      </c>
      <c r="H252" s="5" t="s">
        <v>111</v>
      </c>
      <c r="I252" s="5" t="s">
        <v>708</v>
      </c>
      <c r="J252" s="5" t="s">
        <v>240</v>
      </c>
      <c r="K252" s="5" t="s">
        <v>142</v>
      </c>
      <c r="L252" s="5">
        <v>42420</v>
      </c>
      <c r="M252" s="5" t="s">
        <v>709</v>
      </c>
      <c r="N252" s="5" t="s">
        <v>1655</v>
      </c>
      <c r="O252" s="5" t="s">
        <v>9</v>
      </c>
      <c r="P252" s="5" t="s">
        <v>744</v>
      </c>
      <c r="Q252" s="5" t="s">
        <v>1656</v>
      </c>
      <c r="R252" s="12">
        <v>152.94</v>
      </c>
      <c r="S252" s="4">
        <v>3</v>
      </c>
      <c r="T252" s="14">
        <v>0</v>
      </c>
      <c r="U252" s="12">
        <v>41.2938</v>
      </c>
      <c r="V252" s="19">
        <v>41.2938</v>
      </c>
      <c r="W252" s="20">
        <v>152.94</v>
      </c>
      <c r="X252" s="21" t="str" cm="1">
        <f t="array" ref="X252">IF(OR(R252:R789&lt;0,T251:T789&lt;0,C252:C790=""),"Check","OK")</f>
        <v>Check</v>
      </c>
    </row>
    <row r="253" ht="17.6" spans="1:24">
      <c r="A253" s="7">
        <v>541</v>
      </c>
      <c r="B253" s="8" t="s">
        <v>1657</v>
      </c>
      <c r="C253" s="9">
        <v>41671</v>
      </c>
      <c r="D253" s="9">
        <v>41673</v>
      </c>
      <c r="E253" s="8" t="s">
        <v>13</v>
      </c>
      <c r="F253" s="8" t="s">
        <v>189</v>
      </c>
      <c r="G253" s="8" t="s">
        <v>190</v>
      </c>
      <c r="H253" s="8" t="s">
        <v>111</v>
      </c>
      <c r="I253" s="8" t="s">
        <v>708</v>
      </c>
      <c r="J253" s="8" t="s">
        <v>191</v>
      </c>
      <c r="K253" s="8" t="s">
        <v>155</v>
      </c>
      <c r="L253" s="8">
        <v>54302</v>
      </c>
      <c r="M253" s="8" t="s">
        <v>742</v>
      </c>
      <c r="N253" s="8" t="s">
        <v>1658</v>
      </c>
      <c r="O253" s="8" t="s">
        <v>10</v>
      </c>
      <c r="P253" s="8" t="s">
        <v>809</v>
      </c>
      <c r="Q253" s="8" t="s">
        <v>1659</v>
      </c>
      <c r="R253" s="15">
        <v>468.9</v>
      </c>
      <c r="S253" s="7">
        <v>6</v>
      </c>
      <c r="T253" s="16">
        <v>0</v>
      </c>
      <c r="U253" s="15">
        <v>206.316</v>
      </c>
      <c r="V253" s="22">
        <v>206.316</v>
      </c>
      <c r="W253" s="23">
        <v>468.9</v>
      </c>
      <c r="X253" s="21" t="str" cm="1">
        <f t="array" ref="X253">IF(OR(R253:R790&lt;0,T252:T790&lt;0,C253:C791=""),"Check","OK")</f>
        <v>Check</v>
      </c>
    </row>
    <row r="254" ht="17.6" spans="1:24">
      <c r="A254" s="4">
        <v>542</v>
      </c>
      <c r="B254" s="5" t="s">
        <v>1660</v>
      </c>
      <c r="C254" s="6">
        <v>42565</v>
      </c>
      <c r="D254" s="6">
        <v>42568</v>
      </c>
      <c r="E254" s="5" t="s">
        <v>13</v>
      </c>
      <c r="F254" s="5" t="s">
        <v>799</v>
      </c>
      <c r="G254" s="5" t="s">
        <v>800</v>
      </c>
      <c r="H254" s="5" t="s">
        <v>716</v>
      </c>
      <c r="I254" s="5" t="s">
        <v>708</v>
      </c>
      <c r="J254" s="5" t="s">
        <v>156</v>
      </c>
      <c r="K254" s="5" t="s">
        <v>122</v>
      </c>
      <c r="L254" s="5">
        <v>85705</v>
      </c>
      <c r="M254" s="5" t="s">
        <v>717</v>
      </c>
      <c r="N254" s="5" t="s">
        <v>1661</v>
      </c>
      <c r="O254" s="5" t="s">
        <v>10</v>
      </c>
      <c r="P254" s="5" t="s">
        <v>780</v>
      </c>
      <c r="Q254" s="5" t="s">
        <v>1662</v>
      </c>
      <c r="R254" s="12">
        <v>380.864</v>
      </c>
      <c r="S254" s="4">
        <v>8</v>
      </c>
      <c r="T254" s="14">
        <v>0.2</v>
      </c>
      <c r="U254" s="12">
        <v>38.0864</v>
      </c>
      <c r="V254" s="19">
        <v>38.0864</v>
      </c>
      <c r="W254" s="20">
        <v>304.6912</v>
      </c>
      <c r="X254" s="21" t="str" cm="1">
        <f t="array" ref="X254">IF(OR(R254:R791&lt;0,T253:T791&lt;0,C254:C792=""),"Check","OK")</f>
        <v>Check</v>
      </c>
    </row>
    <row r="255" ht="17.6" spans="1:24">
      <c r="A255" s="7">
        <v>543</v>
      </c>
      <c r="B255" s="8" t="s">
        <v>1663</v>
      </c>
      <c r="C255" s="9">
        <v>42356</v>
      </c>
      <c r="D255" s="9">
        <v>42361</v>
      </c>
      <c r="E255" s="8" t="s">
        <v>4</v>
      </c>
      <c r="F255" s="8" t="s">
        <v>473</v>
      </c>
      <c r="G255" s="8" t="s">
        <v>474</v>
      </c>
      <c r="H255" s="8" t="s">
        <v>111</v>
      </c>
      <c r="I255" s="8" t="s">
        <v>708</v>
      </c>
      <c r="J255" s="8" t="s">
        <v>287</v>
      </c>
      <c r="K255" s="8" t="s">
        <v>138</v>
      </c>
      <c r="L255" s="8">
        <v>45503</v>
      </c>
      <c r="M255" s="8" t="s">
        <v>759</v>
      </c>
      <c r="N255" s="8" t="s">
        <v>1582</v>
      </c>
      <c r="O255" s="8" t="s">
        <v>9</v>
      </c>
      <c r="P255" s="8" t="s">
        <v>748</v>
      </c>
      <c r="Q255" s="8" t="s">
        <v>1583</v>
      </c>
      <c r="R255" s="15">
        <v>646.776</v>
      </c>
      <c r="S255" s="7">
        <v>9</v>
      </c>
      <c r="T255" s="16">
        <v>0.2</v>
      </c>
      <c r="U255" s="15">
        <v>-145.5246</v>
      </c>
      <c r="V255" s="22">
        <v>145.5246</v>
      </c>
      <c r="W255" s="23">
        <v>517.4208</v>
      </c>
      <c r="X255" s="21" t="str" cm="1">
        <f t="array" ref="X255">IF(OR(R255:R792&lt;0,T254:T792&lt;0,C255:C793=""),"Check","OK")</f>
        <v>Check</v>
      </c>
    </row>
    <row r="256" ht="17.6" spans="1:24">
      <c r="A256" s="4">
        <v>544</v>
      </c>
      <c r="B256" s="5" t="s">
        <v>1664</v>
      </c>
      <c r="C256" s="6">
        <v>41770</v>
      </c>
      <c r="D256" s="6">
        <v>41775</v>
      </c>
      <c r="E256" s="5" t="s">
        <v>4</v>
      </c>
      <c r="F256" s="5" t="s">
        <v>546</v>
      </c>
      <c r="G256" s="5" t="s">
        <v>547</v>
      </c>
      <c r="H256" s="5" t="s">
        <v>111</v>
      </c>
      <c r="I256" s="5" t="s">
        <v>708</v>
      </c>
      <c r="J256" s="5" t="s">
        <v>548</v>
      </c>
      <c r="K256" s="5" t="s">
        <v>132</v>
      </c>
      <c r="L256" s="5">
        <v>76106</v>
      </c>
      <c r="M256" s="5" t="s">
        <v>742</v>
      </c>
      <c r="N256" s="5" t="s">
        <v>1665</v>
      </c>
      <c r="O256" s="5" t="s">
        <v>10</v>
      </c>
      <c r="P256" s="5" t="s">
        <v>809</v>
      </c>
      <c r="Q256" s="5" t="s">
        <v>1666</v>
      </c>
      <c r="R256" s="12">
        <v>58.112</v>
      </c>
      <c r="S256" s="4">
        <v>2</v>
      </c>
      <c r="T256" s="14">
        <v>0.2</v>
      </c>
      <c r="U256" s="12">
        <v>7.264</v>
      </c>
      <c r="V256" s="19">
        <v>7.264</v>
      </c>
      <c r="W256" s="20">
        <v>46.4896</v>
      </c>
      <c r="X256" s="21" t="str" cm="1">
        <f t="array" ref="X256">IF(OR(R256:R793&lt;0,T255:T793&lt;0,C256:C794=""),"Check","OK")</f>
        <v>Check</v>
      </c>
    </row>
    <row r="257" ht="17.6" spans="1:24">
      <c r="A257" s="7">
        <v>547</v>
      </c>
      <c r="B257" s="8" t="s">
        <v>1667</v>
      </c>
      <c r="C257" s="9">
        <v>43058</v>
      </c>
      <c r="D257" s="9">
        <v>43061</v>
      </c>
      <c r="E257" s="8" t="s">
        <v>13</v>
      </c>
      <c r="F257" s="8" t="s">
        <v>1668</v>
      </c>
      <c r="G257" s="8" t="s">
        <v>1669</v>
      </c>
      <c r="H257" s="8" t="s">
        <v>741</v>
      </c>
      <c r="I257" s="8" t="s">
        <v>708</v>
      </c>
      <c r="J257" s="8" t="s">
        <v>204</v>
      </c>
      <c r="K257" s="8" t="s">
        <v>168</v>
      </c>
      <c r="L257" s="8">
        <v>10035</v>
      </c>
      <c r="M257" s="8" t="s">
        <v>759</v>
      </c>
      <c r="N257" s="8" t="s">
        <v>1670</v>
      </c>
      <c r="O257" s="8" t="s">
        <v>9</v>
      </c>
      <c r="P257" s="8" t="s">
        <v>736</v>
      </c>
      <c r="Q257" s="8" t="s">
        <v>1671</v>
      </c>
      <c r="R257" s="15">
        <v>41.28</v>
      </c>
      <c r="S257" s="7">
        <v>6</v>
      </c>
      <c r="T257" s="16">
        <v>0.2</v>
      </c>
      <c r="U257" s="15">
        <v>13.932</v>
      </c>
      <c r="V257" s="22">
        <v>13.932</v>
      </c>
      <c r="W257" s="23">
        <v>33.024</v>
      </c>
      <c r="X257" s="21" t="str" cm="1">
        <f t="array" ref="X257">IF(OR(R257:R794&lt;0,T256:T794&lt;0,C257:C795=""),"Check","OK")</f>
        <v>Check</v>
      </c>
    </row>
    <row r="258" ht="17.6" spans="1:24">
      <c r="A258" s="4">
        <v>549</v>
      </c>
      <c r="B258" s="5" t="s">
        <v>1672</v>
      </c>
      <c r="C258" s="6">
        <v>42323</v>
      </c>
      <c r="D258" s="6">
        <v>42325</v>
      </c>
      <c r="E258" s="5" t="s">
        <v>707</v>
      </c>
      <c r="F258" s="5" t="s">
        <v>1397</v>
      </c>
      <c r="G258" s="5" t="s">
        <v>1398</v>
      </c>
      <c r="H258" s="5" t="s">
        <v>716</v>
      </c>
      <c r="I258" s="5" t="s">
        <v>708</v>
      </c>
      <c r="J258" s="5" t="s">
        <v>182</v>
      </c>
      <c r="K258" s="5" t="s">
        <v>183</v>
      </c>
      <c r="L258" s="5">
        <v>60653</v>
      </c>
      <c r="M258" s="5" t="s">
        <v>742</v>
      </c>
      <c r="N258" s="5" t="s">
        <v>827</v>
      </c>
      <c r="O258" s="5" t="s">
        <v>9</v>
      </c>
      <c r="P258" s="5" t="s">
        <v>748</v>
      </c>
      <c r="Q258" s="5" t="s">
        <v>828</v>
      </c>
      <c r="R258" s="12">
        <v>250.272</v>
      </c>
      <c r="S258" s="4">
        <v>9</v>
      </c>
      <c r="T258" s="14">
        <v>0.2</v>
      </c>
      <c r="U258" s="12">
        <v>15.642</v>
      </c>
      <c r="V258" s="19">
        <v>15.642</v>
      </c>
      <c r="W258" s="20">
        <v>200.2176</v>
      </c>
      <c r="X258" s="21" t="str" cm="1">
        <f t="array" ref="X258">IF(OR(R258:R795&lt;0,T257:T795&lt;0,C258:C796=""),"Check","OK")</f>
        <v>Check</v>
      </c>
    </row>
    <row r="259" ht="17.6" spans="1:24">
      <c r="A259" s="7">
        <v>552</v>
      </c>
      <c r="B259" s="8" t="s">
        <v>1673</v>
      </c>
      <c r="C259" s="9">
        <v>42475</v>
      </c>
      <c r="D259" s="9">
        <v>42477</v>
      </c>
      <c r="E259" s="8" t="s">
        <v>707</v>
      </c>
      <c r="F259" s="8" t="s">
        <v>186</v>
      </c>
      <c r="G259" s="8" t="s">
        <v>187</v>
      </c>
      <c r="H259" s="8" t="s">
        <v>111</v>
      </c>
      <c r="I259" s="8" t="s">
        <v>708</v>
      </c>
      <c r="J259" s="8" t="s">
        <v>188</v>
      </c>
      <c r="K259" s="8" t="s">
        <v>136</v>
      </c>
      <c r="L259" s="8">
        <v>94110</v>
      </c>
      <c r="M259" s="8" t="s">
        <v>717</v>
      </c>
      <c r="N259" s="8" t="s">
        <v>1674</v>
      </c>
      <c r="O259" s="8" t="s">
        <v>8</v>
      </c>
      <c r="P259" s="8" t="s">
        <v>761</v>
      </c>
      <c r="Q259" s="8" t="s">
        <v>1675</v>
      </c>
      <c r="R259" s="15">
        <v>1121.568</v>
      </c>
      <c r="S259" s="7">
        <v>2</v>
      </c>
      <c r="T259" s="16">
        <v>0.2</v>
      </c>
      <c r="U259" s="15">
        <v>0</v>
      </c>
      <c r="V259" s="22">
        <v>0</v>
      </c>
      <c r="W259" s="23">
        <v>897.2544</v>
      </c>
      <c r="X259" s="21" t="str" cm="1">
        <f t="array" ref="X259">IF(OR(R259:R796&lt;0,T258:T796&lt;0,C259:C797=""),"Check","OK")</f>
        <v>Check</v>
      </c>
    </row>
    <row r="260" ht="17.6" spans="1:24">
      <c r="A260" s="4">
        <v>553</v>
      </c>
      <c r="B260" s="5" t="s">
        <v>1676</v>
      </c>
      <c r="C260" s="6">
        <v>42989</v>
      </c>
      <c r="D260" s="6">
        <v>42990</v>
      </c>
      <c r="E260" s="5" t="s">
        <v>13</v>
      </c>
      <c r="F260" s="5" t="s">
        <v>581</v>
      </c>
      <c r="G260" s="5" t="s">
        <v>582</v>
      </c>
      <c r="H260" s="5" t="s">
        <v>111</v>
      </c>
      <c r="I260" s="5" t="s">
        <v>708</v>
      </c>
      <c r="J260" s="5" t="s">
        <v>408</v>
      </c>
      <c r="K260" s="5" t="s">
        <v>172</v>
      </c>
      <c r="L260" s="5">
        <v>32216</v>
      </c>
      <c r="M260" s="5" t="s">
        <v>709</v>
      </c>
      <c r="N260" s="5" t="s">
        <v>1677</v>
      </c>
      <c r="O260" s="5" t="s">
        <v>8</v>
      </c>
      <c r="P260" s="5" t="s">
        <v>727</v>
      </c>
      <c r="Q260" s="5" t="s">
        <v>1678</v>
      </c>
      <c r="R260" s="12">
        <v>34.504</v>
      </c>
      <c r="S260" s="4">
        <v>1</v>
      </c>
      <c r="T260" s="14">
        <v>0.2</v>
      </c>
      <c r="U260" s="12">
        <v>6.0382</v>
      </c>
      <c r="V260" s="19">
        <v>6.0382</v>
      </c>
      <c r="W260" s="20">
        <v>27.6032</v>
      </c>
      <c r="X260" s="21" t="str" cm="1">
        <f t="array" ref="X260">IF(OR(R260:R797&lt;0,T259:T797&lt;0,C260:C798=""),"Check","OK")</f>
        <v>Check</v>
      </c>
    </row>
    <row r="261" ht="17.6" spans="1:24">
      <c r="A261" s="7">
        <v>554</v>
      </c>
      <c r="B261" s="8" t="s">
        <v>1679</v>
      </c>
      <c r="C261" s="9">
        <v>43063</v>
      </c>
      <c r="D261" s="9">
        <v>43067</v>
      </c>
      <c r="E261" s="8" t="s">
        <v>4</v>
      </c>
      <c r="F261" s="8" t="s">
        <v>341</v>
      </c>
      <c r="G261" s="8" t="s">
        <v>342</v>
      </c>
      <c r="H261" s="8" t="s">
        <v>111</v>
      </c>
      <c r="I261" s="8" t="s">
        <v>708</v>
      </c>
      <c r="J261" s="8" t="s">
        <v>131</v>
      </c>
      <c r="K261" s="8" t="s">
        <v>132</v>
      </c>
      <c r="L261" s="8">
        <v>77070</v>
      </c>
      <c r="M261" s="8" t="s">
        <v>742</v>
      </c>
      <c r="N261" s="8" t="s">
        <v>1680</v>
      </c>
      <c r="O261" s="8" t="s">
        <v>9</v>
      </c>
      <c r="P261" s="8" t="s">
        <v>824</v>
      </c>
      <c r="Q261" s="8" t="s">
        <v>1681</v>
      </c>
      <c r="R261" s="15">
        <v>10.824</v>
      </c>
      <c r="S261" s="7">
        <v>3</v>
      </c>
      <c r="T261" s="16">
        <v>0.2</v>
      </c>
      <c r="U261" s="15">
        <v>2.5707</v>
      </c>
      <c r="V261" s="22">
        <v>2.5707</v>
      </c>
      <c r="W261" s="23">
        <v>8.6592</v>
      </c>
      <c r="X261" s="21" t="str" cm="1">
        <f t="array" ref="X261">IF(OR(R261:R798&lt;0,T260:T798&lt;0,C261:C799=""),"Check","OK")</f>
        <v>Check</v>
      </c>
    </row>
    <row r="262" ht="17.6" spans="1:24">
      <c r="A262" s="4">
        <v>555</v>
      </c>
      <c r="B262" s="5" t="s">
        <v>1682</v>
      </c>
      <c r="C262" s="6">
        <v>42915</v>
      </c>
      <c r="D262" s="6">
        <v>42919</v>
      </c>
      <c r="E262" s="5" t="s">
        <v>707</v>
      </c>
      <c r="F262" s="5" t="s">
        <v>1397</v>
      </c>
      <c r="G262" s="5" t="s">
        <v>1398</v>
      </c>
      <c r="H262" s="5" t="s">
        <v>716</v>
      </c>
      <c r="I262" s="5" t="s">
        <v>708</v>
      </c>
      <c r="J262" s="5" t="s">
        <v>1683</v>
      </c>
      <c r="K262" s="5" t="s">
        <v>136</v>
      </c>
      <c r="L262" s="5">
        <v>92804</v>
      </c>
      <c r="M262" s="5" t="s">
        <v>717</v>
      </c>
      <c r="N262" s="5" t="s">
        <v>1684</v>
      </c>
      <c r="O262" s="5" t="s">
        <v>9</v>
      </c>
      <c r="P262" s="5" t="s">
        <v>748</v>
      </c>
      <c r="Q262" s="5" t="s">
        <v>1685</v>
      </c>
      <c r="R262" s="12">
        <v>1295.78</v>
      </c>
      <c r="S262" s="4">
        <v>2</v>
      </c>
      <c r="T262" s="14">
        <v>0</v>
      </c>
      <c r="U262" s="12">
        <v>310.9872</v>
      </c>
      <c r="V262" s="19">
        <v>310.9872</v>
      </c>
      <c r="W262" s="20">
        <v>1295.78</v>
      </c>
      <c r="X262" s="21" t="str" cm="1">
        <f t="array" ref="X262">IF(OR(R262:R799&lt;0,T261:T799&lt;0,C262:C800=""),"Check","OK")</f>
        <v>Check</v>
      </c>
    </row>
    <row r="263" ht="17.6" spans="1:24">
      <c r="A263" s="7">
        <v>556</v>
      </c>
      <c r="B263" s="8" t="s">
        <v>1686</v>
      </c>
      <c r="C263" s="9">
        <v>41701</v>
      </c>
      <c r="D263" s="9">
        <v>41705</v>
      </c>
      <c r="E263" s="8" t="s">
        <v>707</v>
      </c>
      <c r="F263" s="8" t="s">
        <v>160</v>
      </c>
      <c r="G263" s="8" t="s">
        <v>161</v>
      </c>
      <c r="H263" s="8" t="s">
        <v>111</v>
      </c>
      <c r="I263" s="8" t="s">
        <v>708</v>
      </c>
      <c r="J263" s="8" t="s">
        <v>164</v>
      </c>
      <c r="K263" s="8" t="s">
        <v>128</v>
      </c>
      <c r="L263" s="8">
        <v>28403</v>
      </c>
      <c r="M263" s="8" t="s">
        <v>709</v>
      </c>
      <c r="N263" s="8" t="s">
        <v>109</v>
      </c>
      <c r="O263" s="8" t="s">
        <v>9</v>
      </c>
      <c r="P263" s="8" t="s">
        <v>16</v>
      </c>
      <c r="Q263" s="8" t="s">
        <v>108</v>
      </c>
      <c r="R263" s="15">
        <v>19.456</v>
      </c>
      <c r="S263" s="7">
        <v>4</v>
      </c>
      <c r="T263" s="16">
        <v>0.2</v>
      </c>
      <c r="U263" s="15">
        <v>3.4048</v>
      </c>
      <c r="V263" s="22">
        <v>3.4048</v>
      </c>
      <c r="W263" s="23">
        <v>15.5648</v>
      </c>
      <c r="X263" s="21" t="str" cm="1">
        <f t="array" ref="X263">IF(OR(R263:R800&lt;0,T262:T800&lt;0,C263:C801=""),"Check","OK")</f>
        <v>Check</v>
      </c>
    </row>
    <row r="264" ht="17.6" spans="1:24">
      <c r="A264" s="4">
        <v>557</v>
      </c>
      <c r="B264" s="5" t="s">
        <v>1687</v>
      </c>
      <c r="C264" s="6">
        <v>42531</v>
      </c>
      <c r="D264" s="6">
        <v>42536</v>
      </c>
      <c r="E264" s="5" t="s">
        <v>4</v>
      </c>
      <c r="F264" s="5" t="s">
        <v>533</v>
      </c>
      <c r="G264" s="5" t="s">
        <v>534</v>
      </c>
      <c r="H264" s="5" t="s">
        <v>111</v>
      </c>
      <c r="I264" s="5" t="s">
        <v>708</v>
      </c>
      <c r="J264" s="5" t="s">
        <v>135</v>
      </c>
      <c r="K264" s="5" t="s">
        <v>136</v>
      </c>
      <c r="L264" s="5">
        <v>90045</v>
      </c>
      <c r="M264" s="5" t="s">
        <v>717</v>
      </c>
      <c r="N264" s="5" t="s">
        <v>1688</v>
      </c>
      <c r="O264" s="5" t="s">
        <v>9</v>
      </c>
      <c r="P264" s="5" t="s">
        <v>719</v>
      </c>
      <c r="Q264" s="5" t="s">
        <v>1689</v>
      </c>
      <c r="R264" s="12">
        <v>20.7</v>
      </c>
      <c r="S264" s="4">
        <v>2</v>
      </c>
      <c r="T264" s="14">
        <v>0</v>
      </c>
      <c r="U264" s="12">
        <v>9.936</v>
      </c>
      <c r="V264" s="19">
        <v>9.936</v>
      </c>
      <c r="W264" s="20">
        <v>20.7</v>
      </c>
      <c r="X264" s="21" t="str" cm="1">
        <f t="array" ref="X264">IF(OR(R264:R801&lt;0,T263:T801&lt;0,C264:C802=""),"Check","OK")</f>
        <v>Check</v>
      </c>
    </row>
    <row r="265" ht="17.6" spans="1:24">
      <c r="A265" s="7">
        <v>560</v>
      </c>
      <c r="B265" s="8" t="s">
        <v>1690</v>
      </c>
      <c r="C265" s="9">
        <v>43059</v>
      </c>
      <c r="D265" s="9">
        <v>43061</v>
      </c>
      <c r="E265" s="8" t="s">
        <v>707</v>
      </c>
      <c r="F265" s="8" t="s">
        <v>475</v>
      </c>
      <c r="G265" s="8" t="s">
        <v>476</v>
      </c>
      <c r="H265" s="8" t="s">
        <v>111</v>
      </c>
      <c r="I265" s="8" t="s">
        <v>708</v>
      </c>
      <c r="J265" s="8" t="s">
        <v>188</v>
      </c>
      <c r="K265" s="8" t="s">
        <v>136</v>
      </c>
      <c r="L265" s="8">
        <v>94110</v>
      </c>
      <c r="M265" s="8" t="s">
        <v>717</v>
      </c>
      <c r="N265" s="8" t="s">
        <v>1469</v>
      </c>
      <c r="O265" s="8" t="s">
        <v>8</v>
      </c>
      <c r="P265" s="8" t="s">
        <v>727</v>
      </c>
      <c r="Q265" s="8" t="s">
        <v>1470</v>
      </c>
      <c r="R265" s="15">
        <v>42.6</v>
      </c>
      <c r="S265" s="7">
        <v>3</v>
      </c>
      <c r="T265" s="16">
        <v>0</v>
      </c>
      <c r="U265" s="15">
        <v>16.614</v>
      </c>
      <c r="V265" s="22">
        <v>16.614</v>
      </c>
      <c r="W265" s="23">
        <v>42.6</v>
      </c>
      <c r="X265" s="21" t="str" cm="1">
        <f t="array" ref="X265">IF(OR(R265:R802&lt;0,T264:T802&lt;0,C265:C803=""),"Check","OK")</f>
        <v>Check</v>
      </c>
    </row>
    <row r="266" ht="17.6" spans="1:24">
      <c r="A266" s="4">
        <v>562</v>
      </c>
      <c r="B266" s="5" t="s">
        <v>1691</v>
      </c>
      <c r="C266" s="6">
        <v>41896</v>
      </c>
      <c r="D266" s="6">
        <v>41900</v>
      </c>
      <c r="E266" s="5" t="s">
        <v>707</v>
      </c>
      <c r="F266" s="5" t="s">
        <v>220</v>
      </c>
      <c r="G266" s="5" t="s">
        <v>221</v>
      </c>
      <c r="H266" s="5" t="s">
        <v>111</v>
      </c>
      <c r="I266" s="5" t="s">
        <v>708</v>
      </c>
      <c r="J266" s="5" t="s">
        <v>179</v>
      </c>
      <c r="K266" s="5" t="s">
        <v>172</v>
      </c>
      <c r="L266" s="5">
        <v>33614</v>
      </c>
      <c r="M266" s="5" t="s">
        <v>709</v>
      </c>
      <c r="N266" s="5" t="s">
        <v>1692</v>
      </c>
      <c r="O266" s="5" t="s">
        <v>9</v>
      </c>
      <c r="P266" s="5" t="s">
        <v>744</v>
      </c>
      <c r="Q266" s="5" t="s">
        <v>1693</v>
      </c>
      <c r="R266" s="12">
        <v>13</v>
      </c>
      <c r="S266" s="4">
        <v>5</v>
      </c>
      <c r="T266" s="14">
        <v>0.2</v>
      </c>
      <c r="U266" s="12">
        <v>1.3</v>
      </c>
      <c r="V266" s="19">
        <v>1.3</v>
      </c>
      <c r="W266" s="20">
        <v>10.4</v>
      </c>
      <c r="X266" s="21" t="str" cm="1">
        <f t="array" ref="X266">IF(OR(R266:R803&lt;0,T265:T803&lt;0,C266:C804=""),"Check","OK")</f>
        <v>Check</v>
      </c>
    </row>
    <row r="267" ht="17.6" spans="1:24">
      <c r="A267" s="7">
        <v>564</v>
      </c>
      <c r="B267" s="8" t="s">
        <v>1694</v>
      </c>
      <c r="C267" s="9">
        <v>42345</v>
      </c>
      <c r="D267" s="9">
        <v>42347</v>
      </c>
      <c r="E267" s="8" t="s">
        <v>13</v>
      </c>
      <c r="F267" s="8" t="s">
        <v>387</v>
      </c>
      <c r="G267" s="8" t="s">
        <v>388</v>
      </c>
      <c r="H267" s="8" t="s">
        <v>111</v>
      </c>
      <c r="I267" s="8" t="s">
        <v>708</v>
      </c>
      <c r="J267" s="8" t="s">
        <v>184</v>
      </c>
      <c r="K267" s="8" t="s">
        <v>185</v>
      </c>
      <c r="L267" s="8">
        <v>98105</v>
      </c>
      <c r="M267" s="8" t="s">
        <v>717</v>
      </c>
      <c r="N267" s="8" t="s">
        <v>1695</v>
      </c>
      <c r="O267" s="8" t="s">
        <v>9</v>
      </c>
      <c r="P267" s="8" t="s">
        <v>824</v>
      </c>
      <c r="Q267" s="8" t="s">
        <v>1696</v>
      </c>
      <c r="R267" s="15">
        <v>3.96</v>
      </c>
      <c r="S267" s="7">
        <v>2</v>
      </c>
      <c r="T267" s="16">
        <v>0</v>
      </c>
      <c r="U267" s="15">
        <v>0</v>
      </c>
      <c r="V267" s="22">
        <v>0</v>
      </c>
      <c r="W267" s="23">
        <v>3.96</v>
      </c>
      <c r="X267" s="21" t="str" cm="1">
        <f t="array" ref="X267">IF(OR(R267:R804&lt;0,T266:T804&lt;0,C267:C805=""),"Check","OK")</f>
        <v>Check</v>
      </c>
    </row>
    <row r="268" ht="17.6" spans="1:24">
      <c r="A268" s="4">
        <v>566</v>
      </c>
      <c r="B268" s="5" t="s">
        <v>1697</v>
      </c>
      <c r="C268" s="6">
        <v>43076</v>
      </c>
      <c r="D268" s="6">
        <v>43079</v>
      </c>
      <c r="E268" s="5" t="s">
        <v>13</v>
      </c>
      <c r="F268" s="5" t="s">
        <v>330</v>
      </c>
      <c r="G268" s="5" t="s">
        <v>331</v>
      </c>
      <c r="H268" s="5" t="s">
        <v>111</v>
      </c>
      <c r="I268" s="5" t="s">
        <v>708</v>
      </c>
      <c r="J268" s="5" t="s">
        <v>135</v>
      </c>
      <c r="K268" s="5" t="s">
        <v>136</v>
      </c>
      <c r="L268" s="5">
        <v>90008</v>
      </c>
      <c r="M268" s="5" t="s">
        <v>717</v>
      </c>
      <c r="N268" s="5" t="s">
        <v>1698</v>
      </c>
      <c r="O268" s="5" t="s">
        <v>10</v>
      </c>
      <c r="P268" s="5" t="s">
        <v>780</v>
      </c>
      <c r="Q268" s="5" t="s">
        <v>1699</v>
      </c>
      <c r="R268" s="12">
        <v>374.376</v>
      </c>
      <c r="S268" s="4">
        <v>3</v>
      </c>
      <c r="T268" s="14">
        <v>0.2</v>
      </c>
      <c r="U268" s="12">
        <v>46.797</v>
      </c>
      <c r="V268" s="19">
        <v>46.797</v>
      </c>
      <c r="W268" s="20">
        <v>299.5008</v>
      </c>
      <c r="X268" s="21" t="str" cm="1">
        <f t="array" ref="X268">IF(OR(R268:R805&lt;0,T267:T805&lt;0,C268:C806=""),"Check","OK")</f>
        <v>Check</v>
      </c>
    </row>
    <row r="269" ht="17.6" spans="1:24">
      <c r="A269" s="7">
        <v>567</v>
      </c>
      <c r="B269" s="8" t="s">
        <v>1700</v>
      </c>
      <c r="C269" s="9">
        <v>43009</v>
      </c>
      <c r="D269" s="9">
        <v>43016</v>
      </c>
      <c r="E269" s="8" t="s">
        <v>4</v>
      </c>
      <c r="F269" s="8" t="s">
        <v>1701</v>
      </c>
      <c r="G269" s="8" t="s">
        <v>1702</v>
      </c>
      <c r="H269" s="8" t="s">
        <v>716</v>
      </c>
      <c r="I269" s="8" t="s">
        <v>708</v>
      </c>
      <c r="J269" s="8" t="s">
        <v>184</v>
      </c>
      <c r="K269" s="8" t="s">
        <v>185</v>
      </c>
      <c r="L269" s="8">
        <v>98105</v>
      </c>
      <c r="M269" s="8" t="s">
        <v>717</v>
      </c>
      <c r="N269" s="8" t="s">
        <v>1703</v>
      </c>
      <c r="O269" s="8" t="s">
        <v>9</v>
      </c>
      <c r="P269" s="8" t="s">
        <v>731</v>
      </c>
      <c r="Q269" s="8" t="s">
        <v>1704</v>
      </c>
      <c r="R269" s="15">
        <v>91.84</v>
      </c>
      <c r="S269" s="7">
        <v>8</v>
      </c>
      <c r="T269" s="16">
        <v>0</v>
      </c>
      <c r="U269" s="15">
        <v>45.0016</v>
      </c>
      <c r="V269" s="22">
        <v>45.0016</v>
      </c>
      <c r="W269" s="23">
        <v>91.84</v>
      </c>
      <c r="X269" s="21" t="str" cm="1">
        <f t="array" ref="X269">IF(OR(R269:R806&lt;0,T268:T806&lt;0,C269:C807=""),"Check","OK")</f>
        <v>Check</v>
      </c>
    </row>
    <row r="270" ht="17.6" spans="1:24">
      <c r="A270" s="4">
        <v>571</v>
      </c>
      <c r="B270" s="5" t="s">
        <v>1705</v>
      </c>
      <c r="C270" s="6">
        <v>43097</v>
      </c>
      <c r="D270" s="6">
        <v>43104</v>
      </c>
      <c r="E270" s="5" t="s">
        <v>4</v>
      </c>
      <c r="F270" s="5" t="s">
        <v>385</v>
      </c>
      <c r="G270" s="5" t="s">
        <v>386</v>
      </c>
      <c r="H270" s="5" t="s">
        <v>111</v>
      </c>
      <c r="I270" s="5" t="s">
        <v>708</v>
      </c>
      <c r="J270" s="5" t="s">
        <v>204</v>
      </c>
      <c r="K270" s="5" t="s">
        <v>168</v>
      </c>
      <c r="L270" s="5">
        <v>10024</v>
      </c>
      <c r="M270" s="5" t="s">
        <v>759</v>
      </c>
      <c r="N270" s="5" t="s">
        <v>1688</v>
      </c>
      <c r="O270" s="5" t="s">
        <v>9</v>
      </c>
      <c r="P270" s="5" t="s">
        <v>719</v>
      </c>
      <c r="Q270" s="5" t="s">
        <v>1689</v>
      </c>
      <c r="R270" s="12">
        <v>72.45</v>
      </c>
      <c r="S270" s="4">
        <v>7</v>
      </c>
      <c r="T270" s="14">
        <v>0</v>
      </c>
      <c r="U270" s="12">
        <v>34.776</v>
      </c>
      <c r="V270" s="19">
        <v>34.776</v>
      </c>
      <c r="W270" s="20">
        <v>72.45</v>
      </c>
      <c r="X270" s="21" t="str" cm="1">
        <f t="array" ref="X270">IF(OR(R270:R807&lt;0,T269:T807&lt;0,C270:C808=""),"Check","OK")</f>
        <v>Check</v>
      </c>
    </row>
    <row r="271" ht="17.6" spans="1:24">
      <c r="A271" s="7">
        <v>575</v>
      </c>
      <c r="B271" s="8" t="s">
        <v>1706</v>
      </c>
      <c r="C271" s="9">
        <v>42677</v>
      </c>
      <c r="D271" s="9">
        <v>42681</v>
      </c>
      <c r="E271" s="8" t="s">
        <v>4</v>
      </c>
      <c r="F271" s="8" t="s">
        <v>625</v>
      </c>
      <c r="G271" s="8" t="s">
        <v>626</v>
      </c>
      <c r="H271" s="8" t="s">
        <v>111</v>
      </c>
      <c r="I271" s="8" t="s">
        <v>708</v>
      </c>
      <c r="J271" s="8" t="s">
        <v>627</v>
      </c>
      <c r="K271" s="8" t="s">
        <v>185</v>
      </c>
      <c r="L271" s="8">
        <v>98270</v>
      </c>
      <c r="M271" s="8" t="s">
        <v>717</v>
      </c>
      <c r="N271" s="8" t="s">
        <v>79</v>
      </c>
      <c r="O271" s="8" t="s">
        <v>9</v>
      </c>
      <c r="P271" s="8" t="s">
        <v>16</v>
      </c>
      <c r="Q271" s="8" t="s">
        <v>78</v>
      </c>
      <c r="R271" s="15">
        <v>8.82</v>
      </c>
      <c r="S271" s="7">
        <v>3</v>
      </c>
      <c r="T271" s="16">
        <v>0</v>
      </c>
      <c r="U271" s="15">
        <v>2.3814</v>
      </c>
      <c r="V271" s="22">
        <v>2.3814</v>
      </c>
      <c r="W271" s="23">
        <v>8.82</v>
      </c>
      <c r="X271" s="21" t="str" cm="1">
        <f t="array" ref="X271">IF(OR(R271:R808&lt;0,T270:T808&lt;0,C271:C809=""),"Check","OK")</f>
        <v>Check</v>
      </c>
    </row>
    <row r="272" ht="17.6" spans="1:24">
      <c r="A272" s="4">
        <v>576</v>
      </c>
      <c r="B272" s="5" t="s">
        <v>1707</v>
      </c>
      <c r="C272" s="6">
        <v>42265</v>
      </c>
      <c r="D272" s="6">
        <v>42269</v>
      </c>
      <c r="E272" s="5" t="s">
        <v>707</v>
      </c>
      <c r="F272" s="5" t="s">
        <v>667</v>
      </c>
      <c r="G272" s="5" t="s">
        <v>668</v>
      </c>
      <c r="H272" s="5" t="s">
        <v>111</v>
      </c>
      <c r="I272" s="5" t="s">
        <v>708</v>
      </c>
      <c r="J272" s="5" t="s">
        <v>404</v>
      </c>
      <c r="K272" s="5" t="s">
        <v>136</v>
      </c>
      <c r="L272" s="5">
        <v>90805</v>
      </c>
      <c r="M272" s="5" t="s">
        <v>717</v>
      </c>
      <c r="N272" s="5" t="s">
        <v>1703</v>
      </c>
      <c r="O272" s="5" t="s">
        <v>9</v>
      </c>
      <c r="P272" s="5" t="s">
        <v>731</v>
      </c>
      <c r="Q272" s="5" t="s">
        <v>1704</v>
      </c>
      <c r="R272" s="12">
        <v>160.72</v>
      </c>
      <c r="S272" s="4">
        <v>14</v>
      </c>
      <c r="T272" s="14">
        <v>0</v>
      </c>
      <c r="U272" s="12">
        <v>78.7528</v>
      </c>
      <c r="V272" s="19">
        <v>78.7528</v>
      </c>
      <c r="W272" s="20">
        <v>160.72</v>
      </c>
      <c r="X272" s="21" t="str" cm="1">
        <f t="array" ref="X272">IF(OR(R272:R809&lt;0,T271:T809&lt;0,C272:C810=""),"Check","OK")</f>
        <v>Check</v>
      </c>
    </row>
    <row r="273" ht="17.6" spans="1:24">
      <c r="A273" s="7">
        <v>579</v>
      </c>
      <c r="B273" s="8" t="s">
        <v>1708</v>
      </c>
      <c r="C273" s="9">
        <v>42936</v>
      </c>
      <c r="D273" s="9">
        <v>42942</v>
      </c>
      <c r="E273" s="8" t="s">
        <v>4</v>
      </c>
      <c r="F273" s="8" t="s">
        <v>262</v>
      </c>
      <c r="G273" s="8" t="s">
        <v>263</v>
      </c>
      <c r="H273" s="8" t="s">
        <v>111</v>
      </c>
      <c r="I273" s="8" t="s">
        <v>708</v>
      </c>
      <c r="J273" s="8" t="s">
        <v>182</v>
      </c>
      <c r="K273" s="8" t="s">
        <v>183</v>
      </c>
      <c r="L273" s="8">
        <v>60610</v>
      </c>
      <c r="M273" s="8" t="s">
        <v>742</v>
      </c>
      <c r="N273" s="8" t="s">
        <v>1709</v>
      </c>
      <c r="O273" s="8" t="s">
        <v>9</v>
      </c>
      <c r="P273" s="8" t="s">
        <v>748</v>
      </c>
      <c r="Q273" s="8" t="s">
        <v>1710</v>
      </c>
      <c r="R273" s="15">
        <v>69.712</v>
      </c>
      <c r="S273" s="7">
        <v>2</v>
      </c>
      <c r="T273" s="16">
        <v>0.2</v>
      </c>
      <c r="U273" s="15">
        <v>8.714</v>
      </c>
      <c r="V273" s="22">
        <v>8.714</v>
      </c>
      <c r="W273" s="23">
        <v>55.7696</v>
      </c>
      <c r="X273" s="21" t="str" cm="1">
        <f t="array" ref="X273">IF(OR(R273:R810&lt;0,T272:T810&lt;0,C273:C811=""),"Check","OK")</f>
        <v>Check</v>
      </c>
    </row>
    <row r="274" ht="17.6" spans="1:24">
      <c r="A274" s="4">
        <v>581</v>
      </c>
      <c r="B274" s="5" t="s">
        <v>1711</v>
      </c>
      <c r="C274" s="6">
        <v>42257</v>
      </c>
      <c r="D274" s="6">
        <v>42261</v>
      </c>
      <c r="E274" s="5" t="s">
        <v>4</v>
      </c>
      <c r="F274" s="5" t="s">
        <v>226</v>
      </c>
      <c r="G274" s="5" t="s">
        <v>227</v>
      </c>
      <c r="H274" s="5" t="s">
        <v>111</v>
      </c>
      <c r="I274" s="5" t="s">
        <v>708</v>
      </c>
      <c r="J274" s="5" t="s">
        <v>135</v>
      </c>
      <c r="K274" s="5" t="s">
        <v>136</v>
      </c>
      <c r="L274" s="5">
        <v>90004</v>
      </c>
      <c r="M274" s="5" t="s">
        <v>717</v>
      </c>
      <c r="N274" s="5" t="s">
        <v>1712</v>
      </c>
      <c r="O274" s="5" t="s">
        <v>9</v>
      </c>
      <c r="P274" s="5" t="s">
        <v>1428</v>
      </c>
      <c r="Q274" s="5" t="s">
        <v>1713</v>
      </c>
      <c r="R274" s="12">
        <v>51.52</v>
      </c>
      <c r="S274" s="4">
        <v>4</v>
      </c>
      <c r="T274" s="14">
        <v>0</v>
      </c>
      <c r="U274" s="12">
        <v>1.5456</v>
      </c>
      <c r="V274" s="19">
        <v>1.5456</v>
      </c>
      <c r="W274" s="20">
        <v>51.52</v>
      </c>
      <c r="X274" s="21" t="str" cm="1">
        <f t="array" ref="X274">IF(OR(R274:R811&lt;0,T273:T811&lt;0,C274:C812=""),"Check","OK")</f>
        <v>Check</v>
      </c>
    </row>
    <row r="275" ht="17.6" spans="1:24">
      <c r="A275" s="7">
        <v>582</v>
      </c>
      <c r="B275" s="8" t="s">
        <v>1714</v>
      </c>
      <c r="C275" s="9">
        <v>43070</v>
      </c>
      <c r="D275" s="9">
        <v>43074</v>
      </c>
      <c r="E275" s="8" t="s">
        <v>4</v>
      </c>
      <c r="F275" s="8" t="s">
        <v>307</v>
      </c>
      <c r="G275" s="8" t="s">
        <v>308</v>
      </c>
      <c r="H275" s="8" t="s">
        <v>111</v>
      </c>
      <c r="I275" s="8" t="s">
        <v>708</v>
      </c>
      <c r="J275" s="8" t="s">
        <v>216</v>
      </c>
      <c r="K275" s="8" t="s">
        <v>217</v>
      </c>
      <c r="L275" s="8">
        <v>80219</v>
      </c>
      <c r="M275" s="8" t="s">
        <v>717</v>
      </c>
      <c r="N275" s="8" t="s">
        <v>779</v>
      </c>
      <c r="O275" s="8" t="s">
        <v>10</v>
      </c>
      <c r="P275" s="8" t="s">
        <v>780</v>
      </c>
      <c r="Q275" s="8" t="s">
        <v>781</v>
      </c>
      <c r="R275" s="15">
        <v>470.376</v>
      </c>
      <c r="S275" s="7">
        <v>3</v>
      </c>
      <c r="T275" s="16">
        <v>0.2</v>
      </c>
      <c r="U275" s="15">
        <v>52.9173</v>
      </c>
      <c r="V275" s="22">
        <v>52.9173</v>
      </c>
      <c r="W275" s="23">
        <v>376.3008</v>
      </c>
      <c r="X275" s="21" t="str" cm="1">
        <f t="array" ref="X275">IF(OR(R275:R812&lt;0,T274:T812&lt;0,C275:C813=""),"Check","OK")</f>
        <v>Check</v>
      </c>
    </row>
    <row r="276" ht="17.6" spans="1:24">
      <c r="A276" s="4">
        <v>587</v>
      </c>
      <c r="B276" s="5" t="s">
        <v>1715</v>
      </c>
      <c r="C276" s="6">
        <v>42188</v>
      </c>
      <c r="D276" s="6">
        <v>42194</v>
      </c>
      <c r="E276" s="5" t="s">
        <v>4</v>
      </c>
      <c r="F276" s="5" t="s">
        <v>197</v>
      </c>
      <c r="G276" s="5" t="s">
        <v>198</v>
      </c>
      <c r="H276" s="5" t="s">
        <v>111</v>
      </c>
      <c r="I276" s="5" t="s">
        <v>708</v>
      </c>
      <c r="J276" s="5" t="s">
        <v>199</v>
      </c>
      <c r="K276" s="5" t="s">
        <v>142</v>
      </c>
      <c r="L276" s="5">
        <v>40475</v>
      </c>
      <c r="M276" s="5" t="s">
        <v>709</v>
      </c>
      <c r="N276" s="5" t="s">
        <v>1716</v>
      </c>
      <c r="O276" s="5" t="s">
        <v>8</v>
      </c>
      <c r="P276" s="5" t="s">
        <v>761</v>
      </c>
      <c r="Q276" s="5" t="s">
        <v>1717</v>
      </c>
      <c r="R276" s="12">
        <v>70.98</v>
      </c>
      <c r="S276" s="4">
        <v>1</v>
      </c>
      <c r="T276" s="14">
        <v>0</v>
      </c>
      <c r="U276" s="12">
        <v>4.9686</v>
      </c>
      <c r="V276" s="19">
        <v>4.9686</v>
      </c>
      <c r="W276" s="20">
        <v>70.98</v>
      </c>
      <c r="X276" s="21" t="str" cm="1">
        <f t="array" ref="X276">IF(OR(R276:R813&lt;0,T275:T813&lt;0,C276:C814=""),"Check","OK")</f>
        <v>Check</v>
      </c>
    </row>
    <row r="277" ht="17.6" spans="1:24">
      <c r="A277" s="7">
        <v>589</v>
      </c>
      <c r="B277" s="8" t="s">
        <v>1718</v>
      </c>
      <c r="C277" s="9">
        <v>42449</v>
      </c>
      <c r="D277" s="9">
        <v>42453</v>
      </c>
      <c r="E277" s="8" t="s">
        <v>4</v>
      </c>
      <c r="F277" s="8" t="s">
        <v>689</v>
      </c>
      <c r="G277" s="8" t="s">
        <v>690</v>
      </c>
      <c r="H277" s="8" t="s">
        <v>111</v>
      </c>
      <c r="I277" s="8" t="s">
        <v>708</v>
      </c>
      <c r="J277" s="8" t="s">
        <v>692</v>
      </c>
      <c r="K277" s="8" t="s">
        <v>660</v>
      </c>
      <c r="L277" s="8">
        <v>97301</v>
      </c>
      <c r="M277" s="8" t="s">
        <v>717</v>
      </c>
      <c r="N277" s="8" t="s">
        <v>1719</v>
      </c>
      <c r="O277" s="8" t="s">
        <v>10</v>
      </c>
      <c r="P277" s="8" t="s">
        <v>780</v>
      </c>
      <c r="Q277" s="8" t="s">
        <v>1720</v>
      </c>
      <c r="R277" s="15">
        <v>84.784</v>
      </c>
      <c r="S277" s="7">
        <v>2</v>
      </c>
      <c r="T277" s="16">
        <v>0.2</v>
      </c>
      <c r="U277" s="15">
        <v>-20.1362</v>
      </c>
      <c r="V277" s="22">
        <v>20.1362</v>
      </c>
      <c r="W277" s="23">
        <v>67.8272</v>
      </c>
      <c r="X277" s="21" t="str" cm="1">
        <f t="array" ref="X277">IF(OR(R277:R814&lt;0,T276:T814&lt;0,C277:C815=""),"Check","OK")</f>
        <v>Check</v>
      </c>
    </row>
    <row r="278" ht="17.6" spans="1:24">
      <c r="A278" s="4">
        <v>593</v>
      </c>
      <c r="B278" s="5" t="s">
        <v>1721</v>
      </c>
      <c r="C278" s="6">
        <v>41648</v>
      </c>
      <c r="D278" s="6">
        <v>41652</v>
      </c>
      <c r="E278" s="5" t="s">
        <v>4</v>
      </c>
      <c r="F278" s="5" t="s">
        <v>511</v>
      </c>
      <c r="G278" s="5" t="s">
        <v>512</v>
      </c>
      <c r="H278" s="5" t="s">
        <v>111</v>
      </c>
      <c r="I278" s="5" t="s">
        <v>708</v>
      </c>
      <c r="J278" s="5" t="s">
        <v>513</v>
      </c>
      <c r="K278" s="5" t="s">
        <v>132</v>
      </c>
      <c r="L278" s="5">
        <v>78041</v>
      </c>
      <c r="M278" s="5" t="s">
        <v>742</v>
      </c>
      <c r="N278" s="5" t="s">
        <v>65</v>
      </c>
      <c r="O278" s="5" t="s">
        <v>9</v>
      </c>
      <c r="P278" s="5" t="s">
        <v>16</v>
      </c>
      <c r="Q278" s="5" t="s">
        <v>64</v>
      </c>
      <c r="R278" s="12">
        <v>9.344</v>
      </c>
      <c r="S278" s="4">
        <v>2</v>
      </c>
      <c r="T278" s="14">
        <v>0.2</v>
      </c>
      <c r="U278" s="12">
        <v>1.168</v>
      </c>
      <c r="V278" s="19">
        <v>1.168</v>
      </c>
      <c r="W278" s="20">
        <v>7.4752</v>
      </c>
      <c r="X278" s="21" t="str" cm="1">
        <f t="array" ref="X278">IF(OR(R278:R815&lt;0,T277:T815&lt;0,C278:C816=""),"Check","OK")</f>
        <v>Check</v>
      </c>
    </row>
    <row r="279" ht="17.6" spans="1:24">
      <c r="A279" s="7">
        <v>595</v>
      </c>
      <c r="B279" s="8" t="s">
        <v>1722</v>
      </c>
      <c r="C279" s="9">
        <v>41859</v>
      </c>
      <c r="D279" s="9">
        <v>41866</v>
      </c>
      <c r="E279" s="8" t="s">
        <v>4</v>
      </c>
      <c r="F279" s="8" t="s">
        <v>477</v>
      </c>
      <c r="G279" s="8" t="s">
        <v>478</v>
      </c>
      <c r="H279" s="8" t="s">
        <v>111</v>
      </c>
      <c r="I279" s="8" t="s">
        <v>708</v>
      </c>
      <c r="J279" s="8" t="s">
        <v>431</v>
      </c>
      <c r="K279" s="8" t="s">
        <v>136</v>
      </c>
      <c r="L279" s="8">
        <v>92024</v>
      </c>
      <c r="M279" s="8" t="s">
        <v>717</v>
      </c>
      <c r="N279" s="8" t="s">
        <v>1723</v>
      </c>
      <c r="O279" s="8" t="s">
        <v>9</v>
      </c>
      <c r="P279" s="8" t="s">
        <v>744</v>
      </c>
      <c r="Q279" s="8" t="s">
        <v>1724</v>
      </c>
      <c r="R279" s="15">
        <v>76.12</v>
      </c>
      <c r="S279" s="7">
        <v>2</v>
      </c>
      <c r="T279" s="16">
        <v>0</v>
      </c>
      <c r="U279" s="15">
        <v>22.0748</v>
      </c>
      <c r="V279" s="22">
        <v>22.0748</v>
      </c>
      <c r="W279" s="23">
        <v>76.12</v>
      </c>
      <c r="X279" s="21" t="str" cm="1">
        <f t="array" ref="X279">IF(OR(R279:R816&lt;0,T278:T816&lt;0,C279:C817=""),"Check","OK")</f>
        <v>Check</v>
      </c>
    </row>
    <row r="280" ht="17.6" spans="1:24">
      <c r="A280" s="4">
        <v>599</v>
      </c>
      <c r="B280" s="5" t="s">
        <v>1725</v>
      </c>
      <c r="C280" s="6">
        <v>42565</v>
      </c>
      <c r="D280" s="6">
        <v>42567</v>
      </c>
      <c r="E280" s="5" t="s">
        <v>13</v>
      </c>
      <c r="F280" s="5" t="s">
        <v>669</v>
      </c>
      <c r="G280" s="5" t="s">
        <v>670</v>
      </c>
      <c r="H280" s="5" t="s">
        <v>111</v>
      </c>
      <c r="I280" s="5" t="s">
        <v>708</v>
      </c>
      <c r="J280" s="5" t="s">
        <v>175</v>
      </c>
      <c r="K280" s="5" t="s">
        <v>176</v>
      </c>
      <c r="L280" s="5">
        <v>19134</v>
      </c>
      <c r="M280" s="5" t="s">
        <v>759</v>
      </c>
      <c r="N280" s="5" t="s">
        <v>1726</v>
      </c>
      <c r="O280" s="5" t="s">
        <v>9</v>
      </c>
      <c r="P280" s="5" t="s">
        <v>1428</v>
      </c>
      <c r="Q280" s="5" t="s">
        <v>1727</v>
      </c>
      <c r="R280" s="12">
        <v>11.632</v>
      </c>
      <c r="S280" s="4">
        <v>2</v>
      </c>
      <c r="T280" s="14">
        <v>0.2</v>
      </c>
      <c r="U280" s="12">
        <v>1.0178</v>
      </c>
      <c r="V280" s="19">
        <v>1.0178</v>
      </c>
      <c r="W280" s="20">
        <v>9.3056</v>
      </c>
      <c r="X280" s="21" t="str" cm="1">
        <f t="array" ref="X280">IF(OR(R280:R817&lt;0,T279:T817&lt;0,C280:C818=""),"Check","OK")</f>
        <v>Check</v>
      </c>
    </row>
    <row r="281" ht="17.6" spans="1:24">
      <c r="A281" s="7">
        <v>600</v>
      </c>
      <c r="B281" s="8" t="s">
        <v>1728</v>
      </c>
      <c r="C281" s="9">
        <v>42567</v>
      </c>
      <c r="D281" s="9">
        <v>42572</v>
      </c>
      <c r="E281" s="8" t="s">
        <v>4</v>
      </c>
      <c r="F281" s="8" t="s">
        <v>244</v>
      </c>
      <c r="G281" s="8" t="s">
        <v>245</v>
      </c>
      <c r="H281" s="8" t="s">
        <v>111</v>
      </c>
      <c r="I281" s="8" t="s">
        <v>708</v>
      </c>
      <c r="J281" s="8" t="s">
        <v>175</v>
      </c>
      <c r="K281" s="8" t="s">
        <v>176</v>
      </c>
      <c r="L281" s="8">
        <v>19120</v>
      </c>
      <c r="M281" s="8" t="s">
        <v>759</v>
      </c>
      <c r="N281" s="8" t="s">
        <v>1729</v>
      </c>
      <c r="O281" s="8" t="s">
        <v>10</v>
      </c>
      <c r="P281" s="8" t="s">
        <v>780</v>
      </c>
      <c r="Q281" s="8" t="s">
        <v>1730</v>
      </c>
      <c r="R281" s="15">
        <v>143.982</v>
      </c>
      <c r="S281" s="7">
        <v>3</v>
      </c>
      <c r="T281" s="16">
        <v>0.4</v>
      </c>
      <c r="U281" s="15">
        <v>-28.7964</v>
      </c>
      <c r="V281" s="22">
        <v>28.7964</v>
      </c>
      <c r="W281" s="23">
        <v>86.3892</v>
      </c>
      <c r="X281" s="21" t="str" cm="1">
        <f t="array" ref="X281">IF(OR(R281:R818&lt;0,T280:T818&lt;0,C281:C819=""),"Check","OK")</f>
        <v>Check</v>
      </c>
    </row>
    <row r="282" ht="17.6" spans="1:24">
      <c r="A282" s="4">
        <v>603</v>
      </c>
      <c r="B282" s="5" t="s">
        <v>1731</v>
      </c>
      <c r="C282" s="6">
        <v>41713</v>
      </c>
      <c r="D282" s="6">
        <v>41717</v>
      </c>
      <c r="E282" s="5" t="s">
        <v>4</v>
      </c>
      <c r="F282" s="5" t="s">
        <v>177</v>
      </c>
      <c r="G282" s="5" t="s">
        <v>178</v>
      </c>
      <c r="H282" s="5" t="s">
        <v>111</v>
      </c>
      <c r="I282" s="5" t="s">
        <v>708</v>
      </c>
      <c r="J282" s="5" t="s">
        <v>179</v>
      </c>
      <c r="K282" s="5" t="s">
        <v>172</v>
      </c>
      <c r="L282" s="5">
        <v>33614</v>
      </c>
      <c r="M282" s="5" t="s">
        <v>709</v>
      </c>
      <c r="N282" s="5" t="s">
        <v>1732</v>
      </c>
      <c r="O282" s="5" t="s">
        <v>9</v>
      </c>
      <c r="P282" s="5" t="s">
        <v>748</v>
      </c>
      <c r="Q282" s="5" t="s">
        <v>1733</v>
      </c>
      <c r="R282" s="12">
        <v>142.776</v>
      </c>
      <c r="S282" s="4">
        <v>1</v>
      </c>
      <c r="T282" s="14">
        <v>0.2</v>
      </c>
      <c r="U282" s="12">
        <v>17.847</v>
      </c>
      <c r="V282" s="19">
        <v>17.847</v>
      </c>
      <c r="W282" s="20">
        <v>114.2208</v>
      </c>
      <c r="X282" s="21" t="str" cm="1">
        <f t="array" ref="X282">IF(OR(R282:R819&lt;0,T281:T819&lt;0,C282:C820=""),"Check","OK")</f>
        <v>Check</v>
      </c>
    </row>
    <row r="283" ht="17.6" spans="1:24">
      <c r="A283" s="7">
        <v>608</v>
      </c>
      <c r="B283" s="8" t="s">
        <v>1734</v>
      </c>
      <c r="C283" s="9">
        <v>41782</v>
      </c>
      <c r="D283" s="9">
        <v>41786</v>
      </c>
      <c r="E283" s="8" t="s">
        <v>4</v>
      </c>
      <c r="F283" s="8" t="s">
        <v>173</v>
      </c>
      <c r="G283" s="8" t="s">
        <v>174</v>
      </c>
      <c r="H283" s="8" t="s">
        <v>111</v>
      </c>
      <c r="I283" s="8" t="s">
        <v>708</v>
      </c>
      <c r="J283" s="8" t="s">
        <v>175</v>
      </c>
      <c r="K283" s="8" t="s">
        <v>176</v>
      </c>
      <c r="L283" s="8">
        <v>19134</v>
      </c>
      <c r="M283" s="8" t="s">
        <v>759</v>
      </c>
      <c r="N283" s="8" t="s">
        <v>1735</v>
      </c>
      <c r="O283" s="8" t="s">
        <v>9</v>
      </c>
      <c r="P283" s="8" t="s">
        <v>736</v>
      </c>
      <c r="Q283" s="8" t="s">
        <v>1736</v>
      </c>
      <c r="R283" s="15">
        <v>3.282</v>
      </c>
      <c r="S283" s="7">
        <v>2</v>
      </c>
      <c r="T283" s="16">
        <v>0.7</v>
      </c>
      <c r="U283" s="15">
        <v>-2.6256</v>
      </c>
      <c r="V283" s="22">
        <v>2.6256</v>
      </c>
      <c r="W283" s="23">
        <v>0.9846</v>
      </c>
      <c r="X283" s="21" t="str" cm="1">
        <f t="array" ref="X283">IF(OR(R283:R820&lt;0,T282:T820&lt;0,C283:C821=""),"Check","OK")</f>
        <v>Check</v>
      </c>
    </row>
    <row r="284" ht="17.6" spans="1:24">
      <c r="A284" s="4">
        <v>611</v>
      </c>
      <c r="B284" s="5" t="s">
        <v>1737</v>
      </c>
      <c r="C284" s="6">
        <v>42488</v>
      </c>
      <c r="D284" s="6">
        <v>42491</v>
      </c>
      <c r="E284" s="5" t="s">
        <v>13</v>
      </c>
      <c r="F284" s="5" t="s">
        <v>1738</v>
      </c>
      <c r="G284" s="5" t="s">
        <v>1739</v>
      </c>
      <c r="H284" s="5" t="s">
        <v>716</v>
      </c>
      <c r="I284" s="5" t="s">
        <v>708</v>
      </c>
      <c r="J284" s="5" t="s">
        <v>457</v>
      </c>
      <c r="K284" s="5" t="s">
        <v>132</v>
      </c>
      <c r="L284" s="5">
        <v>75217</v>
      </c>
      <c r="M284" s="5" t="s">
        <v>742</v>
      </c>
      <c r="N284" s="5" t="s">
        <v>1406</v>
      </c>
      <c r="O284" s="5" t="s">
        <v>10</v>
      </c>
      <c r="P284" s="5" t="s">
        <v>780</v>
      </c>
      <c r="Q284" s="5" t="s">
        <v>1407</v>
      </c>
      <c r="R284" s="12">
        <v>369.576</v>
      </c>
      <c r="S284" s="4">
        <v>3</v>
      </c>
      <c r="T284" s="14">
        <v>0.2</v>
      </c>
      <c r="U284" s="12">
        <v>41.5773</v>
      </c>
      <c r="V284" s="19">
        <v>41.5773</v>
      </c>
      <c r="W284" s="20">
        <v>295.6608</v>
      </c>
      <c r="X284" s="21" t="str" cm="1">
        <f t="array" ref="X284">IF(OR(R284:R821&lt;0,T283:T821&lt;0,C284:C822=""),"Check","OK")</f>
        <v>Check</v>
      </c>
    </row>
    <row r="285" ht="17.6" spans="1:24">
      <c r="A285" s="7">
        <v>613</v>
      </c>
      <c r="B285" s="8" t="s">
        <v>1740</v>
      </c>
      <c r="C285" s="9">
        <v>42624</v>
      </c>
      <c r="D285" s="9">
        <v>42626</v>
      </c>
      <c r="E285" s="8" t="s">
        <v>707</v>
      </c>
      <c r="F285" s="8" t="s">
        <v>1741</v>
      </c>
      <c r="G285" s="8" t="s">
        <v>1742</v>
      </c>
      <c r="H285" s="8" t="s">
        <v>716</v>
      </c>
      <c r="I285" s="8" t="s">
        <v>708</v>
      </c>
      <c r="J285" s="8" t="s">
        <v>175</v>
      </c>
      <c r="K285" s="8" t="s">
        <v>176</v>
      </c>
      <c r="L285" s="8">
        <v>19143</v>
      </c>
      <c r="M285" s="8" t="s">
        <v>759</v>
      </c>
      <c r="N285" s="8" t="s">
        <v>1743</v>
      </c>
      <c r="O285" s="8" t="s">
        <v>9</v>
      </c>
      <c r="P285" s="8" t="s">
        <v>731</v>
      </c>
      <c r="Q285" s="8" t="s">
        <v>1744</v>
      </c>
      <c r="R285" s="15">
        <v>8.448</v>
      </c>
      <c r="S285" s="7">
        <v>2</v>
      </c>
      <c r="T285" s="16">
        <v>0.2</v>
      </c>
      <c r="U285" s="15">
        <v>2.64</v>
      </c>
      <c r="V285" s="22">
        <v>2.64</v>
      </c>
      <c r="W285" s="23">
        <v>6.7584</v>
      </c>
      <c r="X285" s="21" t="str" cm="1">
        <f t="array" ref="X285">IF(OR(R285:R822&lt;0,T284:T822&lt;0,C285:C823=""),"Check","OK")</f>
        <v>OK</v>
      </c>
    </row>
    <row r="286" ht="17.6" spans="1:24">
      <c r="A286" s="4">
        <v>615</v>
      </c>
      <c r="B286" s="5" t="s">
        <v>1745</v>
      </c>
      <c r="C286" s="6">
        <v>43053</v>
      </c>
      <c r="D286" s="6">
        <v>43056</v>
      </c>
      <c r="E286" s="5" t="s">
        <v>707</v>
      </c>
      <c r="F286" s="5" t="s">
        <v>246</v>
      </c>
      <c r="G286" s="5" t="s">
        <v>247</v>
      </c>
      <c r="H286" s="5" t="s">
        <v>111</v>
      </c>
      <c r="I286" s="5" t="s">
        <v>708</v>
      </c>
      <c r="J286" s="5" t="s">
        <v>248</v>
      </c>
      <c r="K286" s="5" t="s">
        <v>138</v>
      </c>
      <c r="L286" s="5">
        <v>43123</v>
      </c>
      <c r="M286" s="5" t="s">
        <v>759</v>
      </c>
      <c r="N286" s="5" t="s">
        <v>1746</v>
      </c>
      <c r="O286" s="5" t="s">
        <v>10</v>
      </c>
      <c r="P286" s="5" t="s">
        <v>780</v>
      </c>
      <c r="Q286" s="5" t="s">
        <v>1747</v>
      </c>
      <c r="R286" s="12">
        <v>119.94</v>
      </c>
      <c r="S286" s="4">
        <v>10</v>
      </c>
      <c r="T286" s="14">
        <v>0.4</v>
      </c>
      <c r="U286" s="12">
        <v>15.992</v>
      </c>
      <c r="V286" s="19">
        <v>15.992</v>
      </c>
      <c r="W286" s="20">
        <v>71.964</v>
      </c>
      <c r="X286" s="21" t="str" cm="1">
        <f t="array" ref="X286">IF(OR(R286:R823&lt;0,T285:T823&lt;0,C286:C824=""),"Check","OK")</f>
        <v>Check</v>
      </c>
    </row>
    <row r="287" ht="17.6" spans="1:24">
      <c r="A287" s="7">
        <v>617</v>
      </c>
      <c r="B287" s="8" t="s">
        <v>1748</v>
      </c>
      <c r="C287" s="9">
        <v>42965</v>
      </c>
      <c r="D287" s="9">
        <v>42970</v>
      </c>
      <c r="E287" s="8" t="s">
        <v>707</v>
      </c>
      <c r="F287" s="8" t="s">
        <v>1749</v>
      </c>
      <c r="G287" s="8" t="s">
        <v>1750</v>
      </c>
      <c r="H287" s="8" t="s">
        <v>716</v>
      </c>
      <c r="I287" s="8" t="s">
        <v>708</v>
      </c>
      <c r="J287" s="8" t="s">
        <v>204</v>
      </c>
      <c r="K287" s="8" t="s">
        <v>168</v>
      </c>
      <c r="L287" s="8">
        <v>10011</v>
      </c>
      <c r="M287" s="8" t="s">
        <v>759</v>
      </c>
      <c r="N287" s="8" t="s">
        <v>1751</v>
      </c>
      <c r="O287" s="8" t="s">
        <v>8</v>
      </c>
      <c r="P287" s="8" t="s">
        <v>727</v>
      </c>
      <c r="Q287" s="8" t="s">
        <v>1752</v>
      </c>
      <c r="R287" s="15">
        <v>40.48</v>
      </c>
      <c r="S287" s="7">
        <v>2</v>
      </c>
      <c r="T287" s="16">
        <v>0</v>
      </c>
      <c r="U287" s="15">
        <v>15.7872</v>
      </c>
      <c r="V287" s="22">
        <v>15.7872</v>
      </c>
      <c r="W287" s="23">
        <v>40.48</v>
      </c>
      <c r="X287" s="21" t="str" cm="1">
        <f t="array" ref="X287">IF(OR(R287:R824&lt;0,T286:T824&lt;0,C287:C825=""),"Check","OK")</f>
        <v>Check</v>
      </c>
    </row>
    <row r="288" ht="17.6" spans="1:24">
      <c r="A288" s="4">
        <v>622</v>
      </c>
      <c r="B288" s="5" t="s">
        <v>1753</v>
      </c>
      <c r="C288" s="6">
        <v>41999</v>
      </c>
      <c r="D288" s="6">
        <v>42004</v>
      </c>
      <c r="E288" s="5" t="s">
        <v>4</v>
      </c>
      <c r="F288" s="5" t="s">
        <v>218</v>
      </c>
      <c r="G288" s="5" t="s">
        <v>219</v>
      </c>
      <c r="H288" s="5" t="s">
        <v>111</v>
      </c>
      <c r="I288" s="5" t="s">
        <v>708</v>
      </c>
      <c r="J288" s="5" t="s">
        <v>182</v>
      </c>
      <c r="K288" s="5" t="s">
        <v>183</v>
      </c>
      <c r="L288" s="5">
        <v>60610</v>
      </c>
      <c r="M288" s="5" t="s">
        <v>742</v>
      </c>
      <c r="N288" s="5" t="s">
        <v>1754</v>
      </c>
      <c r="O288" s="5" t="s">
        <v>9</v>
      </c>
      <c r="P288" s="5" t="s">
        <v>736</v>
      </c>
      <c r="Q288" s="5" t="s">
        <v>1755</v>
      </c>
      <c r="R288" s="12">
        <v>8.69</v>
      </c>
      <c r="S288" s="4">
        <v>5</v>
      </c>
      <c r="T288" s="14">
        <v>0.8</v>
      </c>
      <c r="U288" s="12">
        <v>-14.773</v>
      </c>
      <c r="V288" s="19">
        <v>14.773</v>
      </c>
      <c r="W288" s="20">
        <v>1.738</v>
      </c>
      <c r="X288" s="21" t="str" cm="1">
        <f t="array" ref="X288">IF(OR(R288:R825&lt;0,T287:T825&lt;0,C288:C826=""),"Check","OK")</f>
        <v>Check</v>
      </c>
    </row>
    <row r="289" ht="17.6" spans="1:24">
      <c r="A289" s="7">
        <v>623</v>
      </c>
      <c r="B289" s="8" t="s">
        <v>1756</v>
      </c>
      <c r="C289" s="9">
        <v>42337</v>
      </c>
      <c r="D289" s="9">
        <v>42341</v>
      </c>
      <c r="E289" s="8" t="s">
        <v>4</v>
      </c>
      <c r="F289" s="8" t="s">
        <v>1757</v>
      </c>
      <c r="G289" s="8" t="s">
        <v>1758</v>
      </c>
      <c r="H289" s="8" t="s">
        <v>716</v>
      </c>
      <c r="I289" s="8" t="s">
        <v>708</v>
      </c>
      <c r="J289" s="8" t="s">
        <v>1759</v>
      </c>
      <c r="K289" s="8" t="s">
        <v>163</v>
      </c>
      <c r="L289" s="8">
        <v>48126</v>
      </c>
      <c r="M289" s="8" t="s">
        <v>742</v>
      </c>
      <c r="N289" s="8" t="s">
        <v>1760</v>
      </c>
      <c r="O289" s="8" t="s">
        <v>8</v>
      </c>
      <c r="P289" s="8" t="s">
        <v>761</v>
      </c>
      <c r="Q289" s="8" t="s">
        <v>1761</v>
      </c>
      <c r="R289" s="15">
        <v>301.96</v>
      </c>
      <c r="S289" s="7">
        <v>2</v>
      </c>
      <c r="T289" s="16">
        <v>0</v>
      </c>
      <c r="U289" s="15">
        <v>87.5684</v>
      </c>
      <c r="V289" s="22">
        <v>87.5684</v>
      </c>
      <c r="W289" s="23">
        <v>301.96</v>
      </c>
      <c r="X289" s="21" t="str" cm="1">
        <f t="array" ref="X289">IF(OR(R289:R826&lt;0,T288:T826&lt;0,C289:C827=""),"Check","OK")</f>
        <v>Check</v>
      </c>
    </row>
    <row r="290" ht="17.6" spans="1:24">
      <c r="A290" s="4">
        <v>627</v>
      </c>
      <c r="B290" s="5" t="s">
        <v>1762</v>
      </c>
      <c r="C290" s="6">
        <v>42993</v>
      </c>
      <c r="D290" s="6">
        <v>42997</v>
      </c>
      <c r="E290" s="5" t="s">
        <v>4</v>
      </c>
      <c r="F290" s="5" t="s">
        <v>1763</v>
      </c>
      <c r="G290" s="5" t="s">
        <v>1764</v>
      </c>
      <c r="H290" s="5" t="s">
        <v>741</v>
      </c>
      <c r="I290" s="5" t="s">
        <v>708</v>
      </c>
      <c r="J290" s="5" t="s">
        <v>204</v>
      </c>
      <c r="K290" s="5" t="s">
        <v>168</v>
      </c>
      <c r="L290" s="5">
        <v>10009</v>
      </c>
      <c r="M290" s="5" t="s">
        <v>759</v>
      </c>
      <c r="N290" s="5" t="s">
        <v>1765</v>
      </c>
      <c r="O290" s="5" t="s">
        <v>8</v>
      </c>
      <c r="P290" s="5" t="s">
        <v>727</v>
      </c>
      <c r="Q290" s="5" t="s">
        <v>1766</v>
      </c>
      <c r="R290" s="12">
        <v>35.56</v>
      </c>
      <c r="S290" s="4">
        <v>7</v>
      </c>
      <c r="T290" s="14">
        <v>0</v>
      </c>
      <c r="U290" s="12">
        <v>12.0904</v>
      </c>
      <c r="V290" s="19">
        <v>12.0904</v>
      </c>
      <c r="W290" s="20">
        <v>35.56</v>
      </c>
      <c r="X290" s="21" t="str" cm="1">
        <f t="array" ref="X290">IF(OR(R290:R827&lt;0,T289:T827&lt;0,C290:C828=""),"Check","OK")</f>
        <v>Check</v>
      </c>
    </row>
    <row r="291" ht="17.6" spans="1:24">
      <c r="A291" s="7">
        <v>628</v>
      </c>
      <c r="B291" s="8" t="s">
        <v>1767</v>
      </c>
      <c r="C291" s="9">
        <v>42874</v>
      </c>
      <c r="D291" s="9">
        <v>42878</v>
      </c>
      <c r="E291" s="8" t="s">
        <v>4</v>
      </c>
      <c r="F291" s="8" t="s">
        <v>180</v>
      </c>
      <c r="G291" s="8" t="s">
        <v>181</v>
      </c>
      <c r="H291" s="8" t="s">
        <v>111</v>
      </c>
      <c r="I291" s="8" t="s">
        <v>708</v>
      </c>
      <c r="J291" s="8" t="s">
        <v>184</v>
      </c>
      <c r="K291" s="8" t="s">
        <v>185</v>
      </c>
      <c r="L291" s="8">
        <v>98115</v>
      </c>
      <c r="M291" s="8" t="s">
        <v>717</v>
      </c>
      <c r="N291" s="8" t="s">
        <v>1768</v>
      </c>
      <c r="O291" s="8" t="s">
        <v>9</v>
      </c>
      <c r="P291" s="8" t="s">
        <v>744</v>
      </c>
      <c r="Q291" s="8" t="s">
        <v>1769</v>
      </c>
      <c r="R291" s="15">
        <v>97.16</v>
      </c>
      <c r="S291" s="7">
        <v>2</v>
      </c>
      <c r="T291" s="16">
        <v>0</v>
      </c>
      <c r="U291" s="15">
        <v>28.1764</v>
      </c>
      <c r="V291" s="22">
        <v>28.1764</v>
      </c>
      <c r="W291" s="23">
        <v>97.16</v>
      </c>
      <c r="X291" s="21" t="str" cm="1">
        <f t="array" ref="X291">IF(OR(R291:R828&lt;0,T290:T828&lt;0,C291:C829=""),"Check","OK")</f>
        <v>Check</v>
      </c>
    </row>
    <row r="292" ht="17.6" spans="1:24">
      <c r="A292" s="4">
        <v>629</v>
      </c>
      <c r="B292" s="5" t="s">
        <v>1770</v>
      </c>
      <c r="C292" s="6">
        <v>43086</v>
      </c>
      <c r="D292" s="6">
        <v>43090</v>
      </c>
      <c r="E292" s="5" t="s">
        <v>4</v>
      </c>
      <c r="F292" s="5" t="s">
        <v>455</v>
      </c>
      <c r="G292" s="5" t="s">
        <v>456</v>
      </c>
      <c r="H292" s="5" t="s">
        <v>111</v>
      </c>
      <c r="I292" s="5" t="s">
        <v>708</v>
      </c>
      <c r="J292" s="5" t="s">
        <v>188</v>
      </c>
      <c r="K292" s="5" t="s">
        <v>136</v>
      </c>
      <c r="L292" s="5">
        <v>94122</v>
      </c>
      <c r="M292" s="5" t="s">
        <v>717</v>
      </c>
      <c r="N292" s="5" t="s">
        <v>1771</v>
      </c>
      <c r="O292" s="5" t="s">
        <v>9</v>
      </c>
      <c r="P292" s="5" t="s">
        <v>736</v>
      </c>
      <c r="Q292" s="5" t="s">
        <v>1772</v>
      </c>
      <c r="R292" s="12">
        <v>15.24</v>
      </c>
      <c r="S292" s="4">
        <v>5</v>
      </c>
      <c r="T292" s="14">
        <v>0.2</v>
      </c>
      <c r="U292" s="12">
        <v>5.1435</v>
      </c>
      <c r="V292" s="19">
        <v>5.1435</v>
      </c>
      <c r="W292" s="20">
        <v>12.192</v>
      </c>
      <c r="X292" s="21" t="str" cm="1">
        <f t="array" ref="X292">IF(OR(R292:R829&lt;0,T291:T829&lt;0,C292:C830=""),"Check","OK")</f>
        <v>Check</v>
      </c>
    </row>
    <row r="293" ht="17.6" spans="1:24">
      <c r="A293" s="7">
        <v>631</v>
      </c>
      <c r="B293" s="8" t="s">
        <v>1773</v>
      </c>
      <c r="C293" s="9">
        <v>42715</v>
      </c>
      <c r="D293" s="9">
        <v>42717</v>
      </c>
      <c r="E293" s="8" t="s">
        <v>707</v>
      </c>
      <c r="F293" s="8" t="s">
        <v>327</v>
      </c>
      <c r="G293" s="8" t="s">
        <v>328</v>
      </c>
      <c r="H293" s="8" t="s">
        <v>111</v>
      </c>
      <c r="I293" s="8" t="s">
        <v>708</v>
      </c>
      <c r="J293" s="8" t="s">
        <v>329</v>
      </c>
      <c r="K293" s="8" t="s">
        <v>217</v>
      </c>
      <c r="L293" s="8">
        <v>80013</v>
      </c>
      <c r="M293" s="8" t="s">
        <v>717</v>
      </c>
      <c r="N293" s="8" t="s">
        <v>1774</v>
      </c>
      <c r="O293" s="8" t="s">
        <v>9</v>
      </c>
      <c r="P293" s="8" t="s">
        <v>748</v>
      </c>
      <c r="Q293" s="8" t="s">
        <v>1775</v>
      </c>
      <c r="R293" s="15">
        <v>243.384</v>
      </c>
      <c r="S293" s="7">
        <v>3</v>
      </c>
      <c r="T293" s="16">
        <v>0.2</v>
      </c>
      <c r="U293" s="15">
        <v>-51.7191</v>
      </c>
      <c r="V293" s="22">
        <v>51.7191</v>
      </c>
      <c r="W293" s="23">
        <v>194.7072</v>
      </c>
      <c r="X293" s="21" t="str" cm="1">
        <f t="array" ref="X293">IF(OR(R293:R830&lt;0,T292:T830&lt;0,C293:C831=""),"Check","OK")</f>
        <v>Check</v>
      </c>
    </row>
    <row r="294" ht="17.6" spans="1:24">
      <c r="A294" s="4">
        <v>634</v>
      </c>
      <c r="B294" s="5" t="s">
        <v>1776</v>
      </c>
      <c r="C294" s="6">
        <v>43002</v>
      </c>
      <c r="D294" s="6">
        <v>43004</v>
      </c>
      <c r="E294" s="5" t="s">
        <v>707</v>
      </c>
      <c r="F294" s="5" t="s">
        <v>192</v>
      </c>
      <c r="G294" s="5" t="s">
        <v>193</v>
      </c>
      <c r="H294" s="5" t="s">
        <v>111</v>
      </c>
      <c r="I294" s="5" t="s">
        <v>708</v>
      </c>
      <c r="J294" s="5" t="s">
        <v>196</v>
      </c>
      <c r="K294" s="5" t="s">
        <v>172</v>
      </c>
      <c r="L294" s="5">
        <v>33180</v>
      </c>
      <c r="M294" s="5" t="s">
        <v>709</v>
      </c>
      <c r="N294" s="5" t="s">
        <v>1777</v>
      </c>
      <c r="O294" s="5" t="s">
        <v>10</v>
      </c>
      <c r="P294" s="5" t="s">
        <v>809</v>
      </c>
      <c r="Q294" s="5" t="s">
        <v>1778</v>
      </c>
      <c r="R294" s="12">
        <v>17.88</v>
      </c>
      <c r="S294" s="4">
        <v>3</v>
      </c>
      <c r="T294" s="14">
        <v>0.2</v>
      </c>
      <c r="U294" s="12">
        <v>2.4585</v>
      </c>
      <c r="V294" s="19">
        <v>2.4585</v>
      </c>
      <c r="W294" s="20">
        <v>14.304</v>
      </c>
      <c r="X294" s="21" t="str" cm="1">
        <f t="array" ref="X294">IF(OR(R294:R831&lt;0,T293:T831&lt;0,C294:C832=""),"Check","OK")</f>
        <v>Check</v>
      </c>
    </row>
    <row r="295" ht="17.6" spans="1:24">
      <c r="A295" s="7">
        <v>636</v>
      </c>
      <c r="B295" s="8" t="s">
        <v>1779</v>
      </c>
      <c r="C295" s="9">
        <v>42281</v>
      </c>
      <c r="D295" s="9">
        <v>42286</v>
      </c>
      <c r="E295" s="8" t="s">
        <v>707</v>
      </c>
      <c r="F295" s="8" t="s">
        <v>1780</v>
      </c>
      <c r="G295" s="8" t="s">
        <v>1781</v>
      </c>
      <c r="H295" s="8" t="s">
        <v>716</v>
      </c>
      <c r="I295" s="8" t="s">
        <v>708</v>
      </c>
      <c r="J295" s="8" t="s">
        <v>1782</v>
      </c>
      <c r="K295" s="8" t="s">
        <v>257</v>
      </c>
      <c r="L295" s="8">
        <v>31088</v>
      </c>
      <c r="M295" s="8" t="s">
        <v>709</v>
      </c>
      <c r="N295" s="8" t="s">
        <v>1783</v>
      </c>
      <c r="O295" s="8" t="s">
        <v>8</v>
      </c>
      <c r="P295" s="8" t="s">
        <v>761</v>
      </c>
      <c r="Q295" s="8" t="s">
        <v>1784</v>
      </c>
      <c r="R295" s="15">
        <v>392.94</v>
      </c>
      <c r="S295" s="7">
        <v>3</v>
      </c>
      <c r="T295" s="16">
        <v>0</v>
      </c>
      <c r="U295" s="15">
        <v>43.2234</v>
      </c>
      <c r="V295" s="22">
        <v>43.2234</v>
      </c>
      <c r="W295" s="23">
        <v>392.94</v>
      </c>
      <c r="X295" s="21" t="str" cm="1">
        <f t="array" ref="X295">IF(OR(R295:R832&lt;0,T294:T832&lt;0,C295:C833=""),"Check","OK")</f>
        <v>Check</v>
      </c>
    </row>
    <row r="296" ht="17.6" spans="1:24">
      <c r="A296" s="4">
        <v>637</v>
      </c>
      <c r="B296" s="5" t="s">
        <v>1785</v>
      </c>
      <c r="C296" s="6">
        <v>42597</v>
      </c>
      <c r="D296" s="6">
        <v>42603</v>
      </c>
      <c r="E296" s="5" t="s">
        <v>4</v>
      </c>
      <c r="F296" s="5" t="s">
        <v>496</v>
      </c>
      <c r="G296" s="5" t="s">
        <v>497</v>
      </c>
      <c r="H296" s="5" t="s">
        <v>111</v>
      </c>
      <c r="I296" s="5" t="s">
        <v>708</v>
      </c>
      <c r="J296" s="5" t="s">
        <v>329</v>
      </c>
      <c r="K296" s="5" t="s">
        <v>217</v>
      </c>
      <c r="L296" s="5">
        <v>80013</v>
      </c>
      <c r="M296" s="5" t="s">
        <v>717</v>
      </c>
      <c r="N296" s="5" t="s">
        <v>1786</v>
      </c>
      <c r="O296" s="5" t="s">
        <v>9</v>
      </c>
      <c r="P296" s="5" t="s">
        <v>736</v>
      </c>
      <c r="Q296" s="5" t="s">
        <v>1787</v>
      </c>
      <c r="R296" s="12">
        <v>18.882</v>
      </c>
      <c r="S296" s="4">
        <v>3</v>
      </c>
      <c r="T296" s="14">
        <v>0.7</v>
      </c>
      <c r="U296" s="12">
        <v>-13.8468</v>
      </c>
      <c r="V296" s="19">
        <v>13.8468</v>
      </c>
      <c r="W296" s="20">
        <v>5.6646</v>
      </c>
      <c r="X296" s="21" t="str" cm="1">
        <f t="array" ref="X296">IF(OR(R296:R833&lt;0,T295:T833&lt;0,C296:C834=""),"Check","OK")</f>
        <v>Check</v>
      </c>
    </row>
    <row r="297" ht="17.6" spans="1:24">
      <c r="A297" s="7">
        <v>639</v>
      </c>
      <c r="B297" s="8" t="s">
        <v>1788</v>
      </c>
      <c r="C297" s="9">
        <v>42510</v>
      </c>
      <c r="D297" s="9">
        <v>42515</v>
      </c>
      <c r="E297" s="8" t="s">
        <v>4</v>
      </c>
      <c r="F297" s="8" t="s">
        <v>925</v>
      </c>
      <c r="G297" s="8" t="s">
        <v>926</v>
      </c>
      <c r="H297" s="8" t="s">
        <v>741</v>
      </c>
      <c r="I297" s="8" t="s">
        <v>708</v>
      </c>
      <c r="J297" s="8" t="s">
        <v>1789</v>
      </c>
      <c r="K297" s="8" t="s">
        <v>136</v>
      </c>
      <c r="L297" s="8">
        <v>94591</v>
      </c>
      <c r="M297" s="8" t="s">
        <v>717</v>
      </c>
      <c r="N297" s="8" t="s">
        <v>1790</v>
      </c>
      <c r="O297" s="8" t="s">
        <v>8</v>
      </c>
      <c r="P297" s="8" t="s">
        <v>727</v>
      </c>
      <c r="Q297" s="8" t="s">
        <v>1791</v>
      </c>
      <c r="R297" s="15">
        <v>1049.2</v>
      </c>
      <c r="S297" s="7">
        <v>5</v>
      </c>
      <c r="T297" s="16">
        <v>0</v>
      </c>
      <c r="U297" s="15">
        <v>272.792</v>
      </c>
      <c r="V297" s="22">
        <v>272.792</v>
      </c>
      <c r="W297" s="23">
        <v>1049.2</v>
      </c>
      <c r="X297" s="21" t="str" cm="1">
        <f t="array" ref="X297">IF(OR(R297:R834&lt;0,T296:T834&lt;0,C297:C835=""),"Check","OK")</f>
        <v>Check</v>
      </c>
    </row>
    <row r="298" ht="17.6" spans="1:24">
      <c r="A298" s="4">
        <v>641</v>
      </c>
      <c r="B298" s="5" t="s">
        <v>1792</v>
      </c>
      <c r="C298" s="6">
        <v>42722</v>
      </c>
      <c r="D298" s="6">
        <v>42726</v>
      </c>
      <c r="E298" s="5" t="s">
        <v>4</v>
      </c>
      <c r="F298" s="5" t="s">
        <v>1793</v>
      </c>
      <c r="G298" s="5" t="s">
        <v>1794</v>
      </c>
      <c r="H298" s="5" t="s">
        <v>716</v>
      </c>
      <c r="I298" s="5" t="s">
        <v>708</v>
      </c>
      <c r="J298" s="5" t="s">
        <v>428</v>
      </c>
      <c r="K298" s="5" t="s">
        <v>280</v>
      </c>
      <c r="L298" s="5">
        <v>55407</v>
      </c>
      <c r="M298" s="5" t="s">
        <v>742</v>
      </c>
      <c r="N298" s="5" t="s">
        <v>1795</v>
      </c>
      <c r="O298" s="5" t="s">
        <v>8</v>
      </c>
      <c r="P298" s="5" t="s">
        <v>727</v>
      </c>
      <c r="Q298" s="5" t="s">
        <v>1796</v>
      </c>
      <c r="R298" s="12">
        <v>18.84</v>
      </c>
      <c r="S298" s="4">
        <v>3</v>
      </c>
      <c r="T298" s="14">
        <v>0</v>
      </c>
      <c r="U298" s="12">
        <v>6.0288</v>
      </c>
      <c r="V298" s="19">
        <v>6.0288</v>
      </c>
      <c r="W298" s="20">
        <v>18.84</v>
      </c>
      <c r="X298" s="21" t="str" cm="1">
        <f t="array" ref="X298">IF(OR(R298:R835&lt;0,T297:T835&lt;0,C298:C836=""),"Check","OK")</f>
        <v>Check</v>
      </c>
    </row>
    <row r="299" ht="17.6" spans="1:24">
      <c r="A299" s="7">
        <v>642</v>
      </c>
      <c r="B299" s="8" t="s">
        <v>1797</v>
      </c>
      <c r="C299" s="9">
        <v>42946</v>
      </c>
      <c r="D299" s="9">
        <v>42950</v>
      </c>
      <c r="E299" s="8" t="s">
        <v>707</v>
      </c>
      <c r="F299" s="8" t="s">
        <v>411</v>
      </c>
      <c r="G299" s="8" t="s">
        <v>412</v>
      </c>
      <c r="H299" s="8" t="s">
        <v>111</v>
      </c>
      <c r="I299" s="8" t="s">
        <v>708</v>
      </c>
      <c r="J299" s="8" t="s">
        <v>413</v>
      </c>
      <c r="K299" s="8" t="s">
        <v>136</v>
      </c>
      <c r="L299" s="8">
        <v>92691</v>
      </c>
      <c r="M299" s="8" t="s">
        <v>717</v>
      </c>
      <c r="N299" s="8" t="s">
        <v>1798</v>
      </c>
      <c r="O299" s="8" t="s">
        <v>9</v>
      </c>
      <c r="P299" s="8" t="s">
        <v>748</v>
      </c>
      <c r="Q299" s="8" t="s">
        <v>1799</v>
      </c>
      <c r="R299" s="15">
        <v>330.4</v>
      </c>
      <c r="S299" s="7">
        <v>2</v>
      </c>
      <c r="T299" s="16">
        <v>0</v>
      </c>
      <c r="U299" s="15">
        <v>85.904</v>
      </c>
      <c r="V299" s="22">
        <v>85.904</v>
      </c>
      <c r="W299" s="23">
        <v>330.4</v>
      </c>
      <c r="X299" s="21" t="str" cm="1">
        <f t="array" ref="X299">IF(OR(R299:R836&lt;0,T298:T836&lt;0,C299:C837=""),"Check","OK")</f>
        <v>Check</v>
      </c>
    </row>
    <row r="300" ht="17.6" spans="1:24">
      <c r="A300" s="4">
        <v>644</v>
      </c>
      <c r="B300" s="5" t="s">
        <v>1800</v>
      </c>
      <c r="C300" s="6">
        <v>42896</v>
      </c>
      <c r="D300" s="6">
        <v>42901</v>
      </c>
      <c r="E300" s="5" t="s">
        <v>4</v>
      </c>
      <c r="F300" s="5" t="s">
        <v>616</v>
      </c>
      <c r="G300" s="5" t="s">
        <v>617</v>
      </c>
      <c r="H300" s="5" t="s">
        <v>111</v>
      </c>
      <c r="I300" s="5" t="s">
        <v>708</v>
      </c>
      <c r="J300" s="5" t="s">
        <v>618</v>
      </c>
      <c r="K300" s="5" t="s">
        <v>163</v>
      </c>
      <c r="L300" s="5">
        <v>48307</v>
      </c>
      <c r="M300" s="5" t="s">
        <v>742</v>
      </c>
      <c r="N300" s="5" t="s">
        <v>1801</v>
      </c>
      <c r="O300" s="5" t="s">
        <v>10</v>
      </c>
      <c r="P300" s="5" t="s">
        <v>809</v>
      </c>
      <c r="Q300" s="5" t="s">
        <v>1802</v>
      </c>
      <c r="R300" s="12">
        <v>132.52</v>
      </c>
      <c r="S300" s="4">
        <v>4</v>
      </c>
      <c r="T300" s="14">
        <v>0</v>
      </c>
      <c r="U300" s="12">
        <v>54.3332</v>
      </c>
      <c r="V300" s="19">
        <v>54.3332</v>
      </c>
      <c r="W300" s="20">
        <v>132.52</v>
      </c>
      <c r="X300" s="21" t="str" cm="1">
        <f t="array" ref="X300">IF(OR(R300:R837&lt;0,T299:T837&lt;0,C300:C838=""),"Check","OK")</f>
        <v>Check</v>
      </c>
    </row>
    <row r="301" ht="17.6" spans="1:24">
      <c r="A301" s="7">
        <v>645</v>
      </c>
      <c r="B301" s="8" t="s">
        <v>1803</v>
      </c>
      <c r="C301" s="9">
        <v>42937</v>
      </c>
      <c r="D301" s="9">
        <v>42941</v>
      </c>
      <c r="E301" s="8" t="s">
        <v>4</v>
      </c>
      <c r="F301" s="8" t="s">
        <v>1012</v>
      </c>
      <c r="G301" s="8" t="s">
        <v>1013</v>
      </c>
      <c r="H301" s="8" t="s">
        <v>741</v>
      </c>
      <c r="I301" s="8" t="s">
        <v>708</v>
      </c>
      <c r="J301" s="8" t="s">
        <v>1804</v>
      </c>
      <c r="K301" s="8" t="s">
        <v>550</v>
      </c>
      <c r="L301" s="8">
        <v>7060</v>
      </c>
      <c r="M301" s="8" t="s">
        <v>759</v>
      </c>
      <c r="N301" s="8" t="s">
        <v>1805</v>
      </c>
      <c r="O301" s="8" t="s">
        <v>9</v>
      </c>
      <c r="P301" s="8" t="s">
        <v>731</v>
      </c>
      <c r="Q301" s="8" t="s">
        <v>1806</v>
      </c>
      <c r="R301" s="15">
        <v>6.48</v>
      </c>
      <c r="S301" s="7">
        <v>1</v>
      </c>
      <c r="T301" s="16">
        <v>0</v>
      </c>
      <c r="U301" s="15">
        <v>3.1752</v>
      </c>
      <c r="V301" s="22">
        <v>3.1752</v>
      </c>
      <c r="W301" s="23">
        <v>6.48</v>
      </c>
      <c r="X301" s="21" t="str" cm="1">
        <f t="array" ref="X301">IF(OR(R301:R838&lt;0,T300:T838&lt;0,C301:C839=""),"Check","OK")</f>
        <v>Check</v>
      </c>
    </row>
    <row r="302" ht="17.6" spans="1:24">
      <c r="A302" s="4">
        <v>646</v>
      </c>
      <c r="B302" s="5" t="s">
        <v>1807</v>
      </c>
      <c r="C302" s="6">
        <v>43099</v>
      </c>
      <c r="D302" s="6">
        <v>43105</v>
      </c>
      <c r="E302" s="5" t="s">
        <v>4</v>
      </c>
      <c r="F302" s="5" t="s">
        <v>1808</v>
      </c>
      <c r="G302" s="5" t="s">
        <v>1809</v>
      </c>
      <c r="H302" s="5" t="s">
        <v>741</v>
      </c>
      <c r="I302" s="5" t="s">
        <v>708</v>
      </c>
      <c r="J302" s="5" t="s">
        <v>211</v>
      </c>
      <c r="K302" s="5" t="s">
        <v>304</v>
      </c>
      <c r="L302" s="5">
        <v>47201</v>
      </c>
      <c r="M302" s="5" t="s">
        <v>742</v>
      </c>
      <c r="N302" s="5" t="s">
        <v>1810</v>
      </c>
      <c r="O302" s="5" t="s">
        <v>9</v>
      </c>
      <c r="P302" s="5" t="s">
        <v>744</v>
      </c>
      <c r="Q302" s="5" t="s">
        <v>1811</v>
      </c>
      <c r="R302" s="12">
        <v>209.3</v>
      </c>
      <c r="S302" s="4">
        <v>2</v>
      </c>
      <c r="T302" s="14">
        <v>0</v>
      </c>
      <c r="U302" s="12">
        <v>56.511</v>
      </c>
      <c r="V302" s="19">
        <v>56.511</v>
      </c>
      <c r="W302" s="20">
        <v>209.3</v>
      </c>
      <c r="X302" s="21" t="str" cm="1">
        <f t="array" ref="X302">IF(OR(R302:R839&lt;0,T301:T839&lt;0,C302:C840=""),"Check","OK")</f>
        <v>Check</v>
      </c>
    </row>
    <row r="303" ht="17.6" spans="1:24">
      <c r="A303" s="7">
        <v>647</v>
      </c>
      <c r="B303" s="8" t="s">
        <v>1812</v>
      </c>
      <c r="C303" s="9">
        <v>42461</v>
      </c>
      <c r="D303" s="9">
        <v>42468</v>
      </c>
      <c r="E303" s="8" t="s">
        <v>4</v>
      </c>
      <c r="F303" s="8" t="s">
        <v>1223</v>
      </c>
      <c r="G303" s="8" t="s">
        <v>1224</v>
      </c>
      <c r="H303" s="8" t="s">
        <v>716</v>
      </c>
      <c r="I303" s="8" t="s">
        <v>708</v>
      </c>
      <c r="J303" s="8" t="s">
        <v>1813</v>
      </c>
      <c r="K303" s="8" t="s">
        <v>122</v>
      </c>
      <c r="L303" s="8">
        <v>85635</v>
      </c>
      <c r="M303" s="8" t="s">
        <v>717</v>
      </c>
      <c r="N303" s="8" t="s">
        <v>1814</v>
      </c>
      <c r="O303" s="8" t="s">
        <v>9</v>
      </c>
      <c r="P303" s="8" t="s">
        <v>824</v>
      </c>
      <c r="Q303" s="8" t="s">
        <v>1624</v>
      </c>
      <c r="R303" s="15">
        <v>31.56</v>
      </c>
      <c r="S303" s="7">
        <v>5</v>
      </c>
      <c r="T303" s="16">
        <v>0.2</v>
      </c>
      <c r="U303" s="15">
        <v>9.8625</v>
      </c>
      <c r="V303" s="22">
        <v>9.8625</v>
      </c>
      <c r="W303" s="23">
        <v>25.248</v>
      </c>
      <c r="X303" s="21" t="str" cm="1">
        <f t="array" ref="X303">IF(OR(R303:R840&lt;0,T302:T840&lt;0,C303:C841=""),"Check","OK")</f>
        <v>Check</v>
      </c>
    </row>
    <row r="304" ht="17.6" spans="1:24">
      <c r="A304" s="4">
        <v>649</v>
      </c>
      <c r="B304" s="5" t="s">
        <v>1815</v>
      </c>
      <c r="C304" s="6">
        <v>42715</v>
      </c>
      <c r="D304" s="6">
        <v>42720</v>
      </c>
      <c r="E304" s="5" t="s">
        <v>707</v>
      </c>
      <c r="F304" s="5" t="s">
        <v>1816</v>
      </c>
      <c r="G304" s="5" t="s">
        <v>1817</v>
      </c>
      <c r="H304" s="5" t="s">
        <v>716</v>
      </c>
      <c r="I304" s="5" t="s">
        <v>708</v>
      </c>
      <c r="J304" s="5" t="s">
        <v>1818</v>
      </c>
      <c r="K304" s="5" t="s">
        <v>185</v>
      </c>
      <c r="L304" s="5">
        <v>98661</v>
      </c>
      <c r="M304" s="5" t="s">
        <v>717</v>
      </c>
      <c r="N304" s="5" t="s">
        <v>1819</v>
      </c>
      <c r="O304" s="5" t="s">
        <v>8</v>
      </c>
      <c r="P304" s="5" t="s">
        <v>727</v>
      </c>
      <c r="Q304" s="5" t="s">
        <v>1820</v>
      </c>
      <c r="R304" s="12">
        <v>14.8</v>
      </c>
      <c r="S304" s="4">
        <v>4</v>
      </c>
      <c r="T304" s="14">
        <v>0</v>
      </c>
      <c r="U304" s="12">
        <v>6.068</v>
      </c>
      <c r="V304" s="19">
        <v>6.068</v>
      </c>
      <c r="W304" s="20">
        <v>14.8</v>
      </c>
      <c r="X304" s="21" t="str" cm="1">
        <f t="array" ref="X304">IF(OR(R304:R841&lt;0,T303:T841&lt;0,C304:C842=""),"Check","OK")</f>
        <v>Check</v>
      </c>
    </row>
    <row r="305" ht="17.6" spans="1:24">
      <c r="A305" s="7">
        <v>652</v>
      </c>
      <c r="B305" s="8" t="s">
        <v>1821</v>
      </c>
      <c r="C305" s="9">
        <v>42666</v>
      </c>
      <c r="D305" s="9">
        <v>42672</v>
      </c>
      <c r="E305" s="8" t="s">
        <v>4</v>
      </c>
      <c r="F305" s="8" t="s">
        <v>1822</v>
      </c>
      <c r="G305" s="8" t="s">
        <v>1823</v>
      </c>
      <c r="H305" s="8" t="s">
        <v>741</v>
      </c>
      <c r="I305" s="8" t="s">
        <v>708</v>
      </c>
      <c r="J305" s="8" t="s">
        <v>204</v>
      </c>
      <c r="K305" s="8" t="s">
        <v>168</v>
      </c>
      <c r="L305" s="8">
        <v>10024</v>
      </c>
      <c r="M305" s="8" t="s">
        <v>759</v>
      </c>
      <c r="N305" s="8" t="s">
        <v>852</v>
      </c>
      <c r="O305" s="8" t="s">
        <v>9</v>
      </c>
      <c r="P305" s="8" t="s">
        <v>731</v>
      </c>
      <c r="Q305" s="8" t="s">
        <v>853</v>
      </c>
      <c r="R305" s="15">
        <v>379.4</v>
      </c>
      <c r="S305" s="7">
        <v>10</v>
      </c>
      <c r="T305" s="16">
        <v>0</v>
      </c>
      <c r="U305" s="15">
        <v>178.318</v>
      </c>
      <c r="V305" s="22">
        <v>178.318</v>
      </c>
      <c r="W305" s="23">
        <v>379.4</v>
      </c>
      <c r="X305" s="21" t="str" cm="1">
        <f t="array" ref="X305">IF(OR(R305:R842&lt;0,T304:T842&lt;0,C305:C843=""),"Check","OK")</f>
        <v>Check</v>
      </c>
    </row>
    <row r="306" ht="17.6" spans="1:24">
      <c r="A306" s="4">
        <v>653</v>
      </c>
      <c r="B306" s="5" t="s">
        <v>1824</v>
      </c>
      <c r="C306" s="6">
        <v>42905</v>
      </c>
      <c r="D306" s="6">
        <v>42909</v>
      </c>
      <c r="E306" s="5" t="s">
        <v>4</v>
      </c>
      <c r="F306" s="5" t="s">
        <v>1376</v>
      </c>
      <c r="G306" s="5" t="s">
        <v>1377</v>
      </c>
      <c r="H306" s="5" t="s">
        <v>716</v>
      </c>
      <c r="I306" s="5" t="s">
        <v>708</v>
      </c>
      <c r="J306" s="5" t="s">
        <v>204</v>
      </c>
      <c r="K306" s="5" t="s">
        <v>168</v>
      </c>
      <c r="L306" s="5">
        <v>10035</v>
      </c>
      <c r="M306" s="5" t="s">
        <v>759</v>
      </c>
      <c r="N306" s="5" t="s">
        <v>1825</v>
      </c>
      <c r="O306" s="5" t="s">
        <v>9</v>
      </c>
      <c r="P306" s="5" t="s">
        <v>731</v>
      </c>
      <c r="Q306" s="5" t="s">
        <v>1826</v>
      </c>
      <c r="R306" s="12">
        <v>97.82</v>
      </c>
      <c r="S306" s="4">
        <v>2</v>
      </c>
      <c r="T306" s="14">
        <v>0</v>
      </c>
      <c r="U306" s="12">
        <v>45.9754</v>
      </c>
      <c r="V306" s="19">
        <v>45.9754</v>
      </c>
      <c r="W306" s="20">
        <v>97.82</v>
      </c>
      <c r="X306" s="21" t="str" cm="1">
        <f t="array" ref="X306">IF(OR(R306:R843&lt;0,T305:T843&lt;0,C306:C844=""),"Check","OK")</f>
        <v>Check</v>
      </c>
    </row>
    <row r="307" ht="17.6" spans="1:24">
      <c r="A307" s="7">
        <v>655</v>
      </c>
      <c r="B307" s="8" t="s">
        <v>1827</v>
      </c>
      <c r="C307" s="9">
        <v>42604</v>
      </c>
      <c r="D307" s="9">
        <v>42610</v>
      </c>
      <c r="E307" s="8" t="s">
        <v>4</v>
      </c>
      <c r="F307" s="8" t="s">
        <v>260</v>
      </c>
      <c r="G307" s="8" t="s">
        <v>261</v>
      </c>
      <c r="H307" s="8" t="s">
        <v>111</v>
      </c>
      <c r="I307" s="8" t="s">
        <v>708</v>
      </c>
      <c r="J307" s="8" t="s">
        <v>211</v>
      </c>
      <c r="K307" s="8" t="s">
        <v>138</v>
      </c>
      <c r="L307" s="8">
        <v>43229</v>
      </c>
      <c r="M307" s="8" t="s">
        <v>759</v>
      </c>
      <c r="N307" s="8" t="s">
        <v>1828</v>
      </c>
      <c r="O307" s="8" t="s">
        <v>9</v>
      </c>
      <c r="P307" s="8" t="s">
        <v>744</v>
      </c>
      <c r="Q307" s="8" t="s">
        <v>1829</v>
      </c>
      <c r="R307" s="15">
        <v>113.552</v>
      </c>
      <c r="S307" s="7">
        <v>2</v>
      </c>
      <c r="T307" s="16">
        <v>0.2</v>
      </c>
      <c r="U307" s="15">
        <v>8.5164</v>
      </c>
      <c r="V307" s="22">
        <v>8.5164</v>
      </c>
      <c r="W307" s="23">
        <v>90.8416</v>
      </c>
      <c r="X307" s="21" t="str" cm="1">
        <f t="array" ref="X307">IF(OR(R307:R844&lt;0,T306:T844&lt;0,C307:C845=""),"Check","OK")</f>
        <v>Check</v>
      </c>
    </row>
    <row r="308" ht="17.6" spans="1:24">
      <c r="A308" s="4">
        <v>658</v>
      </c>
      <c r="B308" s="5" t="s">
        <v>1830</v>
      </c>
      <c r="C308" s="6">
        <v>42632</v>
      </c>
      <c r="D308" s="6">
        <v>42632</v>
      </c>
      <c r="E308" s="5" t="s">
        <v>1358</v>
      </c>
      <c r="F308" s="5" t="s">
        <v>1831</v>
      </c>
      <c r="G308" s="5" t="s">
        <v>1832</v>
      </c>
      <c r="H308" s="5" t="s">
        <v>741</v>
      </c>
      <c r="I308" s="5" t="s">
        <v>708</v>
      </c>
      <c r="J308" s="5" t="s">
        <v>329</v>
      </c>
      <c r="K308" s="5" t="s">
        <v>183</v>
      </c>
      <c r="L308" s="5">
        <v>60505</v>
      </c>
      <c r="M308" s="5" t="s">
        <v>742</v>
      </c>
      <c r="N308" s="5" t="s">
        <v>1833</v>
      </c>
      <c r="O308" s="5" t="s">
        <v>8</v>
      </c>
      <c r="P308" s="5" t="s">
        <v>761</v>
      </c>
      <c r="Q308" s="5" t="s">
        <v>1834</v>
      </c>
      <c r="R308" s="12">
        <v>701.372</v>
      </c>
      <c r="S308" s="4">
        <v>2</v>
      </c>
      <c r="T308" s="14">
        <v>0.3</v>
      </c>
      <c r="U308" s="12">
        <v>-50.098</v>
      </c>
      <c r="V308" s="19">
        <v>50.098</v>
      </c>
      <c r="W308" s="20">
        <v>490.9604</v>
      </c>
      <c r="X308" s="21" t="str" cm="1">
        <f t="array" ref="X308">IF(OR(R308:R845&lt;0,T307:T845&lt;0,C308:C846=""),"Check","OK")</f>
        <v>Check</v>
      </c>
    </row>
    <row r="309" ht="17.6" spans="1:24">
      <c r="A309" s="7">
        <v>660</v>
      </c>
      <c r="B309" s="8" t="s">
        <v>1835</v>
      </c>
      <c r="C309" s="9">
        <v>42240</v>
      </c>
      <c r="D309" s="9">
        <v>42244</v>
      </c>
      <c r="E309" s="8" t="s">
        <v>4</v>
      </c>
      <c r="F309" s="8" t="s">
        <v>222</v>
      </c>
      <c r="G309" s="8" t="s">
        <v>223</v>
      </c>
      <c r="H309" s="8" t="s">
        <v>111</v>
      </c>
      <c r="I309" s="8" t="s">
        <v>708</v>
      </c>
      <c r="J309" s="8" t="s">
        <v>224</v>
      </c>
      <c r="K309" s="8" t="s">
        <v>132</v>
      </c>
      <c r="L309" s="8">
        <v>76017</v>
      </c>
      <c r="M309" s="8" t="s">
        <v>742</v>
      </c>
      <c r="N309" s="8" t="s">
        <v>1732</v>
      </c>
      <c r="O309" s="8" t="s">
        <v>9</v>
      </c>
      <c r="P309" s="8" t="s">
        <v>748</v>
      </c>
      <c r="Q309" s="8" t="s">
        <v>1733</v>
      </c>
      <c r="R309" s="15">
        <v>999.432</v>
      </c>
      <c r="S309" s="7">
        <v>7</v>
      </c>
      <c r="T309" s="16">
        <v>0.2</v>
      </c>
      <c r="U309" s="15">
        <v>124.929</v>
      </c>
      <c r="V309" s="22">
        <v>124.929</v>
      </c>
      <c r="W309" s="23">
        <v>799.5456</v>
      </c>
      <c r="X309" s="21" t="str" cm="1">
        <f t="array" ref="X309">IF(OR(R309:R846&lt;0,T308:T846&lt;0,C309:C847=""),"Check","OK")</f>
        <v>Check</v>
      </c>
    </row>
    <row r="310" ht="17.6" spans="1:24">
      <c r="A310" s="4">
        <v>664</v>
      </c>
      <c r="B310" s="5" t="s">
        <v>1836</v>
      </c>
      <c r="C310" s="6">
        <v>42455</v>
      </c>
      <c r="D310" s="6">
        <v>42459</v>
      </c>
      <c r="E310" s="5" t="s">
        <v>4</v>
      </c>
      <c r="F310" s="5" t="s">
        <v>1837</v>
      </c>
      <c r="G310" s="5" t="s">
        <v>1838</v>
      </c>
      <c r="H310" s="5" t="s">
        <v>716</v>
      </c>
      <c r="I310" s="5" t="s">
        <v>708</v>
      </c>
      <c r="J310" s="5" t="s">
        <v>204</v>
      </c>
      <c r="K310" s="5" t="s">
        <v>168</v>
      </c>
      <c r="L310" s="5">
        <v>10011</v>
      </c>
      <c r="M310" s="5" t="s">
        <v>759</v>
      </c>
      <c r="N310" s="5" t="s">
        <v>1839</v>
      </c>
      <c r="O310" s="5" t="s">
        <v>9</v>
      </c>
      <c r="P310" s="5" t="s">
        <v>748</v>
      </c>
      <c r="Q310" s="5" t="s">
        <v>1840</v>
      </c>
      <c r="R310" s="12">
        <v>459.95</v>
      </c>
      <c r="S310" s="4">
        <v>5</v>
      </c>
      <c r="T310" s="14">
        <v>0</v>
      </c>
      <c r="U310" s="12">
        <v>18.398</v>
      </c>
      <c r="V310" s="19">
        <v>18.398</v>
      </c>
      <c r="W310" s="20">
        <v>459.95</v>
      </c>
      <c r="X310" s="21" t="str" cm="1">
        <f t="array" ref="X310">IF(OR(R310:R847&lt;0,T309:T847&lt;0,C310:C848=""),"Check","OK")</f>
        <v>Check</v>
      </c>
    </row>
    <row r="311" ht="17.6" spans="1:24">
      <c r="A311" s="7">
        <v>665</v>
      </c>
      <c r="B311" s="8" t="s">
        <v>1841</v>
      </c>
      <c r="C311" s="9">
        <v>42678</v>
      </c>
      <c r="D311" s="9">
        <v>42678</v>
      </c>
      <c r="E311" s="8" t="s">
        <v>1358</v>
      </c>
      <c r="F311" s="8" t="s">
        <v>578</v>
      </c>
      <c r="G311" s="8" t="s">
        <v>579</v>
      </c>
      <c r="H311" s="8" t="s">
        <v>111</v>
      </c>
      <c r="I311" s="8" t="s">
        <v>708</v>
      </c>
      <c r="J311" s="8" t="s">
        <v>141</v>
      </c>
      <c r="K311" s="8" t="s">
        <v>142</v>
      </c>
      <c r="L311" s="8">
        <v>40214</v>
      </c>
      <c r="M311" s="8" t="s">
        <v>709</v>
      </c>
      <c r="N311" s="8" t="s">
        <v>951</v>
      </c>
      <c r="O311" s="8" t="s">
        <v>9</v>
      </c>
      <c r="P311" s="8" t="s">
        <v>824</v>
      </c>
      <c r="Q311" s="8" t="s">
        <v>952</v>
      </c>
      <c r="R311" s="15">
        <v>10.74</v>
      </c>
      <c r="S311" s="7">
        <v>3</v>
      </c>
      <c r="T311" s="16">
        <v>0</v>
      </c>
      <c r="U311" s="15">
        <v>5.2626</v>
      </c>
      <c r="V311" s="22">
        <v>5.2626</v>
      </c>
      <c r="W311" s="23">
        <v>10.74</v>
      </c>
      <c r="X311" s="21" t="str" cm="1">
        <f t="array" ref="X311">IF(OR(R311:R848&lt;0,T310:T848&lt;0,C311:C849=""),"Check","OK")</f>
        <v>Check</v>
      </c>
    </row>
    <row r="312" ht="17.6" spans="1:24">
      <c r="A312" s="4">
        <v>666</v>
      </c>
      <c r="B312" s="5" t="s">
        <v>1842</v>
      </c>
      <c r="C312" s="6">
        <v>42894</v>
      </c>
      <c r="D312" s="6">
        <v>42896</v>
      </c>
      <c r="E312" s="5" t="s">
        <v>707</v>
      </c>
      <c r="F312" s="5" t="s">
        <v>1843</v>
      </c>
      <c r="G312" s="5" t="s">
        <v>1844</v>
      </c>
      <c r="H312" s="5" t="s">
        <v>716</v>
      </c>
      <c r="I312" s="5" t="s">
        <v>708</v>
      </c>
      <c r="J312" s="5" t="s">
        <v>457</v>
      </c>
      <c r="K312" s="5" t="s">
        <v>132</v>
      </c>
      <c r="L312" s="5">
        <v>75081</v>
      </c>
      <c r="M312" s="5" t="s">
        <v>742</v>
      </c>
      <c r="N312" s="5" t="s">
        <v>1845</v>
      </c>
      <c r="O312" s="5" t="s">
        <v>9</v>
      </c>
      <c r="P312" s="5" t="s">
        <v>1428</v>
      </c>
      <c r="Q312" s="5" t="s">
        <v>1846</v>
      </c>
      <c r="R312" s="12">
        <v>23.76</v>
      </c>
      <c r="S312" s="4">
        <v>3</v>
      </c>
      <c r="T312" s="14">
        <v>0.2</v>
      </c>
      <c r="U312" s="12">
        <v>2.079</v>
      </c>
      <c r="V312" s="19">
        <v>2.079</v>
      </c>
      <c r="W312" s="20">
        <v>19.008</v>
      </c>
      <c r="X312" s="21" t="str" cm="1">
        <f t="array" ref="X312">IF(OR(R312:R849&lt;0,T311:T849&lt;0,C312:C850=""),"Check","OK")</f>
        <v>Check</v>
      </c>
    </row>
    <row r="313" ht="17.6" spans="1:24">
      <c r="A313" s="7">
        <v>669</v>
      </c>
      <c r="B313" s="8" t="s">
        <v>1847</v>
      </c>
      <c r="C313" s="9">
        <v>41997</v>
      </c>
      <c r="D313" s="9">
        <v>41999</v>
      </c>
      <c r="E313" s="8" t="s">
        <v>13</v>
      </c>
      <c r="F313" s="8" t="s">
        <v>607</v>
      </c>
      <c r="G313" s="8" t="s">
        <v>608</v>
      </c>
      <c r="H313" s="8" t="s">
        <v>111</v>
      </c>
      <c r="I313" s="8" t="s">
        <v>708</v>
      </c>
      <c r="J313" s="8" t="s">
        <v>276</v>
      </c>
      <c r="K313" s="8" t="s">
        <v>138</v>
      </c>
      <c r="L313" s="8">
        <v>44105</v>
      </c>
      <c r="M313" s="8" t="s">
        <v>759</v>
      </c>
      <c r="N313" s="8" t="s">
        <v>1848</v>
      </c>
      <c r="O313" s="8" t="s">
        <v>8</v>
      </c>
      <c r="P313" s="8" t="s">
        <v>727</v>
      </c>
      <c r="Q313" s="8" t="s">
        <v>1849</v>
      </c>
      <c r="R313" s="15">
        <v>30.36</v>
      </c>
      <c r="S313" s="7">
        <v>5</v>
      </c>
      <c r="T313" s="16">
        <v>0.2</v>
      </c>
      <c r="U313" s="15">
        <v>8.7285</v>
      </c>
      <c r="V313" s="22">
        <v>8.7285</v>
      </c>
      <c r="W313" s="23">
        <v>24.288</v>
      </c>
      <c r="X313" s="21" t="str" cm="1">
        <f t="array" ref="X313">IF(OR(R313:R850&lt;0,T312:T850&lt;0,C313:C851=""),"Check","OK")</f>
        <v>Check</v>
      </c>
    </row>
    <row r="314" ht="17.6" spans="1:24">
      <c r="A314" s="4">
        <v>670</v>
      </c>
      <c r="B314" s="5" t="s">
        <v>1850</v>
      </c>
      <c r="C314" s="6">
        <v>42895</v>
      </c>
      <c r="D314" s="6">
        <v>42899</v>
      </c>
      <c r="E314" s="5" t="s">
        <v>4</v>
      </c>
      <c r="F314" s="5" t="s">
        <v>1763</v>
      </c>
      <c r="G314" s="5" t="s">
        <v>1764</v>
      </c>
      <c r="H314" s="5" t="s">
        <v>741</v>
      </c>
      <c r="I314" s="5" t="s">
        <v>708</v>
      </c>
      <c r="J314" s="5" t="s">
        <v>182</v>
      </c>
      <c r="K314" s="5" t="s">
        <v>183</v>
      </c>
      <c r="L314" s="5">
        <v>60653</v>
      </c>
      <c r="M314" s="5" t="s">
        <v>742</v>
      </c>
      <c r="N314" s="5" t="s">
        <v>1851</v>
      </c>
      <c r="O314" s="5" t="s">
        <v>8</v>
      </c>
      <c r="P314" s="5" t="s">
        <v>727</v>
      </c>
      <c r="Q314" s="5" t="s">
        <v>1852</v>
      </c>
      <c r="R314" s="12">
        <v>23.976</v>
      </c>
      <c r="S314" s="4">
        <v>3</v>
      </c>
      <c r="T314" s="14">
        <v>0.6</v>
      </c>
      <c r="U314" s="12">
        <v>-14.3856</v>
      </c>
      <c r="V314" s="19">
        <v>14.3856</v>
      </c>
      <c r="W314" s="20">
        <v>9.5904</v>
      </c>
      <c r="X314" s="21" t="str" cm="1">
        <f t="array" ref="X314">IF(OR(R314:R851&lt;0,T313:T851&lt;0,C314:C852=""),"Check","OK")</f>
        <v>Check</v>
      </c>
    </row>
    <row r="315" ht="17.6" spans="1:24">
      <c r="A315" s="7">
        <v>673</v>
      </c>
      <c r="B315" s="8" t="s">
        <v>1853</v>
      </c>
      <c r="C315" s="9">
        <v>42901</v>
      </c>
      <c r="D315" s="9">
        <v>42908</v>
      </c>
      <c r="E315" s="8" t="s">
        <v>4</v>
      </c>
      <c r="F315" s="8" t="s">
        <v>663</v>
      </c>
      <c r="G315" s="8" t="s">
        <v>664</v>
      </c>
      <c r="H315" s="8" t="s">
        <v>111</v>
      </c>
      <c r="I315" s="8" t="s">
        <v>708</v>
      </c>
      <c r="J315" s="8" t="s">
        <v>666</v>
      </c>
      <c r="K315" s="8" t="s">
        <v>183</v>
      </c>
      <c r="L315" s="8">
        <v>62301</v>
      </c>
      <c r="M315" s="8" t="s">
        <v>742</v>
      </c>
      <c r="N315" s="8" t="s">
        <v>77</v>
      </c>
      <c r="O315" s="8" t="s">
        <v>9</v>
      </c>
      <c r="P315" s="8" t="s">
        <v>16</v>
      </c>
      <c r="Q315" s="8" t="s">
        <v>76</v>
      </c>
      <c r="R315" s="15">
        <v>19.56</v>
      </c>
      <c r="S315" s="7">
        <v>5</v>
      </c>
      <c r="T315" s="16">
        <v>0.2</v>
      </c>
      <c r="U315" s="15">
        <v>1.7115</v>
      </c>
      <c r="V315" s="22">
        <v>1.7115</v>
      </c>
      <c r="W315" s="23">
        <v>15.648</v>
      </c>
      <c r="X315" s="21" t="str" cm="1">
        <f t="array" ref="X315">IF(OR(R315:R852&lt;0,T314:T852&lt;0,C315:C853=""),"Check","OK")</f>
        <v>Check</v>
      </c>
    </row>
    <row r="316" ht="17.6" spans="1:24">
      <c r="A316" s="4">
        <v>674</v>
      </c>
      <c r="B316" s="5" t="s">
        <v>1854</v>
      </c>
      <c r="C316" s="6">
        <v>43074</v>
      </c>
      <c r="D316" s="6">
        <v>43077</v>
      </c>
      <c r="E316" s="5" t="s">
        <v>13</v>
      </c>
      <c r="F316" s="5" t="s">
        <v>576</v>
      </c>
      <c r="G316" s="5" t="s">
        <v>577</v>
      </c>
      <c r="H316" s="5" t="s">
        <v>111</v>
      </c>
      <c r="I316" s="5" t="s">
        <v>708</v>
      </c>
      <c r="J316" s="5" t="s">
        <v>211</v>
      </c>
      <c r="K316" s="5" t="s">
        <v>304</v>
      </c>
      <c r="L316" s="5">
        <v>47201</v>
      </c>
      <c r="M316" s="5" t="s">
        <v>742</v>
      </c>
      <c r="N316" s="5" t="s">
        <v>1855</v>
      </c>
      <c r="O316" s="5" t="s">
        <v>9</v>
      </c>
      <c r="P316" s="5" t="s">
        <v>744</v>
      </c>
      <c r="Q316" s="5" t="s">
        <v>1856</v>
      </c>
      <c r="R316" s="12">
        <v>61.44</v>
      </c>
      <c r="S316" s="4">
        <v>3</v>
      </c>
      <c r="T316" s="14">
        <v>0</v>
      </c>
      <c r="U316" s="12">
        <v>16.5888</v>
      </c>
      <c r="V316" s="19">
        <v>16.5888</v>
      </c>
      <c r="W316" s="20">
        <v>61.44</v>
      </c>
      <c r="X316" s="21" t="str" cm="1">
        <f t="array" ref="X316">IF(OR(R316:R853&lt;0,T315:T853&lt;0,C316:C854=""),"Check","OK")</f>
        <v>Check</v>
      </c>
    </row>
    <row r="317" ht="17.6" spans="1:24">
      <c r="A317" s="7">
        <v>677</v>
      </c>
      <c r="B317" s="8" t="s">
        <v>1857</v>
      </c>
      <c r="C317" s="9">
        <v>42812</v>
      </c>
      <c r="D317" s="9">
        <v>42817</v>
      </c>
      <c r="E317" s="8" t="s">
        <v>4</v>
      </c>
      <c r="F317" s="8" t="s">
        <v>235</v>
      </c>
      <c r="G317" s="8" t="s">
        <v>236</v>
      </c>
      <c r="H317" s="8" t="s">
        <v>111</v>
      </c>
      <c r="I317" s="8" t="s">
        <v>708</v>
      </c>
      <c r="J317" s="8" t="s">
        <v>237</v>
      </c>
      <c r="K317" s="8" t="s">
        <v>132</v>
      </c>
      <c r="L317" s="8">
        <v>75701</v>
      </c>
      <c r="M317" s="8" t="s">
        <v>742</v>
      </c>
      <c r="N317" s="8" t="s">
        <v>1858</v>
      </c>
      <c r="O317" s="8" t="s">
        <v>9</v>
      </c>
      <c r="P317" s="8" t="s">
        <v>744</v>
      </c>
      <c r="Q317" s="8" t="s">
        <v>1859</v>
      </c>
      <c r="R317" s="15">
        <v>2.688</v>
      </c>
      <c r="S317" s="7">
        <v>3</v>
      </c>
      <c r="T317" s="16">
        <v>0.8</v>
      </c>
      <c r="U317" s="15">
        <v>-7.392</v>
      </c>
      <c r="V317" s="22">
        <v>7.392</v>
      </c>
      <c r="W317" s="23">
        <v>0.5376</v>
      </c>
      <c r="X317" s="21" t="str" cm="1">
        <f t="array" ref="X317">IF(OR(R317:R854&lt;0,T316:T854&lt;0,C317:C855=""),"Check","OK")</f>
        <v>Check</v>
      </c>
    </row>
    <row r="318" ht="17.6" spans="1:24">
      <c r="A318" s="4">
        <v>681</v>
      </c>
      <c r="B318" s="5" t="s">
        <v>1860</v>
      </c>
      <c r="C318" s="6">
        <v>42693</v>
      </c>
      <c r="D318" s="6">
        <v>42698</v>
      </c>
      <c r="E318" s="5" t="s">
        <v>4</v>
      </c>
      <c r="F318" s="5" t="s">
        <v>281</v>
      </c>
      <c r="G318" s="5" t="s">
        <v>282</v>
      </c>
      <c r="H318" s="5" t="s">
        <v>111</v>
      </c>
      <c r="I318" s="5" t="s">
        <v>708</v>
      </c>
      <c r="J318" s="5" t="s">
        <v>204</v>
      </c>
      <c r="K318" s="5" t="s">
        <v>168</v>
      </c>
      <c r="L318" s="5">
        <v>10024</v>
      </c>
      <c r="M318" s="5" t="s">
        <v>759</v>
      </c>
      <c r="N318" s="5" t="s">
        <v>1861</v>
      </c>
      <c r="O318" s="5" t="s">
        <v>9</v>
      </c>
      <c r="P318" s="5" t="s">
        <v>736</v>
      </c>
      <c r="Q318" s="5" t="s">
        <v>1862</v>
      </c>
      <c r="R318" s="12">
        <v>14.352</v>
      </c>
      <c r="S318" s="4">
        <v>3</v>
      </c>
      <c r="T318" s="14">
        <v>0.2</v>
      </c>
      <c r="U318" s="12">
        <v>4.6644</v>
      </c>
      <c r="V318" s="19">
        <v>4.6644</v>
      </c>
      <c r="W318" s="20">
        <v>11.4816</v>
      </c>
      <c r="X318" s="21" t="str" cm="1">
        <f t="array" ref="X318">IF(OR(R318:R855&lt;0,T317:T855&lt;0,C318:C856=""),"Check","OK")</f>
        <v>Check</v>
      </c>
    </row>
    <row r="319" ht="17.6" spans="1:24">
      <c r="A319" s="7">
        <v>684</v>
      </c>
      <c r="B319" s="8" t="s">
        <v>1863</v>
      </c>
      <c r="C319" s="9">
        <v>43043</v>
      </c>
      <c r="D319" s="9">
        <v>43043</v>
      </c>
      <c r="E319" s="8" t="s">
        <v>1358</v>
      </c>
      <c r="F319" s="8" t="s">
        <v>1864</v>
      </c>
      <c r="G319" s="8" t="s">
        <v>1865</v>
      </c>
      <c r="H319" s="8" t="s">
        <v>716</v>
      </c>
      <c r="I319" s="8" t="s">
        <v>708</v>
      </c>
      <c r="J319" s="8" t="s">
        <v>394</v>
      </c>
      <c r="K319" s="8" t="s">
        <v>128</v>
      </c>
      <c r="L319" s="8">
        <v>27217</v>
      </c>
      <c r="M319" s="8" t="s">
        <v>709</v>
      </c>
      <c r="N319" s="8" t="s">
        <v>1866</v>
      </c>
      <c r="O319" s="8" t="s">
        <v>10</v>
      </c>
      <c r="P319" s="8" t="s">
        <v>1194</v>
      </c>
      <c r="Q319" s="8" t="s">
        <v>1867</v>
      </c>
      <c r="R319" s="15">
        <v>7999.98</v>
      </c>
      <c r="S319" s="7">
        <v>4</v>
      </c>
      <c r="T319" s="16">
        <v>0.5</v>
      </c>
      <c r="U319" s="15">
        <v>-3839.9904</v>
      </c>
      <c r="V319" s="22">
        <v>3839.9904</v>
      </c>
      <c r="W319" s="23">
        <v>3999.99</v>
      </c>
      <c r="X319" s="21" t="str" cm="1">
        <f t="array" ref="X319">IF(OR(R319:R856&lt;0,T318:T856&lt;0,C319:C857=""),"Check","OK")</f>
        <v>Check</v>
      </c>
    </row>
    <row r="320" ht="17.6" spans="1:24">
      <c r="A320" s="4">
        <v>686</v>
      </c>
      <c r="B320" s="5" t="s">
        <v>1868</v>
      </c>
      <c r="C320" s="6">
        <v>41825</v>
      </c>
      <c r="D320" s="6">
        <v>41828</v>
      </c>
      <c r="E320" s="5" t="s">
        <v>13</v>
      </c>
      <c r="F320" s="5" t="s">
        <v>488</v>
      </c>
      <c r="G320" s="5" t="s">
        <v>489</v>
      </c>
      <c r="H320" s="5" t="s">
        <v>111</v>
      </c>
      <c r="I320" s="5" t="s">
        <v>708</v>
      </c>
      <c r="J320" s="5" t="s">
        <v>490</v>
      </c>
      <c r="K320" s="5" t="s">
        <v>491</v>
      </c>
      <c r="L320" s="5">
        <v>39212</v>
      </c>
      <c r="M320" s="5" t="s">
        <v>709</v>
      </c>
      <c r="N320" s="5" t="s">
        <v>1869</v>
      </c>
      <c r="O320" s="5" t="s">
        <v>10</v>
      </c>
      <c r="P320" s="5" t="s">
        <v>809</v>
      </c>
      <c r="Q320" s="5" t="s">
        <v>1870</v>
      </c>
      <c r="R320" s="12">
        <v>479.97</v>
      </c>
      <c r="S320" s="4">
        <v>3</v>
      </c>
      <c r="T320" s="14">
        <v>0</v>
      </c>
      <c r="U320" s="12">
        <v>163.1898</v>
      </c>
      <c r="V320" s="19">
        <v>163.1898</v>
      </c>
      <c r="W320" s="20">
        <v>479.97</v>
      </c>
      <c r="X320" s="21" t="str" cm="1">
        <f t="array" ref="X320">IF(OR(R320:R857&lt;0,T319:T857&lt;0,C320:C858=""),"Check","OK")</f>
        <v>Check</v>
      </c>
    </row>
    <row r="321" ht="17.6" spans="1:24">
      <c r="A321" s="7">
        <v>689</v>
      </c>
      <c r="B321" s="8" t="s">
        <v>1871</v>
      </c>
      <c r="C321" s="9">
        <v>43094</v>
      </c>
      <c r="D321" s="9">
        <v>43098</v>
      </c>
      <c r="E321" s="8" t="s">
        <v>4</v>
      </c>
      <c r="F321" s="8" t="s">
        <v>566</v>
      </c>
      <c r="G321" s="8" t="s">
        <v>567</v>
      </c>
      <c r="H321" s="8" t="s">
        <v>111</v>
      </c>
      <c r="I321" s="8" t="s">
        <v>708</v>
      </c>
      <c r="J321" s="8" t="s">
        <v>204</v>
      </c>
      <c r="K321" s="8" t="s">
        <v>168</v>
      </c>
      <c r="L321" s="8">
        <v>10035</v>
      </c>
      <c r="M321" s="8" t="s">
        <v>759</v>
      </c>
      <c r="N321" s="8" t="s">
        <v>1872</v>
      </c>
      <c r="O321" s="8" t="s">
        <v>8</v>
      </c>
      <c r="P321" s="8" t="s">
        <v>711</v>
      </c>
      <c r="Q321" s="8" t="s">
        <v>1873</v>
      </c>
      <c r="R321" s="15">
        <v>191.984</v>
      </c>
      <c r="S321" s="7">
        <v>2</v>
      </c>
      <c r="T321" s="16">
        <v>0.2</v>
      </c>
      <c r="U321" s="15">
        <v>4.7996</v>
      </c>
      <c r="V321" s="22">
        <v>4.7996</v>
      </c>
      <c r="W321" s="23">
        <v>153.5872</v>
      </c>
      <c r="X321" s="21" t="str" cm="1">
        <f t="array" ref="X321">IF(OR(R321:R858&lt;0,T320:T858&lt;0,C321:C859=""),"Check","OK")</f>
        <v>Check</v>
      </c>
    </row>
    <row r="322" ht="17.6" spans="1:24">
      <c r="A322" s="4">
        <v>690</v>
      </c>
      <c r="B322" s="5" t="s">
        <v>1874</v>
      </c>
      <c r="C322" s="6">
        <v>41811</v>
      </c>
      <c r="D322" s="6">
        <v>41813</v>
      </c>
      <c r="E322" s="5" t="s">
        <v>707</v>
      </c>
      <c r="F322" s="5" t="s">
        <v>524</v>
      </c>
      <c r="G322" s="5" t="s">
        <v>525</v>
      </c>
      <c r="H322" s="5" t="s">
        <v>111</v>
      </c>
      <c r="I322" s="5" t="s">
        <v>708</v>
      </c>
      <c r="J322" s="5" t="s">
        <v>526</v>
      </c>
      <c r="K322" s="5" t="s">
        <v>288</v>
      </c>
      <c r="L322" s="5">
        <v>22980</v>
      </c>
      <c r="M322" s="5" t="s">
        <v>709</v>
      </c>
      <c r="N322" s="5" t="s">
        <v>1875</v>
      </c>
      <c r="O322" s="5" t="s">
        <v>8</v>
      </c>
      <c r="P322" s="5" t="s">
        <v>727</v>
      </c>
      <c r="Q322" s="5" t="s">
        <v>1876</v>
      </c>
      <c r="R322" s="12">
        <v>104.01</v>
      </c>
      <c r="S322" s="4">
        <v>1</v>
      </c>
      <c r="T322" s="14">
        <v>0</v>
      </c>
      <c r="U322" s="12">
        <v>14.5614</v>
      </c>
      <c r="V322" s="19">
        <v>14.5614</v>
      </c>
      <c r="W322" s="20">
        <v>104.01</v>
      </c>
      <c r="X322" s="21" t="str" cm="1">
        <f t="array" ref="X322">IF(OR(R322:R859&lt;0,T321:T859&lt;0,C322:C860=""),"Check","OK")</f>
        <v>Check</v>
      </c>
    </row>
    <row r="323" ht="17.6" spans="1:24">
      <c r="A323" s="7">
        <v>693</v>
      </c>
      <c r="B323" s="8" t="s">
        <v>1877</v>
      </c>
      <c r="C323" s="9">
        <v>42091</v>
      </c>
      <c r="D323" s="9">
        <v>42096</v>
      </c>
      <c r="E323" s="8" t="s">
        <v>4</v>
      </c>
      <c r="F323" s="8" t="s">
        <v>133</v>
      </c>
      <c r="G323" s="8" t="s">
        <v>134</v>
      </c>
      <c r="H323" s="8" t="s">
        <v>111</v>
      </c>
      <c r="I323" s="8" t="s">
        <v>708</v>
      </c>
      <c r="J323" s="8" t="s">
        <v>135</v>
      </c>
      <c r="K323" s="8" t="s">
        <v>136</v>
      </c>
      <c r="L323" s="8">
        <v>90036</v>
      </c>
      <c r="M323" s="8" t="s">
        <v>717</v>
      </c>
      <c r="N323" s="8" t="s">
        <v>1878</v>
      </c>
      <c r="O323" s="8" t="s">
        <v>10</v>
      </c>
      <c r="P323" s="8" t="s">
        <v>809</v>
      </c>
      <c r="Q323" s="8" t="s">
        <v>1879</v>
      </c>
      <c r="R323" s="15">
        <v>166.24</v>
      </c>
      <c r="S323" s="7">
        <v>1</v>
      </c>
      <c r="T323" s="16">
        <v>0</v>
      </c>
      <c r="U323" s="15">
        <v>24.936</v>
      </c>
      <c r="V323" s="22">
        <v>24.936</v>
      </c>
      <c r="W323" s="23">
        <v>166.24</v>
      </c>
      <c r="X323" s="21" t="str" cm="1">
        <f t="array" ref="X323">IF(OR(R323:R860&lt;0,T322:T860&lt;0,C323:C861=""),"Check","OK")</f>
        <v>Check</v>
      </c>
    </row>
    <row r="324" ht="17.6" spans="1:24">
      <c r="A324" s="4">
        <v>695</v>
      </c>
      <c r="B324" s="5" t="s">
        <v>1880</v>
      </c>
      <c r="C324" s="6">
        <v>42138</v>
      </c>
      <c r="D324" s="6">
        <v>42141</v>
      </c>
      <c r="E324" s="5" t="s">
        <v>13</v>
      </c>
      <c r="F324" s="5" t="s">
        <v>1881</v>
      </c>
      <c r="G324" s="5" t="s">
        <v>1882</v>
      </c>
      <c r="H324" s="5" t="s">
        <v>741</v>
      </c>
      <c r="I324" s="5" t="s">
        <v>708</v>
      </c>
      <c r="J324" s="5" t="s">
        <v>1883</v>
      </c>
      <c r="K324" s="5" t="s">
        <v>176</v>
      </c>
      <c r="L324" s="5">
        <v>19013</v>
      </c>
      <c r="M324" s="5" t="s">
        <v>759</v>
      </c>
      <c r="N324" s="5" t="s">
        <v>39</v>
      </c>
      <c r="O324" s="5" t="s">
        <v>9</v>
      </c>
      <c r="P324" s="5" t="s">
        <v>16</v>
      </c>
      <c r="Q324" s="5" t="s">
        <v>38</v>
      </c>
      <c r="R324" s="12">
        <v>198.272</v>
      </c>
      <c r="S324" s="4">
        <v>8</v>
      </c>
      <c r="T324" s="14">
        <v>0.2</v>
      </c>
      <c r="U324" s="12">
        <v>17.3488</v>
      </c>
      <c r="V324" s="19">
        <v>17.3488</v>
      </c>
      <c r="W324" s="20">
        <v>158.6176</v>
      </c>
      <c r="X324" s="21" t="str" cm="1">
        <f t="array" ref="X324">IF(OR(R324:R861&lt;0,T323:T861&lt;0,C324:C862=""),"Check","OK")</f>
        <v>Check</v>
      </c>
    </row>
    <row r="325" ht="17.6" spans="1:24">
      <c r="A325" s="7">
        <v>702</v>
      </c>
      <c r="B325" s="8" t="s">
        <v>1884</v>
      </c>
      <c r="C325" s="9">
        <v>42980</v>
      </c>
      <c r="D325" s="9">
        <v>42986</v>
      </c>
      <c r="E325" s="8" t="s">
        <v>4</v>
      </c>
      <c r="F325" s="8" t="s">
        <v>1186</v>
      </c>
      <c r="G325" s="8" t="s">
        <v>1187</v>
      </c>
      <c r="H325" s="8" t="s">
        <v>716</v>
      </c>
      <c r="I325" s="8" t="s">
        <v>708</v>
      </c>
      <c r="J325" s="8" t="s">
        <v>276</v>
      </c>
      <c r="K325" s="8" t="s">
        <v>138</v>
      </c>
      <c r="L325" s="8">
        <v>44105</v>
      </c>
      <c r="M325" s="8" t="s">
        <v>759</v>
      </c>
      <c r="N325" s="8" t="s">
        <v>1119</v>
      </c>
      <c r="O325" s="8" t="s">
        <v>8</v>
      </c>
      <c r="P325" s="8" t="s">
        <v>727</v>
      </c>
      <c r="Q325" s="8" t="s">
        <v>1120</v>
      </c>
      <c r="R325" s="15">
        <v>15.072</v>
      </c>
      <c r="S325" s="7">
        <v>3</v>
      </c>
      <c r="T325" s="16">
        <v>0.2</v>
      </c>
      <c r="U325" s="15">
        <v>4.1448</v>
      </c>
      <c r="V325" s="22">
        <v>4.1448</v>
      </c>
      <c r="W325" s="23">
        <v>12.0576</v>
      </c>
      <c r="X325" s="21" t="str" cm="1">
        <f t="array" ref="X325">IF(OR(R325:R862&lt;0,T324:T862&lt;0,C325:C863=""),"Check","OK")</f>
        <v>Check</v>
      </c>
    </row>
    <row r="326" ht="17.6" spans="1:24">
      <c r="A326" s="4">
        <v>703</v>
      </c>
      <c r="B326" s="5" t="s">
        <v>1885</v>
      </c>
      <c r="C326" s="6">
        <v>42678</v>
      </c>
      <c r="D326" s="6">
        <v>42682</v>
      </c>
      <c r="E326" s="5" t="s">
        <v>707</v>
      </c>
      <c r="F326" s="5" t="s">
        <v>1384</v>
      </c>
      <c r="G326" s="5" t="s">
        <v>1385</v>
      </c>
      <c r="H326" s="5" t="s">
        <v>716</v>
      </c>
      <c r="I326" s="5" t="s">
        <v>708</v>
      </c>
      <c r="J326" s="5" t="s">
        <v>184</v>
      </c>
      <c r="K326" s="5" t="s">
        <v>185</v>
      </c>
      <c r="L326" s="5">
        <v>98103</v>
      </c>
      <c r="M326" s="5" t="s">
        <v>717</v>
      </c>
      <c r="N326" s="5" t="s">
        <v>1886</v>
      </c>
      <c r="O326" s="5" t="s">
        <v>8</v>
      </c>
      <c r="P326" s="5" t="s">
        <v>727</v>
      </c>
      <c r="Q326" s="5" t="s">
        <v>1887</v>
      </c>
      <c r="R326" s="12">
        <v>209.88</v>
      </c>
      <c r="S326" s="4">
        <v>3</v>
      </c>
      <c r="T326" s="14">
        <v>0</v>
      </c>
      <c r="U326" s="12">
        <v>35.6796</v>
      </c>
      <c r="V326" s="19">
        <v>35.6796</v>
      </c>
      <c r="W326" s="20">
        <v>209.88</v>
      </c>
      <c r="X326" s="21" t="str" cm="1">
        <f t="array" ref="X326">IF(OR(R326:R863&lt;0,T325:T863&lt;0,C326:C864=""),"Check","OK")</f>
        <v>Check</v>
      </c>
    </row>
    <row r="327" ht="17.6" spans="1:24">
      <c r="A327" s="7">
        <v>704</v>
      </c>
      <c r="B327" s="8" t="s">
        <v>1888</v>
      </c>
      <c r="C327" s="9">
        <v>42103</v>
      </c>
      <c r="D327" s="9">
        <v>42108</v>
      </c>
      <c r="E327" s="8" t="s">
        <v>4</v>
      </c>
      <c r="F327" s="8" t="s">
        <v>402</v>
      </c>
      <c r="G327" s="8" t="s">
        <v>403</v>
      </c>
      <c r="H327" s="8" t="s">
        <v>111</v>
      </c>
      <c r="I327" s="8" t="s">
        <v>708</v>
      </c>
      <c r="J327" s="8" t="s">
        <v>404</v>
      </c>
      <c r="K327" s="8" t="s">
        <v>136</v>
      </c>
      <c r="L327" s="8">
        <v>90805</v>
      </c>
      <c r="M327" s="8" t="s">
        <v>717</v>
      </c>
      <c r="N327" s="8" t="s">
        <v>1889</v>
      </c>
      <c r="O327" s="8" t="s">
        <v>8</v>
      </c>
      <c r="P327" s="8" t="s">
        <v>723</v>
      </c>
      <c r="Q327" s="8" t="s">
        <v>1890</v>
      </c>
      <c r="R327" s="15">
        <v>369.912</v>
      </c>
      <c r="S327" s="7">
        <v>3</v>
      </c>
      <c r="T327" s="16">
        <v>0.2</v>
      </c>
      <c r="U327" s="15">
        <v>-13.8717</v>
      </c>
      <c r="V327" s="22">
        <v>13.8717</v>
      </c>
      <c r="W327" s="23">
        <v>295.9296</v>
      </c>
      <c r="X327" s="21" t="str" cm="1">
        <f t="array" ref="X327">IF(OR(R327:R864&lt;0,T326:T864&lt;0,C327:C865=""),"Check","OK")</f>
        <v>Check</v>
      </c>
    </row>
    <row r="328" ht="17.6" spans="1:24">
      <c r="A328" s="4">
        <v>705</v>
      </c>
      <c r="B328" s="5" t="s">
        <v>1891</v>
      </c>
      <c r="C328" s="6">
        <v>41894</v>
      </c>
      <c r="D328" s="6">
        <v>41899</v>
      </c>
      <c r="E328" s="5" t="s">
        <v>4</v>
      </c>
      <c r="F328" s="5" t="s">
        <v>1892</v>
      </c>
      <c r="G328" s="5" t="s">
        <v>1893</v>
      </c>
      <c r="H328" s="5" t="s">
        <v>716</v>
      </c>
      <c r="I328" s="5" t="s">
        <v>708</v>
      </c>
      <c r="J328" s="5" t="s">
        <v>1894</v>
      </c>
      <c r="K328" s="5" t="s">
        <v>128</v>
      </c>
      <c r="L328" s="5">
        <v>27511</v>
      </c>
      <c r="M328" s="5" t="s">
        <v>709</v>
      </c>
      <c r="N328" s="5" t="s">
        <v>1895</v>
      </c>
      <c r="O328" s="5" t="s">
        <v>9</v>
      </c>
      <c r="P328" s="5" t="s">
        <v>731</v>
      </c>
      <c r="Q328" s="5" t="s">
        <v>1896</v>
      </c>
      <c r="R328" s="12">
        <v>10.368</v>
      </c>
      <c r="S328" s="4">
        <v>2</v>
      </c>
      <c r="T328" s="14">
        <v>0.2</v>
      </c>
      <c r="U328" s="12">
        <v>3.6288</v>
      </c>
      <c r="V328" s="19">
        <v>3.6288</v>
      </c>
      <c r="W328" s="20">
        <v>8.2944</v>
      </c>
      <c r="X328" s="21" t="str" cm="1">
        <f t="array" ref="X328">IF(OR(R328:R865&lt;0,T327:T865&lt;0,C328:C866=""),"Check","OK")</f>
        <v>Check</v>
      </c>
    </row>
    <row r="329" ht="17.6" spans="1:24">
      <c r="A329" s="7">
        <v>708</v>
      </c>
      <c r="B329" s="8" t="s">
        <v>1897</v>
      </c>
      <c r="C329" s="9">
        <v>41975</v>
      </c>
      <c r="D329" s="9">
        <v>41977</v>
      </c>
      <c r="E329" s="8" t="s">
        <v>13</v>
      </c>
      <c r="F329" s="8" t="s">
        <v>305</v>
      </c>
      <c r="G329" s="8" t="s">
        <v>306</v>
      </c>
      <c r="H329" s="8" t="s">
        <v>111</v>
      </c>
      <c r="I329" s="8" t="s">
        <v>708</v>
      </c>
      <c r="J329" s="8" t="s">
        <v>204</v>
      </c>
      <c r="K329" s="8" t="s">
        <v>168</v>
      </c>
      <c r="L329" s="8">
        <v>10035</v>
      </c>
      <c r="M329" s="8" t="s">
        <v>759</v>
      </c>
      <c r="N329" s="8" t="s">
        <v>1220</v>
      </c>
      <c r="O329" s="8" t="s">
        <v>10</v>
      </c>
      <c r="P329" s="8" t="s">
        <v>809</v>
      </c>
      <c r="Q329" s="8" t="s">
        <v>1221</v>
      </c>
      <c r="R329" s="15">
        <v>119.96</v>
      </c>
      <c r="S329" s="7">
        <v>4</v>
      </c>
      <c r="T329" s="16">
        <v>0</v>
      </c>
      <c r="U329" s="15">
        <v>52.7824</v>
      </c>
      <c r="V329" s="22">
        <v>52.7824</v>
      </c>
      <c r="W329" s="23">
        <v>119.96</v>
      </c>
      <c r="X329" s="21" t="str" cm="1">
        <f t="array" ref="X329">IF(OR(R329:R866&lt;0,T328:T866&lt;0,C329:C867=""),"Check","OK")</f>
        <v>Check</v>
      </c>
    </row>
    <row r="330" ht="17.6" spans="1:24">
      <c r="A330" s="4">
        <v>711</v>
      </c>
      <c r="B330" s="5" t="s">
        <v>1898</v>
      </c>
      <c r="C330" s="6">
        <v>41734</v>
      </c>
      <c r="D330" s="6">
        <v>41736</v>
      </c>
      <c r="E330" s="5" t="s">
        <v>13</v>
      </c>
      <c r="F330" s="5" t="s">
        <v>1899</v>
      </c>
      <c r="G330" s="5" t="s">
        <v>1900</v>
      </c>
      <c r="H330" s="5" t="s">
        <v>741</v>
      </c>
      <c r="I330" s="5" t="s">
        <v>708</v>
      </c>
      <c r="J330" s="5" t="s">
        <v>204</v>
      </c>
      <c r="K330" s="5" t="s">
        <v>168</v>
      </c>
      <c r="L330" s="5">
        <v>10035</v>
      </c>
      <c r="M330" s="5" t="s">
        <v>759</v>
      </c>
      <c r="N330" s="5" t="s">
        <v>1551</v>
      </c>
      <c r="O330" s="5" t="s">
        <v>9</v>
      </c>
      <c r="P330" s="5" t="s">
        <v>731</v>
      </c>
      <c r="Q330" s="5" t="s">
        <v>1552</v>
      </c>
      <c r="R330" s="12">
        <v>55.48</v>
      </c>
      <c r="S330" s="4">
        <v>1</v>
      </c>
      <c r="T330" s="14">
        <v>0</v>
      </c>
      <c r="U330" s="12">
        <v>26.6304</v>
      </c>
      <c r="V330" s="19">
        <v>26.6304</v>
      </c>
      <c r="W330" s="20">
        <v>55.48</v>
      </c>
      <c r="X330" s="21" t="str" cm="1">
        <f t="array" ref="X330">IF(OR(R330:R867&lt;0,T329:T867&lt;0,C330:C868=""),"Check","OK")</f>
        <v>Check</v>
      </c>
    </row>
    <row r="331" ht="17.6" spans="1:24">
      <c r="A331" s="7">
        <v>712</v>
      </c>
      <c r="B331" s="8" t="s">
        <v>1901</v>
      </c>
      <c r="C331" s="9">
        <v>42981</v>
      </c>
      <c r="D331" s="9">
        <v>42985</v>
      </c>
      <c r="E331" s="8" t="s">
        <v>4</v>
      </c>
      <c r="F331" s="8" t="s">
        <v>169</v>
      </c>
      <c r="G331" s="8" t="s">
        <v>170</v>
      </c>
      <c r="H331" s="8" t="s">
        <v>111</v>
      </c>
      <c r="I331" s="8" t="s">
        <v>708</v>
      </c>
      <c r="J331" s="8" t="s">
        <v>171</v>
      </c>
      <c r="K331" s="8" t="s">
        <v>172</v>
      </c>
      <c r="L331" s="8">
        <v>32137</v>
      </c>
      <c r="M331" s="8" t="s">
        <v>709</v>
      </c>
      <c r="N331" s="8" t="s">
        <v>1902</v>
      </c>
      <c r="O331" s="8" t="s">
        <v>9</v>
      </c>
      <c r="P331" s="8" t="s">
        <v>786</v>
      </c>
      <c r="Q331" s="8" t="s">
        <v>1903</v>
      </c>
      <c r="R331" s="15">
        <v>24.448</v>
      </c>
      <c r="S331" s="7">
        <v>4</v>
      </c>
      <c r="T331" s="16">
        <v>0.2</v>
      </c>
      <c r="U331" s="15">
        <v>8.8624</v>
      </c>
      <c r="V331" s="22">
        <v>8.8624</v>
      </c>
      <c r="W331" s="23">
        <v>19.5584</v>
      </c>
      <c r="X331" s="21" t="str" cm="1">
        <f t="array" ref="X331">IF(OR(R331:R868&lt;0,T330:T868&lt;0,C331:C869=""),"Check","OK")</f>
        <v>Check</v>
      </c>
    </row>
    <row r="332" ht="17.6" spans="1:24">
      <c r="A332" s="4">
        <v>713</v>
      </c>
      <c r="B332" s="5" t="s">
        <v>1904</v>
      </c>
      <c r="C332" s="6">
        <v>42874</v>
      </c>
      <c r="D332" s="6">
        <v>42879</v>
      </c>
      <c r="E332" s="5" t="s">
        <v>4</v>
      </c>
      <c r="F332" s="5" t="s">
        <v>1905</v>
      </c>
      <c r="G332" s="5" t="s">
        <v>1906</v>
      </c>
      <c r="H332" s="5" t="s">
        <v>716</v>
      </c>
      <c r="I332" s="5" t="s">
        <v>708</v>
      </c>
      <c r="J332" s="5" t="s">
        <v>1907</v>
      </c>
      <c r="K332" s="5" t="s">
        <v>168</v>
      </c>
      <c r="L332" s="5">
        <v>10550</v>
      </c>
      <c r="M332" s="5" t="s">
        <v>759</v>
      </c>
      <c r="N332" s="5" t="s">
        <v>1908</v>
      </c>
      <c r="O332" s="5" t="s">
        <v>9</v>
      </c>
      <c r="P332" s="5" t="s">
        <v>744</v>
      </c>
      <c r="Q332" s="5" t="s">
        <v>1909</v>
      </c>
      <c r="R332" s="12">
        <v>281.34</v>
      </c>
      <c r="S332" s="4">
        <v>6</v>
      </c>
      <c r="T332" s="14">
        <v>0</v>
      </c>
      <c r="U332" s="12">
        <v>109.7226</v>
      </c>
      <c r="V332" s="19">
        <v>109.7226</v>
      </c>
      <c r="W332" s="20">
        <v>281.34</v>
      </c>
      <c r="X332" s="21" t="str" cm="1">
        <f t="array" ref="X332">IF(OR(R332:R869&lt;0,T331:T869&lt;0,C332:C870=""),"Check","OK")</f>
        <v>Check</v>
      </c>
    </row>
    <row r="333" ht="17.6" spans="1:24">
      <c r="A333" s="7">
        <v>716</v>
      </c>
      <c r="B333" s="8" t="s">
        <v>1910</v>
      </c>
      <c r="C333" s="9">
        <v>41821</v>
      </c>
      <c r="D333" s="9">
        <v>41826</v>
      </c>
      <c r="E333" s="8" t="s">
        <v>707</v>
      </c>
      <c r="F333" s="8" t="s">
        <v>1186</v>
      </c>
      <c r="G333" s="8" t="s">
        <v>1187</v>
      </c>
      <c r="H333" s="8" t="s">
        <v>716</v>
      </c>
      <c r="I333" s="8" t="s">
        <v>708</v>
      </c>
      <c r="J333" s="8" t="s">
        <v>184</v>
      </c>
      <c r="K333" s="8" t="s">
        <v>185</v>
      </c>
      <c r="L333" s="8">
        <v>98105</v>
      </c>
      <c r="M333" s="8" t="s">
        <v>717</v>
      </c>
      <c r="N333" s="8" t="s">
        <v>1911</v>
      </c>
      <c r="O333" s="8" t="s">
        <v>9</v>
      </c>
      <c r="P333" s="8" t="s">
        <v>736</v>
      </c>
      <c r="Q333" s="8" t="s">
        <v>1912</v>
      </c>
      <c r="R333" s="15">
        <v>19.92</v>
      </c>
      <c r="S333" s="7">
        <v>5</v>
      </c>
      <c r="T333" s="16">
        <v>0.2</v>
      </c>
      <c r="U333" s="15">
        <v>6.972</v>
      </c>
      <c r="V333" s="22">
        <v>6.972</v>
      </c>
      <c r="W333" s="23">
        <v>15.936</v>
      </c>
      <c r="X333" s="21" t="str" cm="1">
        <f t="array" ref="X333">IF(OR(R333:R870&lt;0,T332:T870&lt;0,C333:C871=""),"Check","OK")</f>
        <v>Check</v>
      </c>
    </row>
    <row r="334" ht="17.6" spans="1:24">
      <c r="A334" s="4">
        <v>717</v>
      </c>
      <c r="B334" s="5" t="s">
        <v>1913</v>
      </c>
      <c r="C334" s="6">
        <v>41650</v>
      </c>
      <c r="D334" s="6">
        <v>41653</v>
      </c>
      <c r="E334" s="5" t="s">
        <v>13</v>
      </c>
      <c r="F334" s="5" t="s">
        <v>648</v>
      </c>
      <c r="G334" s="5" t="s">
        <v>649</v>
      </c>
      <c r="H334" s="5" t="s">
        <v>111</v>
      </c>
      <c r="I334" s="5" t="s">
        <v>708</v>
      </c>
      <c r="J334" s="5" t="s">
        <v>465</v>
      </c>
      <c r="K334" s="5" t="s">
        <v>466</v>
      </c>
      <c r="L334" s="5">
        <v>19901</v>
      </c>
      <c r="M334" s="5" t="s">
        <v>759</v>
      </c>
      <c r="N334" s="5" t="s">
        <v>1914</v>
      </c>
      <c r="O334" s="5" t="s">
        <v>8</v>
      </c>
      <c r="P334" s="5" t="s">
        <v>727</v>
      </c>
      <c r="Q334" s="5" t="s">
        <v>1915</v>
      </c>
      <c r="R334" s="12">
        <v>9.94</v>
      </c>
      <c r="S334" s="4">
        <v>2</v>
      </c>
      <c r="T334" s="14">
        <v>0</v>
      </c>
      <c r="U334" s="12">
        <v>3.0814</v>
      </c>
      <c r="V334" s="19">
        <v>3.0814</v>
      </c>
      <c r="W334" s="20">
        <v>9.94</v>
      </c>
      <c r="X334" s="21" t="str" cm="1">
        <f t="array" ref="X334">IF(OR(R334:R871&lt;0,T333:T871&lt;0,C334:C872=""),"Check","OK")</f>
        <v>Check</v>
      </c>
    </row>
    <row r="335" ht="17.6" spans="1:24">
      <c r="A335" s="7">
        <v>718</v>
      </c>
      <c r="B335" s="8" t="s">
        <v>1916</v>
      </c>
      <c r="C335" s="9">
        <v>43002</v>
      </c>
      <c r="D335" s="9">
        <v>43007</v>
      </c>
      <c r="E335" s="8" t="s">
        <v>4</v>
      </c>
      <c r="F335" s="8" t="s">
        <v>429</v>
      </c>
      <c r="G335" s="8" t="s">
        <v>430</v>
      </c>
      <c r="H335" s="8" t="s">
        <v>111</v>
      </c>
      <c r="I335" s="8" t="s">
        <v>708</v>
      </c>
      <c r="J335" s="8" t="s">
        <v>382</v>
      </c>
      <c r="K335" s="8" t="s">
        <v>138</v>
      </c>
      <c r="L335" s="8">
        <v>43055</v>
      </c>
      <c r="M335" s="8" t="s">
        <v>759</v>
      </c>
      <c r="N335" s="8" t="s">
        <v>1917</v>
      </c>
      <c r="O335" s="8" t="s">
        <v>8</v>
      </c>
      <c r="P335" s="8" t="s">
        <v>727</v>
      </c>
      <c r="Q335" s="8" t="s">
        <v>1918</v>
      </c>
      <c r="R335" s="15">
        <v>103.056</v>
      </c>
      <c r="S335" s="7">
        <v>3</v>
      </c>
      <c r="T335" s="16">
        <v>0.2</v>
      </c>
      <c r="U335" s="15">
        <v>24.4758</v>
      </c>
      <c r="V335" s="22">
        <v>24.4758</v>
      </c>
      <c r="W335" s="23">
        <v>82.4448</v>
      </c>
      <c r="X335" s="21" t="str" cm="1">
        <f t="array" ref="X335">IF(OR(R335:R872&lt;0,T334:T872&lt;0,C335:C873=""),"Check","OK")</f>
        <v>Check</v>
      </c>
    </row>
    <row r="336" ht="17.6" spans="1:24">
      <c r="A336" s="4">
        <v>719</v>
      </c>
      <c r="B336" s="5" t="s">
        <v>1919</v>
      </c>
      <c r="C336" s="6">
        <v>41792</v>
      </c>
      <c r="D336" s="6">
        <v>41797</v>
      </c>
      <c r="E336" s="5" t="s">
        <v>4</v>
      </c>
      <c r="F336" s="5" t="s">
        <v>1920</v>
      </c>
      <c r="G336" s="5" t="s">
        <v>1921</v>
      </c>
      <c r="H336" s="5" t="s">
        <v>741</v>
      </c>
      <c r="I336" s="5" t="s">
        <v>708</v>
      </c>
      <c r="J336" s="5" t="s">
        <v>311</v>
      </c>
      <c r="K336" s="5" t="s">
        <v>146</v>
      </c>
      <c r="L336" s="5">
        <v>84057</v>
      </c>
      <c r="M336" s="5" t="s">
        <v>717</v>
      </c>
      <c r="N336" s="5" t="s">
        <v>1922</v>
      </c>
      <c r="O336" s="5" t="s">
        <v>9</v>
      </c>
      <c r="P336" s="5" t="s">
        <v>736</v>
      </c>
      <c r="Q336" s="5" t="s">
        <v>1923</v>
      </c>
      <c r="R336" s="12">
        <v>59.808</v>
      </c>
      <c r="S336" s="4">
        <v>3</v>
      </c>
      <c r="T336" s="14">
        <v>0.2</v>
      </c>
      <c r="U336" s="12">
        <v>19.4376</v>
      </c>
      <c r="V336" s="19">
        <v>19.4376</v>
      </c>
      <c r="W336" s="20">
        <v>47.8464</v>
      </c>
      <c r="X336" s="21" t="str" cm="1">
        <f t="array" ref="X336">IF(OR(R336:R873&lt;0,T335:T873&lt;0,C336:C874=""),"Check","OK")</f>
        <v>Check</v>
      </c>
    </row>
    <row r="337" ht="17.6" spans="1:24">
      <c r="A337" s="7">
        <v>721</v>
      </c>
      <c r="B337" s="8" t="s">
        <v>1924</v>
      </c>
      <c r="C337" s="9">
        <v>42413</v>
      </c>
      <c r="D337" s="9">
        <v>42418</v>
      </c>
      <c r="E337" s="8" t="s">
        <v>4</v>
      </c>
      <c r="F337" s="8" t="s">
        <v>1925</v>
      </c>
      <c r="G337" s="8" t="s">
        <v>1926</v>
      </c>
      <c r="H337" s="8" t="s">
        <v>741</v>
      </c>
      <c r="I337" s="8" t="s">
        <v>708</v>
      </c>
      <c r="J337" s="8" t="s">
        <v>135</v>
      </c>
      <c r="K337" s="8" t="s">
        <v>136</v>
      </c>
      <c r="L337" s="8">
        <v>90045</v>
      </c>
      <c r="M337" s="8" t="s">
        <v>717</v>
      </c>
      <c r="N337" s="8" t="s">
        <v>1927</v>
      </c>
      <c r="O337" s="8" t="s">
        <v>9</v>
      </c>
      <c r="P337" s="8" t="s">
        <v>731</v>
      </c>
      <c r="Q337" s="8" t="s">
        <v>1928</v>
      </c>
      <c r="R337" s="15">
        <v>146.82</v>
      </c>
      <c r="S337" s="7">
        <v>3</v>
      </c>
      <c r="T337" s="16">
        <v>0</v>
      </c>
      <c r="U337" s="15">
        <v>73.41</v>
      </c>
      <c r="V337" s="22">
        <v>73.41</v>
      </c>
      <c r="W337" s="23">
        <v>146.82</v>
      </c>
      <c r="X337" s="21" t="str" cm="1">
        <f t="array" ref="X337">IF(OR(R337:R874&lt;0,T336:T874&lt;0,C337:C875=""),"Check","OK")</f>
        <v>Check</v>
      </c>
    </row>
    <row r="338" ht="17.6" spans="1:24">
      <c r="A338" s="4">
        <v>722</v>
      </c>
      <c r="B338" s="5" t="s">
        <v>1929</v>
      </c>
      <c r="C338" s="6">
        <v>42719</v>
      </c>
      <c r="D338" s="6">
        <v>42723</v>
      </c>
      <c r="E338" s="5" t="s">
        <v>4</v>
      </c>
      <c r="F338" s="5" t="s">
        <v>1460</v>
      </c>
      <c r="G338" s="5" t="s">
        <v>1461</v>
      </c>
      <c r="H338" s="5" t="s">
        <v>716</v>
      </c>
      <c r="I338" s="5" t="s">
        <v>708</v>
      </c>
      <c r="J338" s="5" t="s">
        <v>162</v>
      </c>
      <c r="K338" s="5" t="s">
        <v>163</v>
      </c>
      <c r="L338" s="5">
        <v>48205</v>
      </c>
      <c r="M338" s="5" t="s">
        <v>742</v>
      </c>
      <c r="N338" s="5" t="s">
        <v>1930</v>
      </c>
      <c r="O338" s="5" t="s">
        <v>8</v>
      </c>
      <c r="P338" s="5" t="s">
        <v>723</v>
      </c>
      <c r="Q338" s="5" t="s">
        <v>1931</v>
      </c>
      <c r="R338" s="12">
        <v>1652.94</v>
      </c>
      <c r="S338" s="4">
        <v>3</v>
      </c>
      <c r="T338" s="14">
        <v>0</v>
      </c>
      <c r="U338" s="12">
        <v>231.4116</v>
      </c>
      <c r="V338" s="19">
        <v>231.4116</v>
      </c>
      <c r="W338" s="20">
        <v>1652.94</v>
      </c>
      <c r="X338" s="21" t="str" cm="1">
        <f t="array" ref="X338">IF(OR(R338:R875&lt;0,T337:T875&lt;0,C338:C876=""),"Check","OK")</f>
        <v>Check</v>
      </c>
    </row>
    <row r="339" ht="17.6" spans="1:24">
      <c r="A339" s="7">
        <v>724</v>
      </c>
      <c r="B339" s="8" t="s">
        <v>1932</v>
      </c>
      <c r="C339" s="9">
        <v>41919</v>
      </c>
      <c r="D339" s="9">
        <v>41925</v>
      </c>
      <c r="E339" s="8" t="s">
        <v>4</v>
      </c>
      <c r="F339" s="8" t="s">
        <v>1933</v>
      </c>
      <c r="G339" s="8" t="s">
        <v>1934</v>
      </c>
      <c r="H339" s="8" t="s">
        <v>741</v>
      </c>
      <c r="I339" s="8" t="s">
        <v>708</v>
      </c>
      <c r="J339" s="8" t="s">
        <v>175</v>
      </c>
      <c r="K339" s="8" t="s">
        <v>176</v>
      </c>
      <c r="L339" s="8">
        <v>19140</v>
      </c>
      <c r="M339" s="8" t="s">
        <v>759</v>
      </c>
      <c r="N339" s="8" t="s">
        <v>1935</v>
      </c>
      <c r="O339" s="8" t="s">
        <v>8</v>
      </c>
      <c r="P339" s="8" t="s">
        <v>727</v>
      </c>
      <c r="Q339" s="8" t="s">
        <v>1936</v>
      </c>
      <c r="R339" s="15">
        <v>129.92</v>
      </c>
      <c r="S339" s="7">
        <v>5</v>
      </c>
      <c r="T339" s="16">
        <v>0.2</v>
      </c>
      <c r="U339" s="15">
        <v>21.112</v>
      </c>
      <c r="V339" s="22">
        <v>21.112</v>
      </c>
      <c r="W339" s="23">
        <v>103.936</v>
      </c>
      <c r="X339" s="21" t="str" cm="1">
        <f t="array" ref="X339">IF(OR(R339:R876&lt;0,T338:T876&lt;0,C339:C877=""),"Check","OK")</f>
        <v>Check</v>
      </c>
    </row>
    <row r="340" ht="17.6" spans="1:24">
      <c r="A340" s="4">
        <v>725</v>
      </c>
      <c r="B340" s="5" t="s">
        <v>1937</v>
      </c>
      <c r="C340" s="6">
        <v>42558</v>
      </c>
      <c r="D340" s="6">
        <v>42563</v>
      </c>
      <c r="E340" s="5" t="s">
        <v>4</v>
      </c>
      <c r="F340" s="5" t="s">
        <v>1938</v>
      </c>
      <c r="G340" s="5" t="s">
        <v>1939</v>
      </c>
      <c r="H340" s="5" t="s">
        <v>716</v>
      </c>
      <c r="I340" s="5" t="s">
        <v>708</v>
      </c>
      <c r="J340" s="5" t="s">
        <v>1940</v>
      </c>
      <c r="K340" s="5" t="s">
        <v>172</v>
      </c>
      <c r="L340" s="5">
        <v>33012</v>
      </c>
      <c r="M340" s="5" t="s">
        <v>709</v>
      </c>
      <c r="N340" s="5" t="s">
        <v>1941</v>
      </c>
      <c r="O340" s="5" t="s">
        <v>9</v>
      </c>
      <c r="P340" s="5" t="s">
        <v>1428</v>
      </c>
      <c r="Q340" s="5" t="s">
        <v>1942</v>
      </c>
      <c r="R340" s="12">
        <v>45.584</v>
      </c>
      <c r="S340" s="4">
        <v>7</v>
      </c>
      <c r="T340" s="14">
        <v>0.2</v>
      </c>
      <c r="U340" s="12">
        <v>5.1282</v>
      </c>
      <c r="V340" s="19">
        <v>5.1282</v>
      </c>
      <c r="W340" s="20">
        <v>36.4672</v>
      </c>
      <c r="X340" s="21" t="str" cm="1">
        <f t="array" ref="X340">IF(OR(R340:R877&lt;0,T339:T877&lt;0,C340:C878=""),"Check","OK")</f>
        <v>Check</v>
      </c>
    </row>
    <row r="341" ht="17.6" spans="1:24">
      <c r="A341" s="7">
        <v>726</v>
      </c>
      <c r="B341" s="8" t="s">
        <v>1943</v>
      </c>
      <c r="C341" s="9">
        <v>42994</v>
      </c>
      <c r="D341" s="9">
        <v>42998</v>
      </c>
      <c r="E341" s="8" t="s">
        <v>4</v>
      </c>
      <c r="F341" s="8" t="s">
        <v>383</v>
      </c>
      <c r="G341" s="8" t="s">
        <v>384</v>
      </c>
      <c r="H341" s="8" t="s">
        <v>111</v>
      </c>
      <c r="I341" s="8" t="s">
        <v>708</v>
      </c>
      <c r="J341" s="8" t="s">
        <v>266</v>
      </c>
      <c r="K341" s="8" t="s">
        <v>132</v>
      </c>
      <c r="L341" s="8">
        <v>78745</v>
      </c>
      <c r="M341" s="8" t="s">
        <v>742</v>
      </c>
      <c r="N341" s="8" t="s">
        <v>1944</v>
      </c>
      <c r="O341" s="8" t="s">
        <v>9</v>
      </c>
      <c r="P341" s="8" t="s">
        <v>786</v>
      </c>
      <c r="Q341" s="8" t="s">
        <v>1945</v>
      </c>
      <c r="R341" s="15">
        <v>17.568</v>
      </c>
      <c r="S341" s="7">
        <v>2</v>
      </c>
      <c r="T341" s="16">
        <v>0.2</v>
      </c>
      <c r="U341" s="15">
        <v>6.3684</v>
      </c>
      <c r="V341" s="22">
        <v>6.3684</v>
      </c>
      <c r="W341" s="23">
        <v>14.0544</v>
      </c>
      <c r="X341" s="21" t="str" cm="1">
        <f t="array" ref="X341">IF(OR(R341:R878&lt;0,T340:T878&lt;0,C341:C879=""),"Check","OK")</f>
        <v>Check</v>
      </c>
    </row>
    <row r="342" ht="17.6" spans="1:24">
      <c r="A342" s="4">
        <v>728</v>
      </c>
      <c r="B342" s="5" t="s">
        <v>1946</v>
      </c>
      <c r="C342" s="6">
        <v>42707</v>
      </c>
      <c r="D342" s="6">
        <v>42710</v>
      </c>
      <c r="E342" s="5" t="s">
        <v>13</v>
      </c>
      <c r="F342" s="5" t="s">
        <v>315</v>
      </c>
      <c r="G342" s="5" t="s">
        <v>316</v>
      </c>
      <c r="H342" s="5" t="s">
        <v>111</v>
      </c>
      <c r="I342" s="5" t="s">
        <v>708</v>
      </c>
      <c r="J342" s="5" t="s">
        <v>293</v>
      </c>
      <c r="K342" s="5" t="s">
        <v>168</v>
      </c>
      <c r="L342" s="5">
        <v>11572</v>
      </c>
      <c r="M342" s="5" t="s">
        <v>759</v>
      </c>
      <c r="N342" s="5" t="s">
        <v>1947</v>
      </c>
      <c r="O342" s="5" t="s">
        <v>9</v>
      </c>
      <c r="P342" s="5" t="s">
        <v>731</v>
      </c>
      <c r="Q342" s="5" t="s">
        <v>1948</v>
      </c>
      <c r="R342" s="12">
        <v>182.72</v>
      </c>
      <c r="S342" s="4">
        <v>8</v>
      </c>
      <c r="T342" s="14">
        <v>0</v>
      </c>
      <c r="U342" s="12">
        <v>84.0512</v>
      </c>
      <c r="V342" s="19">
        <v>84.0512</v>
      </c>
      <c r="W342" s="20">
        <v>182.72</v>
      </c>
      <c r="X342" s="21" t="str" cm="1">
        <f t="array" ref="X342">IF(OR(R342:R879&lt;0,T341:T879&lt;0,C342:C880=""),"Check","OK")</f>
        <v>Check</v>
      </c>
    </row>
    <row r="343" ht="17.6" spans="1:24">
      <c r="A343" s="7">
        <v>733</v>
      </c>
      <c r="B343" s="8" t="s">
        <v>1949</v>
      </c>
      <c r="C343" s="9">
        <v>42756</v>
      </c>
      <c r="D343" s="9">
        <v>42760</v>
      </c>
      <c r="E343" s="8" t="s">
        <v>4</v>
      </c>
      <c r="F343" s="8" t="s">
        <v>1950</v>
      </c>
      <c r="G343" s="8" t="s">
        <v>1951</v>
      </c>
      <c r="H343" s="8" t="s">
        <v>741</v>
      </c>
      <c r="I343" s="8" t="s">
        <v>708</v>
      </c>
      <c r="J343" s="8" t="s">
        <v>184</v>
      </c>
      <c r="K343" s="8" t="s">
        <v>185</v>
      </c>
      <c r="L343" s="8">
        <v>98115</v>
      </c>
      <c r="M343" s="8" t="s">
        <v>717</v>
      </c>
      <c r="N343" s="8" t="s">
        <v>1952</v>
      </c>
      <c r="O343" s="8" t="s">
        <v>9</v>
      </c>
      <c r="P343" s="8" t="s">
        <v>748</v>
      </c>
      <c r="Q343" s="8" t="s">
        <v>1953</v>
      </c>
      <c r="R343" s="15">
        <v>242.94</v>
      </c>
      <c r="S343" s="7">
        <v>3</v>
      </c>
      <c r="T343" s="16">
        <v>0</v>
      </c>
      <c r="U343" s="15">
        <v>9.7176</v>
      </c>
      <c r="V343" s="22">
        <v>9.7176</v>
      </c>
      <c r="W343" s="23">
        <v>242.94</v>
      </c>
      <c r="X343" s="21" t="str" cm="1">
        <f t="array" ref="X343">IF(OR(R343:R880&lt;0,T342:T880&lt;0,C343:C881=""),"Check","OK")</f>
        <v>Check</v>
      </c>
    </row>
    <row r="344" ht="17.6" spans="1:24">
      <c r="A344" s="4">
        <v>739</v>
      </c>
      <c r="B344" s="5" t="s">
        <v>1954</v>
      </c>
      <c r="C344" s="6">
        <v>41890</v>
      </c>
      <c r="D344" s="6">
        <v>41894</v>
      </c>
      <c r="E344" s="5" t="s">
        <v>4</v>
      </c>
      <c r="F344" s="5" t="s">
        <v>348</v>
      </c>
      <c r="G344" s="5" t="s">
        <v>349</v>
      </c>
      <c r="H344" s="5" t="s">
        <v>111</v>
      </c>
      <c r="I344" s="5" t="s">
        <v>708</v>
      </c>
      <c r="J344" s="5" t="s">
        <v>188</v>
      </c>
      <c r="K344" s="5" t="s">
        <v>136</v>
      </c>
      <c r="L344" s="5">
        <v>94110</v>
      </c>
      <c r="M344" s="5" t="s">
        <v>717</v>
      </c>
      <c r="N344" s="5" t="s">
        <v>1955</v>
      </c>
      <c r="O344" s="5" t="s">
        <v>10</v>
      </c>
      <c r="P344" s="5" t="s">
        <v>809</v>
      </c>
      <c r="Q344" s="5" t="s">
        <v>1956</v>
      </c>
      <c r="R344" s="12">
        <v>49.98</v>
      </c>
      <c r="S344" s="4">
        <v>2</v>
      </c>
      <c r="T344" s="14">
        <v>0</v>
      </c>
      <c r="U344" s="12">
        <v>8.4966</v>
      </c>
      <c r="V344" s="19">
        <v>8.4966</v>
      </c>
      <c r="W344" s="20">
        <v>49.98</v>
      </c>
      <c r="X344" s="21" t="str" cm="1">
        <f t="array" ref="X344">IF(OR(R344:R881&lt;0,T343:T881&lt;0,C344:C882=""),"Check","OK")</f>
        <v>Check</v>
      </c>
    </row>
    <row r="345" ht="17.6" spans="1:24">
      <c r="A345" s="7">
        <v>740</v>
      </c>
      <c r="B345" s="8" t="s">
        <v>1957</v>
      </c>
      <c r="C345" s="9">
        <v>41643</v>
      </c>
      <c r="D345" s="9">
        <v>41647</v>
      </c>
      <c r="E345" s="8" t="s">
        <v>4</v>
      </c>
      <c r="F345" s="8" t="s">
        <v>1958</v>
      </c>
      <c r="G345" s="8" t="s">
        <v>1959</v>
      </c>
      <c r="H345" s="8" t="s">
        <v>741</v>
      </c>
      <c r="I345" s="8" t="s">
        <v>708</v>
      </c>
      <c r="J345" s="8" t="s">
        <v>671</v>
      </c>
      <c r="K345" s="8" t="s">
        <v>183</v>
      </c>
      <c r="L345" s="8">
        <v>60540</v>
      </c>
      <c r="M345" s="8" t="s">
        <v>742</v>
      </c>
      <c r="N345" s="8" t="s">
        <v>1960</v>
      </c>
      <c r="O345" s="8" t="s">
        <v>9</v>
      </c>
      <c r="P345" s="8" t="s">
        <v>719</v>
      </c>
      <c r="Q345" s="8" t="s">
        <v>1961</v>
      </c>
      <c r="R345" s="15">
        <v>11.784</v>
      </c>
      <c r="S345" s="7">
        <v>3</v>
      </c>
      <c r="T345" s="16">
        <v>0.2</v>
      </c>
      <c r="U345" s="15">
        <v>4.2717</v>
      </c>
      <c r="V345" s="22">
        <v>4.2717</v>
      </c>
      <c r="W345" s="23">
        <v>9.4272</v>
      </c>
      <c r="X345" s="21" t="str" cm="1">
        <f t="array" ref="X345">IF(OR(R345:R882&lt;0,T344:T882&lt;0,C345:C883=""),"Check","OK")</f>
        <v>Check</v>
      </c>
    </row>
    <row r="346" ht="17.6" spans="1:24">
      <c r="A346" s="4">
        <v>743</v>
      </c>
      <c r="B346" s="5" t="s">
        <v>1962</v>
      </c>
      <c r="C346" s="6">
        <v>42609</v>
      </c>
      <c r="D346" s="6">
        <v>42614</v>
      </c>
      <c r="E346" s="5" t="s">
        <v>4</v>
      </c>
      <c r="F346" s="5" t="s">
        <v>646</v>
      </c>
      <c r="G346" s="5" t="s">
        <v>647</v>
      </c>
      <c r="H346" s="5" t="s">
        <v>111</v>
      </c>
      <c r="I346" s="5" t="s">
        <v>708</v>
      </c>
      <c r="J346" s="5" t="s">
        <v>457</v>
      </c>
      <c r="K346" s="5" t="s">
        <v>132</v>
      </c>
      <c r="L346" s="5">
        <v>75220</v>
      </c>
      <c r="M346" s="5" t="s">
        <v>742</v>
      </c>
      <c r="N346" s="5" t="s">
        <v>1712</v>
      </c>
      <c r="O346" s="5" t="s">
        <v>9</v>
      </c>
      <c r="P346" s="5" t="s">
        <v>1428</v>
      </c>
      <c r="Q346" s="5" t="s">
        <v>1713</v>
      </c>
      <c r="R346" s="12">
        <v>51.52</v>
      </c>
      <c r="S346" s="4">
        <v>5</v>
      </c>
      <c r="T346" s="14">
        <v>0.2</v>
      </c>
      <c r="U346" s="12">
        <v>-10.948</v>
      </c>
      <c r="V346" s="19">
        <v>10.948</v>
      </c>
      <c r="W346" s="20">
        <v>41.216</v>
      </c>
      <c r="X346" s="21" t="str" cm="1">
        <f t="array" ref="X346">IF(OR(R346:R883&lt;0,T345:T883&lt;0,C346:C884=""),"Check","OK")</f>
        <v>Check</v>
      </c>
    </row>
    <row r="347" ht="17.6" spans="1:24">
      <c r="A347" s="7">
        <v>747</v>
      </c>
      <c r="B347" s="8" t="s">
        <v>1963</v>
      </c>
      <c r="C347" s="9">
        <v>41786</v>
      </c>
      <c r="D347" s="9">
        <v>41786</v>
      </c>
      <c r="E347" s="8" t="s">
        <v>1358</v>
      </c>
      <c r="F347" s="8" t="s">
        <v>1548</v>
      </c>
      <c r="G347" s="8" t="s">
        <v>1549</v>
      </c>
      <c r="H347" s="8" t="s">
        <v>716</v>
      </c>
      <c r="I347" s="8" t="s">
        <v>708</v>
      </c>
      <c r="J347" s="8" t="s">
        <v>431</v>
      </c>
      <c r="K347" s="8" t="s">
        <v>136</v>
      </c>
      <c r="L347" s="8">
        <v>92105</v>
      </c>
      <c r="M347" s="8" t="s">
        <v>717</v>
      </c>
      <c r="N347" s="8" t="s">
        <v>1964</v>
      </c>
      <c r="O347" s="8" t="s">
        <v>8</v>
      </c>
      <c r="P347" s="8" t="s">
        <v>723</v>
      </c>
      <c r="Q347" s="8" t="s">
        <v>1965</v>
      </c>
      <c r="R347" s="15">
        <v>567.12</v>
      </c>
      <c r="S347" s="7">
        <v>10</v>
      </c>
      <c r="T347" s="16">
        <v>0.2</v>
      </c>
      <c r="U347" s="15">
        <v>-28.356</v>
      </c>
      <c r="V347" s="22">
        <v>28.356</v>
      </c>
      <c r="W347" s="23">
        <v>453.696</v>
      </c>
      <c r="X347" s="21" t="str" cm="1">
        <f t="array" ref="X347">IF(OR(R347:R884&lt;0,T346:T884&lt;0,C347:C885=""),"Check","OK")</f>
        <v>Check</v>
      </c>
    </row>
    <row r="348" ht="17.6" spans="1:24">
      <c r="A348" s="4">
        <v>749</v>
      </c>
      <c r="B348" s="5" t="s">
        <v>1966</v>
      </c>
      <c r="C348" s="6">
        <v>42449</v>
      </c>
      <c r="D348" s="6">
        <v>42451</v>
      </c>
      <c r="E348" s="5" t="s">
        <v>707</v>
      </c>
      <c r="F348" s="5" t="s">
        <v>535</v>
      </c>
      <c r="G348" s="5" t="s">
        <v>536</v>
      </c>
      <c r="H348" s="5" t="s">
        <v>111</v>
      </c>
      <c r="I348" s="5" t="s">
        <v>708</v>
      </c>
      <c r="J348" s="5" t="s">
        <v>537</v>
      </c>
      <c r="K348" s="5" t="s">
        <v>183</v>
      </c>
      <c r="L348" s="5">
        <v>60201</v>
      </c>
      <c r="M348" s="5" t="s">
        <v>742</v>
      </c>
      <c r="N348" s="5" t="s">
        <v>1967</v>
      </c>
      <c r="O348" s="5" t="s">
        <v>10</v>
      </c>
      <c r="P348" s="5" t="s">
        <v>780</v>
      </c>
      <c r="Q348" s="5" t="s">
        <v>1968</v>
      </c>
      <c r="R348" s="12">
        <v>11.992</v>
      </c>
      <c r="S348" s="4">
        <v>1</v>
      </c>
      <c r="T348" s="14">
        <v>0.2</v>
      </c>
      <c r="U348" s="12">
        <v>0.8994</v>
      </c>
      <c r="V348" s="19">
        <v>0.8994</v>
      </c>
      <c r="W348" s="20">
        <v>9.5936</v>
      </c>
      <c r="X348" s="21" t="str" cm="1">
        <f t="array" ref="X348">IF(OR(R348:R885&lt;0,T347:T885&lt;0,C348:C886=""),"Check","OK")</f>
        <v>Check</v>
      </c>
    </row>
    <row r="349" ht="17.6" spans="1:24">
      <c r="A349" s="7">
        <v>750</v>
      </c>
      <c r="B349" s="8" t="s">
        <v>1969</v>
      </c>
      <c r="C349" s="9">
        <v>43010</v>
      </c>
      <c r="D349" s="9">
        <v>43014</v>
      </c>
      <c r="E349" s="8" t="s">
        <v>4</v>
      </c>
      <c r="F349" s="8" t="s">
        <v>591</v>
      </c>
      <c r="G349" s="8" t="s">
        <v>592</v>
      </c>
      <c r="H349" s="8" t="s">
        <v>111</v>
      </c>
      <c r="I349" s="8" t="s">
        <v>708</v>
      </c>
      <c r="J349" s="8" t="s">
        <v>594</v>
      </c>
      <c r="K349" s="8" t="s">
        <v>163</v>
      </c>
      <c r="L349" s="8">
        <v>48183</v>
      </c>
      <c r="M349" s="8" t="s">
        <v>742</v>
      </c>
      <c r="N349" s="8" t="s">
        <v>1970</v>
      </c>
      <c r="O349" s="8" t="s">
        <v>9</v>
      </c>
      <c r="P349" s="8" t="s">
        <v>736</v>
      </c>
      <c r="Q349" s="8" t="s">
        <v>1971</v>
      </c>
      <c r="R349" s="15">
        <v>58.05</v>
      </c>
      <c r="S349" s="7">
        <v>3</v>
      </c>
      <c r="T349" s="16">
        <v>0</v>
      </c>
      <c r="U349" s="15">
        <v>26.703</v>
      </c>
      <c r="V349" s="22">
        <v>26.703</v>
      </c>
      <c r="W349" s="23">
        <v>58.05</v>
      </c>
      <c r="X349" s="21" t="str" cm="1">
        <f t="array" ref="X349">IF(OR(R349:R886&lt;0,T348:T886&lt;0,C349:C887=""),"Check","OK")</f>
        <v>Check</v>
      </c>
    </row>
    <row r="350" ht="17.6" spans="1:24">
      <c r="A350" s="4">
        <v>754</v>
      </c>
      <c r="B350" s="5" t="s">
        <v>1972</v>
      </c>
      <c r="C350" s="6">
        <v>42467</v>
      </c>
      <c r="D350" s="6">
        <v>42469</v>
      </c>
      <c r="E350" s="5" t="s">
        <v>13</v>
      </c>
      <c r="F350" s="5" t="s">
        <v>1973</v>
      </c>
      <c r="G350" s="5" t="s">
        <v>1974</v>
      </c>
      <c r="H350" s="5" t="s">
        <v>716</v>
      </c>
      <c r="I350" s="5" t="s">
        <v>708</v>
      </c>
      <c r="J350" s="5" t="s">
        <v>188</v>
      </c>
      <c r="K350" s="5" t="s">
        <v>136</v>
      </c>
      <c r="L350" s="5">
        <v>94110</v>
      </c>
      <c r="M350" s="5" t="s">
        <v>717</v>
      </c>
      <c r="N350" s="5" t="s">
        <v>1975</v>
      </c>
      <c r="O350" s="5" t="s">
        <v>10</v>
      </c>
      <c r="P350" s="5" t="s">
        <v>1613</v>
      </c>
      <c r="Q350" s="5" t="s">
        <v>1976</v>
      </c>
      <c r="R350" s="12">
        <v>1199.976</v>
      </c>
      <c r="S350" s="4">
        <v>3</v>
      </c>
      <c r="T350" s="14">
        <v>0.2</v>
      </c>
      <c r="U350" s="12">
        <v>374.9925</v>
      </c>
      <c r="V350" s="19">
        <v>374.9925</v>
      </c>
      <c r="W350" s="20">
        <v>959.9808</v>
      </c>
      <c r="X350" s="21" t="str" cm="1">
        <f t="array" ref="X350">IF(OR(R350:R887&lt;0,T349:T887&lt;0,C350:C888=""),"Check","OK")</f>
        <v>Check</v>
      </c>
    </row>
    <row r="351" ht="17.6" spans="1:24">
      <c r="A351" s="7">
        <v>755</v>
      </c>
      <c r="B351" s="8" t="s">
        <v>1977</v>
      </c>
      <c r="C351" s="9">
        <v>42345</v>
      </c>
      <c r="D351" s="9">
        <v>42350</v>
      </c>
      <c r="E351" s="8" t="s">
        <v>4</v>
      </c>
      <c r="F351" s="8" t="s">
        <v>511</v>
      </c>
      <c r="G351" s="8" t="s">
        <v>512</v>
      </c>
      <c r="H351" s="8" t="s">
        <v>111</v>
      </c>
      <c r="I351" s="8" t="s">
        <v>708</v>
      </c>
      <c r="J351" s="8" t="s">
        <v>135</v>
      </c>
      <c r="K351" s="8" t="s">
        <v>136</v>
      </c>
      <c r="L351" s="8">
        <v>90036</v>
      </c>
      <c r="M351" s="8" t="s">
        <v>717</v>
      </c>
      <c r="N351" s="8" t="s">
        <v>1851</v>
      </c>
      <c r="O351" s="8" t="s">
        <v>8</v>
      </c>
      <c r="P351" s="8" t="s">
        <v>727</v>
      </c>
      <c r="Q351" s="8" t="s">
        <v>1852</v>
      </c>
      <c r="R351" s="15">
        <v>79.92</v>
      </c>
      <c r="S351" s="7">
        <v>4</v>
      </c>
      <c r="T351" s="16">
        <v>0</v>
      </c>
      <c r="U351" s="15">
        <v>28.7712</v>
      </c>
      <c r="V351" s="22">
        <v>28.7712</v>
      </c>
      <c r="W351" s="23">
        <v>79.92</v>
      </c>
      <c r="X351" s="21" t="str" cm="1">
        <f t="array" ref="X351">IF(OR(R351:R888&lt;0,T350:T888&lt;0,C351:C889=""),"Check","OK")</f>
        <v>Check</v>
      </c>
    </row>
    <row r="352" ht="17.6" spans="1:24">
      <c r="A352" s="4">
        <v>756</v>
      </c>
      <c r="B352" s="5" t="s">
        <v>1978</v>
      </c>
      <c r="C352" s="6">
        <v>42631</v>
      </c>
      <c r="D352" s="6">
        <v>42635</v>
      </c>
      <c r="E352" s="5" t="s">
        <v>4</v>
      </c>
      <c r="F352" s="5" t="s">
        <v>1738</v>
      </c>
      <c r="G352" s="5" t="s">
        <v>1739</v>
      </c>
      <c r="H352" s="5" t="s">
        <v>716</v>
      </c>
      <c r="I352" s="5" t="s">
        <v>708</v>
      </c>
      <c r="J352" s="5" t="s">
        <v>408</v>
      </c>
      <c r="K352" s="5" t="s">
        <v>172</v>
      </c>
      <c r="L352" s="5">
        <v>32216</v>
      </c>
      <c r="M352" s="5" t="s">
        <v>709</v>
      </c>
      <c r="N352" s="5" t="s">
        <v>1979</v>
      </c>
      <c r="O352" s="5" t="s">
        <v>8</v>
      </c>
      <c r="P352" s="5" t="s">
        <v>723</v>
      </c>
      <c r="Q352" s="5" t="s">
        <v>1980</v>
      </c>
      <c r="R352" s="12">
        <v>383.438</v>
      </c>
      <c r="S352" s="4">
        <v>4</v>
      </c>
      <c r="T352" s="14">
        <v>0.45</v>
      </c>
      <c r="U352" s="12">
        <v>-167.3184</v>
      </c>
      <c r="V352" s="19">
        <v>167.3184</v>
      </c>
      <c r="W352" s="20">
        <v>210.8909</v>
      </c>
      <c r="X352" s="21" t="str" cm="1">
        <f t="array" ref="X352">IF(OR(R352:R889&lt;0,T351:T889&lt;0,C352:C890=""),"Check","OK")</f>
        <v>Check</v>
      </c>
    </row>
    <row r="353" ht="17.6" spans="1:24">
      <c r="A353" s="7">
        <v>757</v>
      </c>
      <c r="B353" s="8" t="s">
        <v>1981</v>
      </c>
      <c r="C353" s="9">
        <v>42002</v>
      </c>
      <c r="D353" s="9">
        <v>42006</v>
      </c>
      <c r="E353" s="8" t="s">
        <v>4</v>
      </c>
      <c r="F353" s="8" t="s">
        <v>277</v>
      </c>
      <c r="G353" s="8" t="s">
        <v>278</v>
      </c>
      <c r="H353" s="8" t="s">
        <v>111</v>
      </c>
      <c r="I353" s="8" t="s">
        <v>708</v>
      </c>
      <c r="J353" s="8" t="s">
        <v>279</v>
      </c>
      <c r="K353" s="8" t="s">
        <v>280</v>
      </c>
      <c r="L353" s="8">
        <v>55016</v>
      </c>
      <c r="M353" s="8" t="s">
        <v>742</v>
      </c>
      <c r="N353" s="8" t="s">
        <v>1982</v>
      </c>
      <c r="O353" s="8" t="s">
        <v>9</v>
      </c>
      <c r="P353" s="8" t="s">
        <v>748</v>
      </c>
      <c r="Q353" s="8" t="s">
        <v>1983</v>
      </c>
      <c r="R353" s="15">
        <v>24.56</v>
      </c>
      <c r="S353" s="7">
        <v>2</v>
      </c>
      <c r="T353" s="16">
        <v>0</v>
      </c>
      <c r="U353" s="15">
        <v>6.8768</v>
      </c>
      <c r="V353" s="22">
        <v>6.8768</v>
      </c>
      <c r="W353" s="23">
        <v>24.56</v>
      </c>
      <c r="X353" s="21" t="str" cm="1">
        <f t="array" ref="X353">IF(OR(R353:R890&lt;0,T352:T890&lt;0,C353:C891=""),"Check","OK")</f>
        <v>Check</v>
      </c>
    </row>
    <row r="354" ht="17.6" spans="1:24">
      <c r="A354" s="4">
        <v>759</v>
      </c>
      <c r="B354" s="5" t="s">
        <v>1984</v>
      </c>
      <c r="C354" s="6">
        <v>42939</v>
      </c>
      <c r="D354" s="6">
        <v>42944</v>
      </c>
      <c r="E354" s="5" t="s">
        <v>4</v>
      </c>
      <c r="F354" s="5" t="s">
        <v>1985</v>
      </c>
      <c r="G354" s="5" t="s">
        <v>1986</v>
      </c>
      <c r="H354" s="5" t="s">
        <v>716</v>
      </c>
      <c r="I354" s="5" t="s">
        <v>708</v>
      </c>
      <c r="J354" s="5" t="s">
        <v>204</v>
      </c>
      <c r="K354" s="5" t="s">
        <v>168</v>
      </c>
      <c r="L354" s="5">
        <v>10009</v>
      </c>
      <c r="M354" s="5" t="s">
        <v>759</v>
      </c>
      <c r="N354" s="5" t="s">
        <v>1735</v>
      </c>
      <c r="O354" s="5" t="s">
        <v>9</v>
      </c>
      <c r="P354" s="5" t="s">
        <v>736</v>
      </c>
      <c r="Q354" s="5" t="s">
        <v>1736</v>
      </c>
      <c r="R354" s="12">
        <v>13.128</v>
      </c>
      <c r="S354" s="4">
        <v>3</v>
      </c>
      <c r="T354" s="14">
        <v>0.2</v>
      </c>
      <c r="U354" s="12">
        <v>4.2666</v>
      </c>
      <c r="V354" s="19">
        <v>4.2666</v>
      </c>
      <c r="W354" s="20">
        <v>10.5024</v>
      </c>
      <c r="X354" s="21" t="str" cm="1">
        <f t="array" ref="X354">IF(OR(R354:R891&lt;0,T353:T891&lt;0,C354:C892=""),"Check","OK")</f>
        <v>Check</v>
      </c>
    </row>
    <row r="355" ht="17.6" spans="1:24">
      <c r="A355" s="7">
        <v>760</v>
      </c>
      <c r="B355" s="8" t="s">
        <v>1987</v>
      </c>
      <c r="C355" s="9">
        <v>42996</v>
      </c>
      <c r="D355" s="9">
        <v>43000</v>
      </c>
      <c r="E355" s="8" t="s">
        <v>4</v>
      </c>
      <c r="F355" s="8" t="s">
        <v>1988</v>
      </c>
      <c r="G355" s="8" t="s">
        <v>1989</v>
      </c>
      <c r="H355" s="8" t="s">
        <v>716</v>
      </c>
      <c r="I355" s="8" t="s">
        <v>708</v>
      </c>
      <c r="J355" s="8" t="s">
        <v>191</v>
      </c>
      <c r="K355" s="8" t="s">
        <v>155</v>
      </c>
      <c r="L355" s="8">
        <v>54302</v>
      </c>
      <c r="M355" s="8" t="s">
        <v>742</v>
      </c>
      <c r="N355" s="8" t="s">
        <v>1990</v>
      </c>
      <c r="O355" s="8" t="s">
        <v>9</v>
      </c>
      <c r="P355" s="8" t="s">
        <v>731</v>
      </c>
      <c r="Q355" s="8" t="s">
        <v>1991</v>
      </c>
      <c r="R355" s="15">
        <v>22.72</v>
      </c>
      <c r="S355" s="7">
        <v>4</v>
      </c>
      <c r="T355" s="16">
        <v>0</v>
      </c>
      <c r="U355" s="15">
        <v>10.224</v>
      </c>
      <c r="V355" s="22">
        <v>10.224</v>
      </c>
      <c r="W355" s="23">
        <v>22.72</v>
      </c>
      <c r="X355" s="21" t="str" cm="1">
        <f t="array" ref="X355">IF(OR(R355:R892&lt;0,T354:T892&lt;0,C355:C893=""),"Check","OK")</f>
        <v>Check</v>
      </c>
    </row>
    <row r="356" ht="17.6" spans="1:24">
      <c r="A356" s="4">
        <v>761</v>
      </c>
      <c r="B356" s="5" t="s">
        <v>1992</v>
      </c>
      <c r="C356" s="6">
        <v>42247</v>
      </c>
      <c r="D356" s="6">
        <v>42252</v>
      </c>
      <c r="E356" s="5" t="s">
        <v>4</v>
      </c>
      <c r="F356" s="5" t="s">
        <v>173</v>
      </c>
      <c r="G356" s="5" t="s">
        <v>174</v>
      </c>
      <c r="H356" s="5" t="s">
        <v>111</v>
      </c>
      <c r="I356" s="5" t="s">
        <v>708</v>
      </c>
      <c r="J356" s="5" t="s">
        <v>135</v>
      </c>
      <c r="K356" s="5" t="s">
        <v>136</v>
      </c>
      <c r="L356" s="5">
        <v>90004</v>
      </c>
      <c r="M356" s="5" t="s">
        <v>717</v>
      </c>
      <c r="N356" s="5" t="s">
        <v>1993</v>
      </c>
      <c r="O356" s="5" t="s">
        <v>9</v>
      </c>
      <c r="P356" s="5" t="s">
        <v>731</v>
      </c>
      <c r="Q356" s="5" t="s">
        <v>1994</v>
      </c>
      <c r="R356" s="12">
        <v>58.32</v>
      </c>
      <c r="S356" s="4">
        <v>9</v>
      </c>
      <c r="T356" s="14">
        <v>0</v>
      </c>
      <c r="U356" s="12">
        <v>27.9936</v>
      </c>
      <c r="V356" s="19">
        <v>27.9936</v>
      </c>
      <c r="W356" s="20">
        <v>58.32</v>
      </c>
      <c r="X356" s="21" t="str" cm="1">
        <f t="array" ref="X356">IF(OR(R356:R893&lt;0,T355:T893&lt;0,C356:C894=""),"Check","OK")</f>
        <v>Check</v>
      </c>
    </row>
    <row r="357" ht="17.6" spans="1:24">
      <c r="A357" s="7">
        <v>762</v>
      </c>
      <c r="B357" s="8" t="s">
        <v>1995</v>
      </c>
      <c r="C357" s="9">
        <v>43042</v>
      </c>
      <c r="D357" s="9">
        <v>43046</v>
      </c>
      <c r="E357" s="8" t="s">
        <v>4</v>
      </c>
      <c r="F357" s="8" t="s">
        <v>878</v>
      </c>
      <c r="G357" s="8" t="s">
        <v>879</v>
      </c>
      <c r="H357" s="8" t="s">
        <v>716</v>
      </c>
      <c r="I357" s="8" t="s">
        <v>708</v>
      </c>
      <c r="J357" s="8" t="s">
        <v>256</v>
      </c>
      <c r="K357" s="8" t="s">
        <v>257</v>
      </c>
      <c r="L357" s="8">
        <v>30318</v>
      </c>
      <c r="M357" s="8" t="s">
        <v>709</v>
      </c>
      <c r="N357" s="8" t="s">
        <v>1996</v>
      </c>
      <c r="O357" s="8" t="s">
        <v>9</v>
      </c>
      <c r="P357" s="8" t="s">
        <v>719</v>
      </c>
      <c r="Q357" s="8" t="s">
        <v>1997</v>
      </c>
      <c r="R357" s="15">
        <v>12.39</v>
      </c>
      <c r="S357" s="7">
        <v>3</v>
      </c>
      <c r="T357" s="16">
        <v>0</v>
      </c>
      <c r="U357" s="15">
        <v>5.6994</v>
      </c>
      <c r="V357" s="22">
        <v>5.6994</v>
      </c>
      <c r="W357" s="23">
        <v>12.39</v>
      </c>
      <c r="X357" s="21" t="str" cm="1">
        <f t="array" ref="X357">IF(OR(R357:R894&lt;0,T356:T894&lt;0,C357:C895=""),"Check","OK")</f>
        <v>Check</v>
      </c>
    </row>
    <row r="358" ht="17.6" spans="1:24">
      <c r="A358" s="4">
        <v>763</v>
      </c>
      <c r="B358" s="5" t="s">
        <v>1998</v>
      </c>
      <c r="C358" s="6">
        <v>42043</v>
      </c>
      <c r="D358" s="6">
        <v>42048</v>
      </c>
      <c r="E358" s="5" t="s">
        <v>4</v>
      </c>
      <c r="F358" s="5" t="s">
        <v>467</v>
      </c>
      <c r="G358" s="5" t="s">
        <v>468</v>
      </c>
      <c r="H358" s="5" t="s">
        <v>111</v>
      </c>
      <c r="I358" s="5" t="s">
        <v>708</v>
      </c>
      <c r="J358" s="5" t="s">
        <v>211</v>
      </c>
      <c r="K358" s="5" t="s">
        <v>138</v>
      </c>
      <c r="L358" s="5">
        <v>43229</v>
      </c>
      <c r="M358" s="5" t="s">
        <v>759</v>
      </c>
      <c r="N358" s="5" t="s">
        <v>1999</v>
      </c>
      <c r="O358" s="5" t="s">
        <v>10</v>
      </c>
      <c r="P358" s="5" t="s">
        <v>780</v>
      </c>
      <c r="Q358" s="5" t="s">
        <v>2000</v>
      </c>
      <c r="R358" s="12">
        <v>107.982</v>
      </c>
      <c r="S358" s="4">
        <v>3</v>
      </c>
      <c r="T358" s="14">
        <v>0.4</v>
      </c>
      <c r="U358" s="12">
        <v>-26.9955</v>
      </c>
      <c r="V358" s="19">
        <v>26.9955</v>
      </c>
      <c r="W358" s="20">
        <v>64.7892</v>
      </c>
      <c r="X358" s="21" t="str" cm="1">
        <f t="array" ref="X358">IF(OR(R358:R895&lt;0,T357:T895&lt;0,C358:C896=""),"Check","OK")</f>
        <v>Check</v>
      </c>
    </row>
    <row r="359" ht="17.6" spans="1:24">
      <c r="A359" s="7">
        <v>764</v>
      </c>
      <c r="B359" s="8" t="s">
        <v>2001</v>
      </c>
      <c r="C359" s="9">
        <v>41652</v>
      </c>
      <c r="D359" s="9">
        <v>41654</v>
      </c>
      <c r="E359" s="8" t="s">
        <v>707</v>
      </c>
      <c r="F359" s="8" t="s">
        <v>2002</v>
      </c>
      <c r="G359" s="8" t="s">
        <v>2003</v>
      </c>
      <c r="H359" s="8" t="s">
        <v>716</v>
      </c>
      <c r="I359" s="8" t="s">
        <v>708</v>
      </c>
      <c r="J359" s="8" t="s">
        <v>2004</v>
      </c>
      <c r="K359" s="8" t="s">
        <v>1067</v>
      </c>
      <c r="L359" s="8">
        <v>71111</v>
      </c>
      <c r="M359" s="8" t="s">
        <v>709</v>
      </c>
      <c r="N359" s="8" t="s">
        <v>1035</v>
      </c>
      <c r="O359" s="8" t="s">
        <v>9</v>
      </c>
      <c r="P359" s="8" t="s">
        <v>786</v>
      </c>
      <c r="Q359" s="8" t="s">
        <v>1036</v>
      </c>
      <c r="R359" s="15">
        <v>11.36</v>
      </c>
      <c r="S359" s="7">
        <v>2</v>
      </c>
      <c r="T359" s="16">
        <v>0</v>
      </c>
      <c r="U359" s="15">
        <v>5.3392</v>
      </c>
      <c r="V359" s="22">
        <v>5.3392</v>
      </c>
      <c r="W359" s="23">
        <v>11.36</v>
      </c>
      <c r="X359" s="21" t="str" cm="1">
        <f t="array" ref="X359">IF(OR(R359:R896&lt;0,T358:T896&lt;0,C359:C897=""),"Check","OK")</f>
        <v>Check</v>
      </c>
    </row>
    <row r="360" ht="17.6" spans="1:24">
      <c r="A360" s="4">
        <v>769</v>
      </c>
      <c r="B360" s="5" t="s">
        <v>2005</v>
      </c>
      <c r="C360" s="6">
        <v>41773</v>
      </c>
      <c r="D360" s="6">
        <v>41779</v>
      </c>
      <c r="E360" s="5" t="s">
        <v>4</v>
      </c>
      <c r="F360" s="5" t="s">
        <v>2006</v>
      </c>
      <c r="G360" s="5" t="s">
        <v>2007</v>
      </c>
      <c r="H360" s="5" t="s">
        <v>716</v>
      </c>
      <c r="I360" s="5" t="s">
        <v>708</v>
      </c>
      <c r="J360" s="5" t="s">
        <v>314</v>
      </c>
      <c r="K360" s="5" t="s">
        <v>172</v>
      </c>
      <c r="L360" s="5">
        <v>33710</v>
      </c>
      <c r="M360" s="5" t="s">
        <v>709</v>
      </c>
      <c r="N360" s="5" t="s">
        <v>2008</v>
      </c>
      <c r="O360" s="5" t="s">
        <v>8</v>
      </c>
      <c r="P360" s="5" t="s">
        <v>727</v>
      </c>
      <c r="Q360" s="5" t="s">
        <v>2009</v>
      </c>
      <c r="R360" s="12">
        <v>310.88</v>
      </c>
      <c r="S360" s="4">
        <v>2</v>
      </c>
      <c r="T360" s="14">
        <v>0.2</v>
      </c>
      <c r="U360" s="12">
        <v>23.316</v>
      </c>
      <c r="V360" s="19">
        <v>23.316</v>
      </c>
      <c r="W360" s="20">
        <v>248.704</v>
      </c>
      <c r="X360" s="21" t="str" cm="1">
        <f t="array" ref="X360">IF(OR(R360:R897&lt;0,T359:T897&lt;0,C360:C898=""),"Check","OK")</f>
        <v>Check</v>
      </c>
    </row>
    <row r="361" ht="17.6" spans="1:24">
      <c r="A361" s="7">
        <v>770</v>
      </c>
      <c r="B361" s="8" t="s">
        <v>2010</v>
      </c>
      <c r="C361" s="9">
        <v>42509</v>
      </c>
      <c r="D361" s="9">
        <v>42514</v>
      </c>
      <c r="E361" s="8" t="s">
        <v>4</v>
      </c>
      <c r="F361" s="8" t="s">
        <v>458</v>
      </c>
      <c r="G361" s="8" t="s">
        <v>459</v>
      </c>
      <c r="H361" s="8" t="s">
        <v>111</v>
      </c>
      <c r="I361" s="8" t="s">
        <v>708</v>
      </c>
      <c r="J361" s="8" t="s">
        <v>224</v>
      </c>
      <c r="K361" s="8" t="s">
        <v>288</v>
      </c>
      <c r="L361" s="8">
        <v>22204</v>
      </c>
      <c r="M361" s="8" t="s">
        <v>709</v>
      </c>
      <c r="N361" s="8" t="s">
        <v>2011</v>
      </c>
      <c r="O361" s="8" t="s">
        <v>8</v>
      </c>
      <c r="P361" s="8" t="s">
        <v>761</v>
      </c>
      <c r="Q361" s="8" t="s">
        <v>2012</v>
      </c>
      <c r="R361" s="15">
        <v>641.96</v>
      </c>
      <c r="S361" s="7">
        <v>2</v>
      </c>
      <c r="T361" s="16">
        <v>0</v>
      </c>
      <c r="U361" s="15">
        <v>179.7488</v>
      </c>
      <c r="V361" s="22">
        <v>179.7488</v>
      </c>
      <c r="W361" s="23">
        <v>641.96</v>
      </c>
      <c r="X361" s="21" t="str" cm="1">
        <f t="array" ref="X361">IF(OR(R361:R898&lt;0,T360:T898&lt;0,C361:C899=""),"Check","OK")</f>
        <v>Check</v>
      </c>
    </row>
    <row r="362" ht="17.6" spans="1:24">
      <c r="A362" s="4">
        <v>771</v>
      </c>
      <c r="B362" s="5" t="s">
        <v>2013</v>
      </c>
      <c r="C362" s="6">
        <v>42765</v>
      </c>
      <c r="D362" s="6">
        <v>42771</v>
      </c>
      <c r="E362" s="5" t="s">
        <v>4</v>
      </c>
      <c r="F362" s="5" t="s">
        <v>2014</v>
      </c>
      <c r="G362" s="5" t="s">
        <v>2015</v>
      </c>
      <c r="H362" s="5" t="s">
        <v>716</v>
      </c>
      <c r="I362" s="5" t="s">
        <v>708</v>
      </c>
      <c r="J362" s="5" t="s">
        <v>391</v>
      </c>
      <c r="K362" s="5" t="s">
        <v>253</v>
      </c>
      <c r="L362" s="5">
        <v>50315</v>
      </c>
      <c r="M362" s="5" t="s">
        <v>742</v>
      </c>
      <c r="N362" s="5" t="s">
        <v>2016</v>
      </c>
      <c r="O362" s="5" t="s">
        <v>9</v>
      </c>
      <c r="P362" s="5" t="s">
        <v>736</v>
      </c>
      <c r="Q362" s="5" t="s">
        <v>2017</v>
      </c>
      <c r="R362" s="12">
        <v>18.28</v>
      </c>
      <c r="S362" s="4">
        <v>2</v>
      </c>
      <c r="T362" s="14">
        <v>0</v>
      </c>
      <c r="U362" s="12">
        <v>9.14</v>
      </c>
      <c r="V362" s="19">
        <v>9.14</v>
      </c>
      <c r="W362" s="20">
        <v>18.28</v>
      </c>
      <c r="X362" s="21" t="str" cm="1">
        <f t="array" ref="X362">IF(OR(R362:R899&lt;0,T361:T899&lt;0,C362:C900=""),"Check","OK")</f>
        <v>Check</v>
      </c>
    </row>
    <row r="363" ht="17.6" spans="1:24">
      <c r="A363" s="7">
        <v>777</v>
      </c>
      <c r="B363" s="8" t="s">
        <v>2018</v>
      </c>
      <c r="C363" s="9">
        <v>41819</v>
      </c>
      <c r="D363" s="9">
        <v>41826</v>
      </c>
      <c r="E363" s="8" t="s">
        <v>4</v>
      </c>
      <c r="F363" s="8" t="s">
        <v>289</v>
      </c>
      <c r="G363" s="8" t="s">
        <v>290</v>
      </c>
      <c r="H363" s="8" t="s">
        <v>111</v>
      </c>
      <c r="I363" s="8" t="s">
        <v>708</v>
      </c>
      <c r="J363" s="8" t="s">
        <v>149</v>
      </c>
      <c r="K363" s="8" t="s">
        <v>138</v>
      </c>
      <c r="L363" s="8">
        <v>45231</v>
      </c>
      <c r="M363" s="8" t="s">
        <v>759</v>
      </c>
      <c r="N363" s="8" t="s">
        <v>47</v>
      </c>
      <c r="O363" s="8" t="s">
        <v>9</v>
      </c>
      <c r="P363" s="8" t="s">
        <v>16</v>
      </c>
      <c r="Q363" s="8" t="s">
        <v>46</v>
      </c>
      <c r="R363" s="15">
        <v>32.76</v>
      </c>
      <c r="S363" s="7">
        <v>7</v>
      </c>
      <c r="T363" s="16">
        <v>0.2</v>
      </c>
      <c r="U363" s="15">
        <v>3.6855</v>
      </c>
      <c r="V363" s="22">
        <v>3.6855</v>
      </c>
      <c r="W363" s="23">
        <v>26.208</v>
      </c>
      <c r="X363" s="21" t="str" cm="1">
        <f t="array" ref="X363">IF(OR(R363:R900&lt;0,T362:T900&lt;0,C363:C901=""),"Check","OK")</f>
        <v>Check</v>
      </c>
    </row>
    <row r="364" ht="17.6" spans="1:24">
      <c r="A364" s="4">
        <v>778</v>
      </c>
      <c r="B364" s="5" t="s">
        <v>2019</v>
      </c>
      <c r="C364" s="6">
        <v>42237</v>
      </c>
      <c r="D364" s="6">
        <v>42239</v>
      </c>
      <c r="E364" s="5" t="s">
        <v>13</v>
      </c>
      <c r="F364" s="5" t="s">
        <v>1248</v>
      </c>
      <c r="G364" s="5" t="s">
        <v>1249</v>
      </c>
      <c r="H364" s="5" t="s">
        <v>741</v>
      </c>
      <c r="I364" s="5" t="s">
        <v>708</v>
      </c>
      <c r="J364" s="5" t="s">
        <v>188</v>
      </c>
      <c r="K364" s="5" t="s">
        <v>136</v>
      </c>
      <c r="L364" s="5">
        <v>94110</v>
      </c>
      <c r="M364" s="5" t="s">
        <v>717</v>
      </c>
      <c r="N364" s="5" t="s">
        <v>2020</v>
      </c>
      <c r="O364" s="5" t="s">
        <v>8</v>
      </c>
      <c r="P364" s="5" t="s">
        <v>761</v>
      </c>
      <c r="Q364" s="5" t="s">
        <v>2021</v>
      </c>
      <c r="R364" s="12">
        <v>544.008</v>
      </c>
      <c r="S364" s="4">
        <v>3</v>
      </c>
      <c r="T364" s="14">
        <v>0.2</v>
      </c>
      <c r="U364" s="12">
        <v>40.8006</v>
      </c>
      <c r="V364" s="19">
        <v>40.8006</v>
      </c>
      <c r="W364" s="20">
        <v>435.2064</v>
      </c>
      <c r="X364" s="21" t="str" cm="1">
        <f t="array" ref="X364">IF(OR(R364:R901&lt;0,T363:T901&lt;0,C364:C902=""),"Check","OK")</f>
        <v>Check</v>
      </c>
    </row>
    <row r="365" ht="17.6" spans="1:24">
      <c r="A365" s="7">
        <v>782</v>
      </c>
      <c r="B365" s="8" t="s">
        <v>2022</v>
      </c>
      <c r="C365" s="9">
        <v>42280</v>
      </c>
      <c r="D365" s="9">
        <v>42283</v>
      </c>
      <c r="E365" s="8" t="s">
        <v>707</v>
      </c>
      <c r="F365" s="8" t="s">
        <v>208</v>
      </c>
      <c r="G365" s="8" t="s">
        <v>209</v>
      </c>
      <c r="H365" s="8" t="s">
        <v>111</v>
      </c>
      <c r="I365" s="8" t="s">
        <v>708</v>
      </c>
      <c r="J365" s="8" t="s">
        <v>211</v>
      </c>
      <c r="K365" s="8" t="s">
        <v>138</v>
      </c>
      <c r="L365" s="8">
        <v>43229</v>
      </c>
      <c r="M365" s="8" t="s">
        <v>759</v>
      </c>
      <c r="N365" s="8" t="s">
        <v>2023</v>
      </c>
      <c r="O365" s="8" t="s">
        <v>9</v>
      </c>
      <c r="P365" s="8" t="s">
        <v>736</v>
      </c>
      <c r="Q365" s="8" t="s">
        <v>2024</v>
      </c>
      <c r="R365" s="15">
        <v>32.07</v>
      </c>
      <c r="S365" s="7">
        <v>5</v>
      </c>
      <c r="T365" s="16">
        <v>0.7</v>
      </c>
      <c r="U365" s="15">
        <v>-22.449</v>
      </c>
      <c r="V365" s="22">
        <v>22.449</v>
      </c>
      <c r="W365" s="23">
        <v>9.621</v>
      </c>
      <c r="X365" s="21" t="str" cm="1">
        <f t="array" ref="X365">IF(OR(R365:R902&lt;0,T364:T902&lt;0,C365:C903=""),"Check","OK")</f>
        <v>Check</v>
      </c>
    </row>
    <row r="366" ht="17.6" spans="1:24">
      <c r="A366" s="4">
        <v>786</v>
      </c>
      <c r="B366" s="5" t="s">
        <v>2025</v>
      </c>
      <c r="C366" s="6">
        <v>42147</v>
      </c>
      <c r="D366" s="6">
        <v>42152</v>
      </c>
      <c r="E366" s="5" t="s">
        <v>4</v>
      </c>
      <c r="F366" s="5" t="s">
        <v>1149</v>
      </c>
      <c r="G366" s="5" t="s">
        <v>1150</v>
      </c>
      <c r="H366" s="5" t="s">
        <v>716</v>
      </c>
      <c r="I366" s="5" t="s">
        <v>708</v>
      </c>
      <c r="J366" s="5" t="s">
        <v>561</v>
      </c>
      <c r="K366" s="5" t="s">
        <v>562</v>
      </c>
      <c r="L366" s="5">
        <v>29203</v>
      </c>
      <c r="M366" s="5" t="s">
        <v>709</v>
      </c>
      <c r="N366" s="5" t="s">
        <v>2026</v>
      </c>
      <c r="O366" s="5" t="s">
        <v>9</v>
      </c>
      <c r="P366" s="5" t="s">
        <v>786</v>
      </c>
      <c r="Q366" s="5" t="s">
        <v>2027</v>
      </c>
      <c r="R366" s="12">
        <v>186.69</v>
      </c>
      <c r="S366" s="4">
        <v>3</v>
      </c>
      <c r="T366" s="14">
        <v>0</v>
      </c>
      <c r="U366" s="12">
        <v>87.7443</v>
      </c>
      <c r="V366" s="19">
        <v>87.7443</v>
      </c>
      <c r="W366" s="20">
        <v>186.69</v>
      </c>
      <c r="X366" s="21" t="str" cm="1">
        <f t="array" ref="X366">IF(OR(R366:R903&lt;0,T365:T903&lt;0,C366:C904=""),"Check","OK")</f>
        <v>Check</v>
      </c>
    </row>
    <row r="367" ht="17.6" spans="1:24">
      <c r="A367" s="7">
        <v>787</v>
      </c>
      <c r="B367" s="8" t="s">
        <v>2028</v>
      </c>
      <c r="C367" s="9">
        <v>42811</v>
      </c>
      <c r="D367" s="9">
        <v>42815</v>
      </c>
      <c r="E367" s="8" t="s">
        <v>707</v>
      </c>
      <c r="F367" s="8" t="s">
        <v>249</v>
      </c>
      <c r="G367" s="8" t="s">
        <v>250</v>
      </c>
      <c r="H367" s="8" t="s">
        <v>111</v>
      </c>
      <c r="I367" s="8" t="s">
        <v>708</v>
      </c>
      <c r="J367" s="8" t="s">
        <v>251</v>
      </c>
      <c r="K367" s="8" t="s">
        <v>136</v>
      </c>
      <c r="L367" s="8">
        <v>93534</v>
      </c>
      <c r="M367" s="8" t="s">
        <v>717</v>
      </c>
      <c r="N367" s="8" t="s">
        <v>2029</v>
      </c>
      <c r="O367" s="8" t="s">
        <v>9</v>
      </c>
      <c r="P367" s="8" t="s">
        <v>736</v>
      </c>
      <c r="Q367" s="8" t="s">
        <v>2030</v>
      </c>
      <c r="R367" s="15">
        <v>17.456</v>
      </c>
      <c r="S367" s="7">
        <v>2</v>
      </c>
      <c r="T367" s="16">
        <v>0.2</v>
      </c>
      <c r="U367" s="15">
        <v>5.8914</v>
      </c>
      <c r="V367" s="22">
        <v>5.8914</v>
      </c>
      <c r="W367" s="23">
        <v>13.9648</v>
      </c>
      <c r="X367" s="21" t="str" cm="1">
        <f t="array" ref="X367">IF(OR(R367:R904&lt;0,T366:T904&lt;0,C367:C905=""),"Check","OK")</f>
        <v>Check</v>
      </c>
    </row>
    <row r="368" ht="17.6" spans="1:24">
      <c r="A368" s="4">
        <v>788</v>
      </c>
      <c r="B368" s="5" t="s">
        <v>2031</v>
      </c>
      <c r="C368" s="6">
        <v>42350</v>
      </c>
      <c r="D368" s="6">
        <v>42354</v>
      </c>
      <c r="E368" s="5" t="s">
        <v>4</v>
      </c>
      <c r="F368" s="5" t="s">
        <v>483</v>
      </c>
      <c r="G368" s="5" t="s">
        <v>484</v>
      </c>
      <c r="H368" s="5" t="s">
        <v>111</v>
      </c>
      <c r="I368" s="5" t="s">
        <v>708</v>
      </c>
      <c r="J368" s="5" t="s">
        <v>251</v>
      </c>
      <c r="K368" s="5" t="s">
        <v>136</v>
      </c>
      <c r="L368" s="5">
        <v>93534</v>
      </c>
      <c r="M368" s="5" t="s">
        <v>717</v>
      </c>
      <c r="N368" s="5" t="s">
        <v>2032</v>
      </c>
      <c r="O368" s="5" t="s">
        <v>8</v>
      </c>
      <c r="P368" s="5" t="s">
        <v>761</v>
      </c>
      <c r="Q368" s="5" t="s">
        <v>2033</v>
      </c>
      <c r="R368" s="12">
        <v>348.928</v>
      </c>
      <c r="S368" s="4">
        <v>2</v>
      </c>
      <c r="T368" s="14">
        <v>0.2</v>
      </c>
      <c r="U368" s="12">
        <v>34.8928</v>
      </c>
      <c r="V368" s="19">
        <v>34.8928</v>
      </c>
      <c r="W368" s="20">
        <v>279.1424</v>
      </c>
      <c r="X368" s="21" t="str" cm="1">
        <f t="array" ref="X368">IF(OR(R368:R905&lt;0,T367:T905&lt;0,C368:C906=""),"Check","OK")</f>
        <v>Check</v>
      </c>
    </row>
    <row r="369" ht="17.6" spans="1:24">
      <c r="A369" s="7">
        <v>789</v>
      </c>
      <c r="B369" s="8" t="s">
        <v>2034</v>
      </c>
      <c r="C369" s="9">
        <v>42181</v>
      </c>
      <c r="D369" s="9">
        <v>42185</v>
      </c>
      <c r="E369" s="8" t="s">
        <v>4</v>
      </c>
      <c r="F369" s="8" t="s">
        <v>611</v>
      </c>
      <c r="G369" s="8" t="s">
        <v>612</v>
      </c>
      <c r="H369" s="8" t="s">
        <v>111</v>
      </c>
      <c r="I369" s="8" t="s">
        <v>708</v>
      </c>
      <c r="J369" s="8" t="s">
        <v>199</v>
      </c>
      <c r="K369" s="8" t="s">
        <v>288</v>
      </c>
      <c r="L369" s="8">
        <v>23223</v>
      </c>
      <c r="M369" s="8" t="s">
        <v>709</v>
      </c>
      <c r="N369" s="8" t="s">
        <v>2035</v>
      </c>
      <c r="O369" s="8" t="s">
        <v>9</v>
      </c>
      <c r="P369" s="8" t="s">
        <v>736</v>
      </c>
      <c r="Q369" s="8" t="s">
        <v>2036</v>
      </c>
      <c r="R369" s="15">
        <v>143.96</v>
      </c>
      <c r="S369" s="7">
        <v>4</v>
      </c>
      <c r="T369" s="16">
        <v>0</v>
      </c>
      <c r="U369" s="15">
        <v>69.1008</v>
      </c>
      <c r="V369" s="22">
        <v>69.1008</v>
      </c>
      <c r="W369" s="23">
        <v>143.96</v>
      </c>
      <c r="X369" s="21" t="str" cm="1">
        <f t="array" ref="X369">IF(OR(R369:R906&lt;0,T368:T906&lt;0,C369:C907=""),"Check","OK")</f>
        <v>Check</v>
      </c>
    </row>
    <row r="370" ht="17.6" spans="1:24">
      <c r="A370" s="4">
        <v>793</v>
      </c>
      <c r="B370" s="5" t="s">
        <v>2037</v>
      </c>
      <c r="C370" s="6">
        <v>42510</v>
      </c>
      <c r="D370" s="6">
        <v>42510</v>
      </c>
      <c r="E370" s="5" t="s">
        <v>1358</v>
      </c>
      <c r="F370" s="5" t="s">
        <v>405</v>
      </c>
      <c r="G370" s="5" t="s">
        <v>406</v>
      </c>
      <c r="H370" s="5" t="s">
        <v>111</v>
      </c>
      <c r="I370" s="5" t="s">
        <v>708</v>
      </c>
      <c r="J370" s="5" t="s">
        <v>407</v>
      </c>
      <c r="K370" s="5" t="s">
        <v>128</v>
      </c>
      <c r="L370" s="5">
        <v>28806</v>
      </c>
      <c r="M370" s="5" t="s">
        <v>709</v>
      </c>
      <c r="N370" s="5" t="s">
        <v>2038</v>
      </c>
      <c r="O370" s="5" t="s">
        <v>10</v>
      </c>
      <c r="P370" s="5" t="s">
        <v>780</v>
      </c>
      <c r="Q370" s="5" t="s">
        <v>2039</v>
      </c>
      <c r="R370" s="12">
        <v>1363.96</v>
      </c>
      <c r="S370" s="4">
        <v>5</v>
      </c>
      <c r="T370" s="14">
        <v>0.2</v>
      </c>
      <c r="U370" s="12">
        <v>85.2475</v>
      </c>
      <c r="V370" s="19">
        <v>85.2475</v>
      </c>
      <c r="W370" s="20">
        <v>1091.168</v>
      </c>
      <c r="X370" s="21" t="str" cm="1">
        <f t="array" ref="X370">IF(OR(R370:R907&lt;0,T369:T907&lt;0,C370:C908=""),"Check","OK")</f>
        <v>Check</v>
      </c>
    </row>
    <row r="371" ht="17.6" spans="1:24">
      <c r="A371" s="7">
        <v>794</v>
      </c>
      <c r="B371" s="8" t="s">
        <v>2040</v>
      </c>
      <c r="C371" s="9">
        <v>41902</v>
      </c>
      <c r="D371" s="9">
        <v>41908</v>
      </c>
      <c r="E371" s="8" t="s">
        <v>4</v>
      </c>
      <c r="F371" s="8" t="s">
        <v>325</v>
      </c>
      <c r="G371" s="8" t="s">
        <v>326</v>
      </c>
      <c r="H371" s="8" t="s">
        <v>111</v>
      </c>
      <c r="I371" s="8" t="s">
        <v>708</v>
      </c>
      <c r="J371" s="8" t="s">
        <v>188</v>
      </c>
      <c r="K371" s="8" t="s">
        <v>136</v>
      </c>
      <c r="L371" s="8">
        <v>94110</v>
      </c>
      <c r="M371" s="8" t="s">
        <v>717</v>
      </c>
      <c r="N371" s="8" t="s">
        <v>2041</v>
      </c>
      <c r="O371" s="8" t="s">
        <v>9</v>
      </c>
      <c r="P371" s="8" t="s">
        <v>719</v>
      </c>
      <c r="Q371" s="8" t="s">
        <v>2042</v>
      </c>
      <c r="R371" s="15">
        <v>9.96</v>
      </c>
      <c r="S371" s="7">
        <v>2</v>
      </c>
      <c r="T371" s="16">
        <v>0</v>
      </c>
      <c r="U371" s="15">
        <v>4.5816</v>
      </c>
      <c r="V371" s="22">
        <v>4.5816</v>
      </c>
      <c r="W371" s="23">
        <v>9.96</v>
      </c>
      <c r="X371" s="21" t="str" cm="1">
        <f t="array" ref="X371">IF(OR(R371:R908&lt;0,T370:T908&lt;0,C371:C909=""),"Check","OK")</f>
        <v>Check</v>
      </c>
    </row>
    <row r="372" ht="17.6" spans="1:24">
      <c r="A372" s="4">
        <v>796</v>
      </c>
      <c r="B372" s="5" t="s">
        <v>2043</v>
      </c>
      <c r="C372" s="6">
        <v>42999</v>
      </c>
      <c r="D372" s="6">
        <v>43004</v>
      </c>
      <c r="E372" s="5" t="s">
        <v>4</v>
      </c>
      <c r="F372" s="5" t="s">
        <v>597</v>
      </c>
      <c r="G372" s="5" t="s">
        <v>598</v>
      </c>
      <c r="H372" s="5" t="s">
        <v>111</v>
      </c>
      <c r="I372" s="5" t="s">
        <v>708</v>
      </c>
      <c r="J372" s="5" t="s">
        <v>167</v>
      </c>
      <c r="K372" s="5" t="s">
        <v>280</v>
      </c>
      <c r="L372" s="5">
        <v>55901</v>
      </c>
      <c r="M372" s="5" t="s">
        <v>742</v>
      </c>
      <c r="N372" s="5" t="s">
        <v>2044</v>
      </c>
      <c r="O372" s="5" t="s">
        <v>9</v>
      </c>
      <c r="P372" s="5" t="s">
        <v>736</v>
      </c>
      <c r="Q372" s="5" t="s">
        <v>2045</v>
      </c>
      <c r="R372" s="12">
        <v>20.16</v>
      </c>
      <c r="S372" s="4">
        <v>7</v>
      </c>
      <c r="T372" s="14">
        <v>0</v>
      </c>
      <c r="U372" s="12">
        <v>9.8784</v>
      </c>
      <c r="V372" s="19">
        <v>9.8784</v>
      </c>
      <c r="W372" s="20">
        <v>20.16</v>
      </c>
      <c r="X372" s="21" t="str" cm="1">
        <f t="array" ref="X372">IF(OR(R372:R909&lt;0,T371:T909&lt;0,C372:C910=""),"Check","OK")</f>
        <v>Check</v>
      </c>
    </row>
    <row r="373" ht="17.6" spans="1:24">
      <c r="A373" s="7">
        <v>797</v>
      </c>
      <c r="B373" s="8" t="s">
        <v>2046</v>
      </c>
      <c r="C373" s="9">
        <v>42362</v>
      </c>
      <c r="D373" s="9">
        <v>42364</v>
      </c>
      <c r="E373" s="8" t="s">
        <v>13</v>
      </c>
      <c r="F373" s="8" t="s">
        <v>1157</v>
      </c>
      <c r="G373" s="8" t="s">
        <v>1158</v>
      </c>
      <c r="H373" s="8" t="s">
        <v>716</v>
      </c>
      <c r="I373" s="8" t="s">
        <v>708</v>
      </c>
      <c r="J373" s="8" t="s">
        <v>167</v>
      </c>
      <c r="K373" s="8" t="s">
        <v>168</v>
      </c>
      <c r="L373" s="8">
        <v>14609</v>
      </c>
      <c r="M373" s="8" t="s">
        <v>759</v>
      </c>
      <c r="N373" s="8" t="s">
        <v>2047</v>
      </c>
      <c r="O373" s="8" t="s">
        <v>9</v>
      </c>
      <c r="P373" s="8" t="s">
        <v>731</v>
      </c>
      <c r="Q373" s="8" t="s">
        <v>2048</v>
      </c>
      <c r="R373" s="15">
        <v>132.79</v>
      </c>
      <c r="S373" s="7">
        <v>7</v>
      </c>
      <c r="T373" s="16">
        <v>0</v>
      </c>
      <c r="U373" s="15">
        <v>63.7392</v>
      </c>
      <c r="V373" s="22">
        <v>63.7392</v>
      </c>
      <c r="W373" s="23">
        <v>132.79</v>
      </c>
      <c r="X373" s="21" t="str" cm="1">
        <f t="array" ref="X373">IF(OR(R373:R910&lt;0,T372:T910&lt;0,C373:C911=""),"Check","OK")</f>
        <v>Check</v>
      </c>
    </row>
    <row r="374" ht="17.6" spans="1:24">
      <c r="A374" s="4">
        <v>800</v>
      </c>
      <c r="B374" s="5" t="s">
        <v>2049</v>
      </c>
      <c r="C374" s="6">
        <v>42335</v>
      </c>
      <c r="D374" s="6">
        <v>42341</v>
      </c>
      <c r="E374" s="5" t="s">
        <v>4</v>
      </c>
      <c r="F374" s="5" t="s">
        <v>232</v>
      </c>
      <c r="G374" s="5" t="s">
        <v>233</v>
      </c>
      <c r="H374" s="5" t="s">
        <v>111</v>
      </c>
      <c r="I374" s="5" t="s">
        <v>708</v>
      </c>
      <c r="J374" s="5" t="s">
        <v>234</v>
      </c>
      <c r="K374" s="5" t="s">
        <v>136</v>
      </c>
      <c r="L374" s="5">
        <v>92530</v>
      </c>
      <c r="M374" s="5" t="s">
        <v>717</v>
      </c>
      <c r="N374" s="5" t="s">
        <v>2050</v>
      </c>
      <c r="O374" s="5" t="s">
        <v>8</v>
      </c>
      <c r="P374" s="5" t="s">
        <v>761</v>
      </c>
      <c r="Q374" s="5" t="s">
        <v>2051</v>
      </c>
      <c r="R374" s="12">
        <v>283.92</v>
      </c>
      <c r="S374" s="4">
        <v>5</v>
      </c>
      <c r="T374" s="14">
        <v>0.2</v>
      </c>
      <c r="U374" s="12">
        <v>17.745</v>
      </c>
      <c r="V374" s="19">
        <v>17.745</v>
      </c>
      <c r="W374" s="20">
        <v>227.136</v>
      </c>
      <c r="X374" s="21" t="str" cm="1">
        <f t="array" ref="X374">IF(OR(R374:R911&lt;0,T373:T911&lt;0,C374:C912=""),"Check","OK")</f>
        <v>Check</v>
      </c>
    </row>
    <row r="375" ht="17.6" spans="1:24">
      <c r="A375" s="7">
        <v>801</v>
      </c>
      <c r="B375" s="8" t="s">
        <v>2052</v>
      </c>
      <c r="C375" s="9">
        <v>42786</v>
      </c>
      <c r="D375" s="9">
        <v>42789</v>
      </c>
      <c r="E375" s="8" t="s">
        <v>13</v>
      </c>
      <c r="F375" s="8" t="s">
        <v>2053</v>
      </c>
      <c r="G375" s="8" t="s">
        <v>2054</v>
      </c>
      <c r="H375" s="8" t="s">
        <v>716</v>
      </c>
      <c r="I375" s="8" t="s">
        <v>708</v>
      </c>
      <c r="J375" s="8" t="s">
        <v>431</v>
      </c>
      <c r="K375" s="8" t="s">
        <v>136</v>
      </c>
      <c r="L375" s="8">
        <v>92105</v>
      </c>
      <c r="M375" s="8" t="s">
        <v>717</v>
      </c>
      <c r="N375" s="8" t="s">
        <v>2055</v>
      </c>
      <c r="O375" s="8" t="s">
        <v>8</v>
      </c>
      <c r="P375" s="8" t="s">
        <v>727</v>
      </c>
      <c r="Q375" s="8" t="s">
        <v>2056</v>
      </c>
      <c r="R375" s="15">
        <v>22.23</v>
      </c>
      <c r="S375" s="7">
        <v>1</v>
      </c>
      <c r="T375" s="16">
        <v>0</v>
      </c>
      <c r="U375" s="15">
        <v>7.3359</v>
      </c>
      <c r="V375" s="22">
        <v>7.3359</v>
      </c>
      <c r="W375" s="23">
        <v>22.23</v>
      </c>
      <c r="X375" s="21" t="str" cm="1">
        <f t="array" ref="X375">IF(OR(R375:R912&lt;0,T374:T912&lt;0,C375:C913=""),"Check","OK")</f>
        <v>Check</v>
      </c>
    </row>
    <row r="376" ht="17.6" spans="1:24">
      <c r="A376" s="4">
        <v>803</v>
      </c>
      <c r="B376" s="5" t="s">
        <v>2057</v>
      </c>
      <c r="C376" s="6">
        <v>42600</v>
      </c>
      <c r="D376" s="6">
        <v>42605</v>
      </c>
      <c r="E376" s="5" t="s">
        <v>707</v>
      </c>
      <c r="F376" s="5" t="s">
        <v>2053</v>
      </c>
      <c r="G376" s="5" t="s">
        <v>2054</v>
      </c>
      <c r="H376" s="5" t="s">
        <v>716</v>
      </c>
      <c r="I376" s="5" t="s">
        <v>708</v>
      </c>
      <c r="J376" s="5" t="s">
        <v>204</v>
      </c>
      <c r="K376" s="5" t="s">
        <v>168</v>
      </c>
      <c r="L376" s="5">
        <v>10024</v>
      </c>
      <c r="M376" s="5" t="s">
        <v>759</v>
      </c>
      <c r="N376" s="5" t="s">
        <v>2058</v>
      </c>
      <c r="O376" s="5" t="s">
        <v>9</v>
      </c>
      <c r="P376" s="5" t="s">
        <v>744</v>
      </c>
      <c r="Q376" s="5" t="s">
        <v>2059</v>
      </c>
      <c r="R376" s="12">
        <v>355.32</v>
      </c>
      <c r="S376" s="4">
        <v>9</v>
      </c>
      <c r="T376" s="14">
        <v>0</v>
      </c>
      <c r="U376" s="12">
        <v>99.4896</v>
      </c>
      <c r="V376" s="19">
        <v>99.4896</v>
      </c>
      <c r="W376" s="20">
        <v>355.32</v>
      </c>
      <c r="X376" s="21" t="str" cm="1">
        <f t="array" ref="X376">IF(OR(R376:R913&lt;0,T375:T913&lt;0,C376:C914=""),"Check","OK")</f>
        <v>Check</v>
      </c>
    </row>
    <row r="377" ht="17.6" spans="1:24">
      <c r="A377" s="7">
        <v>804</v>
      </c>
      <c r="B377" s="8" t="s">
        <v>2060</v>
      </c>
      <c r="C377" s="9">
        <v>42441</v>
      </c>
      <c r="D377" s="9">
        <v>42446</v>
      </c>
      <c r="E377" s="8" t="s">
        <v>4</v>
      </c>
      <c r="F377" s="8" t="s">
        <v>2061</v>
      </c>
      <c r="G377" s="8" t="s">
        <v>2062</v>
      </c>
      <c r="H377" s="8" t="s">
        <v>716</v>
      </c>
      <c r="I377" s="8" t="s">
        <v>708</v>
      </c>
      <c r="J377" s="8" t="s">
        <v>1066</v>
      </c>
      <c r="K377" s="8" t="s">
        <v>1067</v>
      </c>
      <c r="L377" s="8">
        <v>71203</v>
      </c>
      <c r="M377" s="8" t="s">
        <v>709</v>
      </c>
      <c r="N377" s="8" t="s">
        <v>2063</v>
      </c>
      <c r="O377" s="8" t="s">
        <v>9</v>
      </c>
      <c r="P377" s="8" t="s">
        <v>731</v>
      </c>
      <c r="Q377" s="8" t="s">
        <v>2064</v>
      </c>
      <c r="R377" s="15">
        <v>12.96</v>
      </c>
      <c r="S377" s="7">
        <v>2</v>
      </c>
      <c r="T377" s="16">
        <v>0</v>
      </c>
      <c r="U377" s="15">
        <v>6.2208</v>
      </c>
      <c r="V377" s="22">
        <v>6.2208</v>
      </c>
      <c r="W377" s="23">
        <v>12.96</v>
      </c>
      <c r="X377" s="21" t="str" cm="1">
        <f t="array" ref="X377">IF(OR(R377:R914&lt;0,T376:T914&lt;0,C377:C915=""),"Check","OK")</f>
        <v>Check</v>
      </c>
    </row>
    <row r="378" ht="17.6" spans="1:24">
      <c r="A378" s="4">
        <v>805</v>
      </c>
      <c r="B378" s="5" t="s">
        <v>2065</v>
      </c>
      <c r="C378" s="6">
        <v>42847</v>
      </c>
      <c r="D378" s="6">
        <v>42849</v>
      </c>
      <c r="E378" s="5" t="s">
        <v>13</v>
      </c>
      <c r="F378" s="5" t="s">
        <v>339</v>
      </c>
      <c r="G378" s="5" t="s">
        <v>340</v>
      </c>
      <c r="H378" s="5" t="s">
        <v>111</v>
      </c>
      <c r="I378" s="5" t="s">
        <v>708</v>
      </c>
      <c r="J378" s="5" t="s">
        <v>188</v>
      </c>
      <c r="K378" s="5" t="s">
        <v>136</v>
      </c>
      <c r="L378" s="5">
        <v>94122</v>
      </c>
      <c r="M378" s="5" t="s">
        <v>717</v>
      </c>
      <c r="N378" s="5" t="s">
        <v>2066</v>
      </c>
      <c r="O378" s="5" t="s">
        <v>8</v>
      </c>
      <c r="P378" s="5" t="s">
        <v>727</v>
      </c>
      <c r="Q378" s="5" t="s">
        <v>2067</v>
      </c>
      <c r="R378" s="12">
        <v>18.28</v>
      </c>
      <c r="S378" s="4">
        <v>2</v>
      </c>
      <c r="T378" s="14">
        <v>0</v>
      </c>
      <c r="U378" s="12">
        <v>6.2152</v>
      </c>
      <c r="V378" s="19">
        <v>6.2152</v>
      </c>
      <c r="W378" s="20">
        <v>18.28</v>
      </c>
      <c r="X378" s="21" t="str" cm="1">
        <f t="array" ref="X378">IF(OR(R378:R915&lt;0,T377:T915&lt;0,C378:C916=""),"Check","OK")</f>
        <v>Check</v>
      </c>
    </row>
    <row r="379" ht="17.6" spans="1:24">
      <c r="A379" s="7">
        <v>806</v>
      </c>
      <c r="B379" s="8" t="s">
        <v>2068</v>
      </c>
      <c r="C379" s="9">
        <v>41944</v>
      </c>
      <c r="D379" s="9">
        <v>41950</v>
      </c>
      <c r="E379" s="8" t="s">
        <v>4</v>
      </c>
      <c r="F379" s="8" t="s">
        <v>568</v>
      </c>
      <c r="G379" s="8" t="s">
        <v>569</v>
      </c>
      <c r="H379" s="8" t="s">
        <v>111</v>
      </c>
      <c r="I379" s="8" t="s">
        <v>708</v>
      </c>
      <c r="J379" s="8" t="s">
        <v>216</v>
      </c>
      <c r="K379" s="8" t="s">
        <v>217</v>
      </c>
      <c r="L379" s="8">
        <v>80219</v>
      </c>
      <c r="M379" s="8" t="s">
        <v>717</v>
      </c>
      <c r="N379" s="8" t="s">
        <v>61</v>
      </c>
      <c r="O379" s="8" t="s">
        <v>9</v>
      </c>
      <c r="P379" s="8" t="s">
        <v>16</v>
      </c>
      <c r="Q379" s="8" t="s">
        <v>60</v>
      </c>
      <c r="R379" s="15">
        <v>43.176</v>
      </c>
      <c r="S379" s="7">
        <v>3</v>
      </c>
      <c r="T379" s="16">
        <v>0.2</v>
      </c>
      <c r="U379" s="15">
        <v>4.3176</v>
      </c>
      <c r="V379" s="22">
        <v>4.3176</v>
      </c>
      <c r="W379" s="23">
        <v>34.5408</v>
      </c>
      <c r="X379" s="21" t="str" cm="1">
        <f t="array" ref="X379">IF(OR(R379:R916&lt;0,T378:T916&lt;0,C379:C917=""),"Check","OK")</f>
        <v>Check</v>
      </c>
    </row>
    <row r="380" ht="17.6" spans="1:24">
      <c r="A380" s="4">
        <v>808</v>
      </c>
      <c r="B380" s="5" t="s">
        <v>2069</v>
      </c>
      <c r="C380" s="6">
        <v>42038</v>
      </c>
      <c r="D380" s="6">
        <v>42040</v>
      </c>
      <c r="E380" s="5" t="s">
        <v>13</v>
      </c>
      <c r="F380" s="5" t="s">
        <v>119</v>
      </c>
      <c r="G380" s="5" t="s">
        <v>120</v>
      </c>
      <c r="H380" s="5" t="s">
        <v>111</v>
      </c>
      <c r="I380" s="5" t="s">
        <v>708</v>
      </c>
      <c r="J380" s="5" t="s">
        <v>123</v>
      </c>
      <c r="K380" s="5" t="s">
        <v>124</v>
      </c>
      <c r="L380" s="5">
        <v>68104</v>
      </c>
      <c r="M380" s="5" t="s">
        <v>742</v>
      </c>
      <c r="N380" s="5" t="s">
        <v>1469</v>
      </c>
      <c r="O380" s="5" t="s">
        <v>8</v>
      </c>
      <c r="P380" s="5" t="s">
        <v>727</v>
      </c>
      <c r="Q380" s="5" t="s">
        <v>1470</v>
      </c>
      <c r="R380" s="12">
        <v>28.4</v>
      </c>
      <c r="S380" s="4">
        <v>2</v>
      </c>
      <c r="T380" s="14">
        <v>0</v>
      </c>
      <c r="U380" s="12">
        <v>11.076</v>
      </c>
      <c r="V380" s="19">
        <v>11.076</v>
      </c>
      <c r="W380" s="20">
        <v>28.4</v>
      </c>
      <c r="X380" s="21" t="str" cm="1">
        <f t="array" ref="X380">IF(OR(R380:R917&lt;0,T379:T917&lt;0,C380:C918=""),"Check","OK")</f>
        <v>Check</v>
      </c>
    </row>
    <row r="381" ht="17.6" spans="1:24">
      <c r="A381" s="7">
        <v>810</v>
      </c>
      <c r="B381" s="8" t="s">
        <v>2070</v>
      </c>
      <c r="C381" s="9">
        <v>41925</v>
      </c>
      <c r="D381" s="9">
        <v>41927</v>
      </c>
      <c r="E381" s="8" t="s">
        <v>13</v>
      </c>
      <c r="F381" s="8" t="s">
        <v>689</v>
      </c>
      <c r="G381" s="8" t="s">
        <v>690</v>
      </c>
      <c r="H381" s="8" t="s">
        <v>111</v>
      </c>
      <c r="I381" s="8" t="s">
        <v>708</v>
      </c>
      <c r="J381" s="8" t="s">
        <v>691</v>
      </c>
      <c r="K381" s="8" t="s">
        <v>185</v>
      </c>
      <c r="L381" s="8">
        <v>98026</v>
      </c>
      <c r="M381" s="8" t="s">
        <v>717</v>
      </c>
      <c r="N381" s="8" t="s">
        <v>71</v>
      </c>
      <c r="O381" s="8" t="s">
        <v>9</v>
      </c>
      <c r="P381" s="8" t="s">
        <v>16</v>
      </c>
      <c r="Q381" s="8" t="s">
        <v>70</v>
      </c>
      <c r="R381" s="15">
        <v>11.52</v>
      </c>
      <c r="S381" s="7">
        <v>4</v>
      </c>
      <c r="T381" s="16">
        <v>0</v>
      </c>
      <c r="U381" s="15">
        <v>3.2256</v>
      </c>
      <c r="V381" s="22">
        <v>3.2256</v>
      </c>
      <c r="W381" s="23">
        <v>11.52</v>
      </c>
      <c r="X381" s="21" t="str" cm="1">
        <f t="array" ref="X381">IF(OR(R381:R918&lt;0,T380:T918&lt;0,C381:C919=""),"Check","OK")</f>
        <v>Check</v>
      </c>
    </row>
    <row r="382" ht="17.6" spans="1:24">
      <c r="A382" s="4">
        <v>814</v>
      </c>
      <c r="B382" s="5" t="s">
        <v>2071</v>
      </c>
      <c r="C382" s="6">
        <v>42869</v>
      </c>
      <c r="D382" s="6">
        <v>42869</v>
      </c>
      <c r="E382" s="5" t="s">
        <v>1358</v>
      </c>
      <c r="F382" s="5" t="s">
        <v>551</v>
      </c>
      <c r="G382" s="5" t="s">
        <v>552</v>
      </c>
      <c r="H382" s="5" t="s">
        <v>111</v>
      </c>
      <c r="I382" s="5" t="s">
        <v>708</v>
      </c>
      <c r="J382" s="5" t="s">
        <v>553</v>
      </c>
      <c r="K382" s="5" t="s">
        <v>136</v>
      </c>
      <c r="L382" s="5">
        <v>92704</v>
      </c>
      <c r="M382" s="5" t="s">
        <v>717</v>
      </c>
      <c r="N382" s="5" t="s">
        <v>2066</v>
      </c>
      <c r="O382" s="5" t="s">
        <v>8</v>
      </c>
      <c r="P382" s="5" t="s">
        <v>727</v>
      </c>
      <c r="Q382" s="5" t="s">
        <v>2067</v>
      </c>
      <c r="R382" s="12">
        <v>18.28</v>
      </c>
      <c r="S382" s="4">
        <v>2</v>
      </c>
      <c r="T382" s="14">
        <v>0</v>
      </c>
      <c r="U382" s="12">
        <v>6.2152</v>
      </c>
      <c r="V382" s="19">
        <v>6.2152</v>
      </c>
      <c r="W382" s="20">
        <v>18.28</v>
      </c>
      <c r="X382" s="21" t="str" cm="1">
        <f t="array" ref="X382">IF(OR(R382:R919&lt;0,T381:T919&lt;0,C382:C920=""),"Check","OK")</f>
        <v>Check</v>
      </c>
    </row>
    <row r="383" ht="17.6" spans="1:24">
      <c r="A383" s="7">
        <v>816</v>
      </c>
      <c r="B383" s="8" t="s">
        <v>2072</v>
      </c>
      <c r="C383" s="9">
        <v>42083</v>
      </c>
      <c r="D383" s="9">
        <v>42086</v>
      </c>
      <c r="E383" s="8" t="s">
        <v>13</v>
      </c>
      <c r="F383" s="8" t="s">
        <v>2073</v>
      </c>
      <c r="G383" s="8" t="s">
        <v>2074</v>
      </c>
      <c r="H383" s="8" t="s">
        <v>716</v>
      </c>
      <c r="I383" s="8" t="s">
        <v>708</v>
      </c>
      <c r="J383" s="8" t="s">
        <v>2075</v>
      </c>
      <c r="K383" s="8" t="s">
        <v>155</v>
      </c>
      <c r="L383" s="8">
        <v>53209</v>
      </c>
      <c r="M383" s="8" t="s">
        <v>742</v>
      </c>
      <c r="N383" s="8" t="s">
        <v>2076</v>
      </c>
      <c r="O383" s="8" t="s">
        <v>9</v>
      </c>
      <c r="P383" s="8" t="s">
        <v>731</v>
      </c>
      <c r="Q383" s="8" t="s">
        <v>2077</v>
      </c>
      <c r="R383" s="15">
        <v>51.84</v>
      </c>
      <c r="S383" s="7">
        <v>8</v>
      </c>
      <c r="T383" s="16">
        <v>0</v>
      </c>
      <c r="U383" s="15">
        <v>24.8832</v>
      </c>
      <c r="V383" s="22">
        <v>24.8832</v>
      </c>
      <c r="W383" s="23">
        <v>51.84</v>
      </c>
      <c r="X383" s="21" t="str" cm="1">
        <f t="array" ref="X383">IF(OR(R383:R920&lt;0,T382:T920&lt;0,C383:C921=""),"Check","OK")</f>
        <v>Check</v>
      </c>
    </row>
    <row r="384" ht="17.6" spans="1:24">
      <c r="A384" s="4">
        <v>817</v>
      </c>
      <c r="B384" s="5" t="s">
        <v>2078</v>
      </c>
      <c r="C384" s="6">
        <v>42628</v>
      </c>
      <c r="D384" s="6">
        <v>42632</v>
      </c>
      <c r="E384" s="5" t="s">
        <v>4</v>
      </c>
      <c r="F384" s="5" t="s">
        <v>270</v>
      </c>
      <c r="G384" s="5" t="s">
        <v>271</v>
      </c>
      <c r="H384" s="5" t="s">
        <v>111</v>
      </c>
      <c r="I384" s="5" t="s">
        <v>708</v>
      </c>
      <c r="J384" s="5" t="s">
        <v>175</v>
      </c>
      <c r="K384" s="5" t="s">
        <v>176</v>
      </c>
      <c r="L384" s="5">
        <v>19140</v>
      </c>
      <c r="M384" s="5" t="s">
        <v>759</v>
      </c>
      <c r="N384" s="5" t="s">
        <v>2079</v>
      </c>
      <c r="O384" s="5" t="s">
        <v>9</v>
      </c>
      <c r="P384" s="5" t="s">
        <v>731</v>
      </c>
      <c r="Q384" s="5" t="s">
        <v>2080</v>
      </c>
      <c r="R384" s="12">
        <v>5.344</v>
      </c>
      <c r="S384" s="4">
        <v>1</v>
      </c>
      <c r="T384" s="14">
        <v>0.2</v>
      </c>
      <c r="U384" s="12">
        <v>1.8704</v>
      </c>
      <c r="V384" s="19">
        <v>1.8704</v>
      </c>
      <c r="W384" s="20">
        <v>4.2752</v>
      </c>
      <c r="X384" s="21" t="str" cm="1">
        <f t="array" ref="X384">IF(OR(R384:R921&lt;0,T383:T921&lt;0,C384:C922=""),"Check","OK")</f>
        <v>Check</v>
      </c>
    </row>
    <row r="385" ht="17.6" spans="1:24">
      <c r="A385" s="7">
        <v>818</v>
      </c>
      <c r="B385" s="8" t="s">
        <v>2081</v>
      </c>
      <c r="C385" s="9">
        <v>41818</v>
      </c>
      <c r="D385" s="9">
        <v>41822</v>
      </c>
      <c r="E385" s="8" t="s">
        <v>4</v>
      </c>
      <c r="F385" s="8" t="s">
        <v>220</v>
      </c>
      <c r="G385" s="8" t="s">
        <v>221</v>
      </c>
      <c r="H385" s="8" t="s">
        <v>111</v>
      </c>
      <c r="I385" s="8" t="s">
        <v>708</v>
      </c>
      <c r="J385" s="8" t="s">
        <v>175</v>
      </c>
      <c r="K385" s="8" t="s">
        <v>176</v>
      </c>
      <c r="L385" s="8">
        <v>19140</v>
      </c>
      <c r="M385" s="8" t="s">
        <v>759</v>
      </c>
      <c r="N385" s="8" t="s">
        <v>2082</v>
      </c>
      <c r="O385" s="8" t="s">
        <v>9</v>
      </c>
      <c r="P385" s="8" t="s">
        <v>731</v>
      </c>
      <c r="Q385" s="8" t="s">
        <v>2083</v>
      </c>
      <c r="R385" s="15">
        <v>41.472</v>
      </c>
      <c r="S385" s="7">
        <v>8</v>
      </c>
      <c r="T385" s="16">
        <v>0.2</v>
      </c>
      <c r="U385" s="15">
        <v>14.5152</v>
      </c>
      <c r="V385" s="22">
        <v>14.5152</v>
      </c>
      <c r="W385" s="23">
        <v>33.1776</v>
      </c>
      <c r="X385" s="21" t="str" cm="1">
        <f t="array" ref="X385">IF(OR(R385:R922&lt;0,T384:T922&lt;0,C385:C923=""),"Check","OK")</f>
        <v>Check</v>
      </c>
    </row>
    <row r="386" ht="17.6" spans="1:24">
      <c r="A386" s="4">
        <v>823</v>
      </c>
      <c r="B386" s="5" t="s">
        <v>2084</v>
      </c>
      <c r="C386" s="6">
        <v>42906</v>
      </c>
      <c r="D386" s="6">
        <v>42913</v>
      </c>
      <c r="E386" s="5" t="s">
        <v>4</v>
      </c>
      <c r="F386" s="5" t="s">
        <v>672</v>
      </c>
      <c r="G386" s="5" t="s">
        <v>673</v>
      </c>
      <c r="H386" s="5" t="s">
        <v>111</v>
      </c>
      <c r="I386" s="5" t="s">
        <v>708</v>
      </c>
      <c r="J386" s="5" t="s">
        <v>674</v>
      </c>
      <c r="K386" s="5" t="s">
        <v>550</v>
      </c>
      <c r="L386" s="5">
        <v>7109</v>
      </c>
      <c r="M386" s="5" t="s">
        <v>759</v>
      </c>
      <c r="N386" s="5" t="s">
        <v>2085</v>
      </c>
      <c r="O386" s="5" t="s">
        <v>10</v>
      </c>
      <c r="P386" s="5" t="s">
        <v>809</v>
      </c>
      <c r="Q386" s="5" t="s">
        <v>2086</v>
      </c>
      <c r="R386" s="12">
        <v>239.97</v>
      </c>
      <c r="S386" s="4">
        <v>3</v>
      </c>
      <c r="T386" s="14">
        <v>0</v>
      </c>
      <c r="U386" s="12">
        <v>71.991</v>
      </c>
      <c r="V386" s="19">
        <v>71.991</v>
      </c>
      <c r="W386" s="20">
        <v>239.97</v>
      </c>
      <c r="X386" s="21" t="str" cm="1">
        <f t="array" ref="X386">IF(OR(R386:R923&lt;0,T385:T923&lt;0,C386:C924=""),"Check","OK")</f>
        <v>Check</v>
      </c>
    </row>
    <row r="387" ht="17.6" spans="1:24">
      <c r="A387" s="7">
        <v>825</v>
      </c>
      <c r="B387" s="8" t="s">
        <v>2087</v>
      </c>
      <c r="C387" s="9">
        <v>41768</v>
      </c>
      <c r="D387" s="9">
        <v>41774</v>
      </c>
      <c r="E387" s="8" t="s">
        <v>4</v>
      </c>
      <c r="F387" s="8" t="s">
        <v>544</v>
      </c>
      <c r="G387" s="8" t="s">
        <v>545</v>
      </c>
      <c r="H387" s="8" t="s">
        <v>111</v>
      </c>
      <c r="I387" s="8" t="s">
        <v>708</v>
      </c>
      <c r="J387" s="8" t="s">
        <v>188</v>
      </c>
      <c r="K387" s="8" t="s">
        <v>136</v>
      </c>
      <c r="L387" s="8">
        <v>94110</v>
      </c>
      <c r="M387" s="8" t="s">
        <v>717</v>
      </c>
      <c r="N387" s="8" t="s">
        <v>2088</v>
      </c>
      <c r="O387" s="8" t="s">
        <v>10</v>
      </c>
      <c r="P387" s="8" t="s">
        <v>809</v>
      </c>
      <c r="Q387" s="8" t="s">
        <v>2089</v>
      </c>
      <c r="R387" s="15">
        <v>67.8</v>
      </c>
      <c r="S387" s="7">
        <v>4</v>
      </c>
      <c r="T387" s="16">
        <v>0</v>
      </c>
      <c r="U387" s="15">
        <v>4.068</v>
      </c>
      <c r="V387" s="22">
        <v>4.068</v>
      </c>
      <c r="W387" s="23">
        <v>67.8</v>
      </c>
      <c r="X387" s="21" t="str" cm="1">
        <f t="array" ref="X387">IF(OR(R387:R924&lt;0,T386:T924&lt;0,C387:C925=""),"Check","OK")</f>
        <v>Check</v>
      </c>
    </row>
    <row r="388" ht="17.6" spans="1:24">
      <c r="A388" s="4">
        <v>827</v>
      </c>
      <c r="B388" s="5" t="s">
        <v>2090</v>
      </c>
      <c r="C388" s="6">
        <v>42968</v>
      </c>
      <c r="D388" s="6">
        <v>42975</v>
      </c>
      <c r="E388" s="5" t="s">
        <v>4</v>
      </c>
      <c r="F388" s="5" t="s">
        <v>341</v>
      </c>
      <c r="G388" s="5" t="s">
        <v>342</v>
      </c>
      <c r="H388" s="5" t="s">
        <v>111</v>
      </c>
      <c r="I388" s="5" t="s">
        <v>708</v>
      </c>
      <c r="J388" s="5" t="s">
        <v>343</v>
      </c>
      <c r="K388" s="5" t="s">
        <v>280</v>
      </c>
      <c r="L388" s="5">
        <v>55044</v>
      </c>
      <c r="M388" s="5" t="s">
        <v>742</v>
      </c>
      <c r="N388" s="5" t="s">
        <v>2091</v>
      </c>
      <c r="O388" s="5" t="s">
        <v>9</v>
      </c>
      <c r="P388" s="5" t="s">
        <v>824</v>
      </c>
      <c r="Q388" s="5" t="s">
        <v>2092</v>
      </c>
      <c r="R388" s="12">
        <v>35</v>
      </c>
      <c r="S388" s="4">
        <v>7</v>
      </c>
      <c r="T388" s="14">
        <v>0</v>
      </c>
      <c r="U388" s="12">
        <v>16.8</v>
      </c>
      <c r="V388" s="19">
        <v>16.8</v>
      </c>
      <c r="W388" s="20">
        <v>35</v>
      </c>
      <c r="X388" s="21" t="str" cm="1">
        <f t="array" ref="X388">IF(OR(R388:R925&lt;0,T387:T925&lt;0,C388:C926=""),"Check","OK")</f>
        <v>Check</v>
      </c>
    </row>
    <row r="389" ht="17.6" spans="1:24">
      <c r="A389" s="7">
        <v>830</v>
      </c>
      <c r="B389" s="8" t="s">
        <v>2093</v>
      </c>
      <c r="C389" s="9">
        <v>42902</v>
      </c>
      <c r="D389" s="9">
        <v>42907</v>
      </c>
      <c r="E389" s="8" t="s">
        <v>707</v>
      </c>
      <c r="F389" s="8" t="s">
        <v>377</v>
      </c>
      <c r="G389" s="8" t="s">
        <v>378</v>
      </c>
      <c r="H389" s="8" t="s">
        <v>111</v>
      </c>
      <c r="I389" s="8" t="s">
        <v>708</v>
      </c>
      <c r="J389" s="8" t="s">
        <v>379</v>
      </c>
      <c r="K389" s="8" t="s">
        <v>142</v>
      </c>
      <c r="L389" s="8">
        <v>41042</v>
      </c>
      <c r="M389" s="8" t="s">
        <v>709</v>
      </c>
      <c r="N389" s="8" t="s">
        <v>2094</v>
      </c>
      <c r="O389" s="8" t="s">
        <v>8</v>
      </c>
      <c r="P389" s="8" t="s">
        <v>761</v>
      </c>
      <c r="Q389" s="8" t="s">
        <v>2095</v>
      </c>
      <c r="R389" s="15">
        <v>301.96</v>
      </c>
      <c r="S389" s="7">
        <v>2</v>
      </c>
      <c r="T389" s="16">
        <v>0</v>
      </c>
      <c r="U389" s="15">
        <v>90.588</v>
      </c>
      <c r="V389" s="22">
        <v>90.588</v>
      </c>
      <c r="W389" s="23">
        <v>301.96</v>
      </c>
      <c r="X389" s="21" t="str" cm="1">
        <f t="array" ref="X389">IF(OR(R389:R926&lt;0,T388:T926&lt;0,C389:C927=""),"Check","OK")</f>
        <v>Check</v>
      </c>
    </row>
    <row r="390" ht="17.6" spans="1:24">
      <c r="A390" s="4">
        <v>834</v>
      </c>
      <c r="B390" s="5" t="s">
        <v>2096</v>
      </c>
      <c r="C390" s="6">
        <v>42574</v>
      </c>
      <c r="D390" s="6">
        <v>42578</v>
      </c>
      <c r="E390" s="5" t="s">
        <v>4</v>
      </c>
      <c r="F390" s="5" t="s">
        <v>1045</v>
      </c>
      <c r="G390" s="5" t="s">
        <v>1046</v>
      </c>
      <c r="H390" s="5" t="s">
        <v>716</v>
      </c>
      <c r="I390" s="5" t="s">
        <v>708</v>
      </c>
      <c r="J390" s="5" t="s">
        <v>179</v>
      </c>
      <c r="K390" s="5" t="s">
        <v>172</v>
      </c>
      <c r="L390" s="5">
        <v>33614</v>
      </c>
      <c r="M390" s="5" t="s">
        <v>709</v>
      </c>
      <c r="N390" s="5" t="s">
        <v>35</v>
      </c>
      <c r="O390" s="5" t="s">
        <v>9</v>
      </c>
      <c r="P390" s="5" t="s">
        <v>16</v>
      </c>
      <c r="Q390" s="5" t="s">
        <v>34</v>
      </c>
      <c r="R390" s="12">
        <v>35.216</v>
      </c>
      <c r="S390" s="4">
        <v>2</v>
      </c>
      <c r="T390" s="14">
        <v>0.2</v>
      </c>
      <c r="U390" s="12">
        <v>2.6412</v>
      </c>
      <c r="V390" s="19">
        <v>2.6412</v>
      </c>
      <c r="W390" s="20">
        <v>28.1728</v>
      </c>
      <c r="X390" s="21" t="str" cm="1">
        <f t="array" ref="X390">IF(OR(R390:R927&lt;0,T389:T927&lt;0,C390:C928=""),"Check","OK")</f>
        <v>Check</v>
      </c>
    </row>
    <row r="391" ht="17.6" spans="1:24">
      <c r="A391" s="7">
        <v>837</v>
      </c>
      <c r="B391" s="8" t="s">
        <v>2097</v>
      </c>
      <c r="C391" s="9">
        <v>41890</v>
      </c>
      <c r="D391" s="9">
        <v>41895</v>
      </c>
      <c r="E391" s="8" t="s">
        <v>707</v>
      </c>
      <c r="F391" s="8" t="s">
        <v>467</v>
      </c>
      <c r="G391" s="8" t="s">
        <v>468</v>
      </c>
      <c r="H391" s="8" t="s">
        <v>111</v>
      </c>
      <c r="I391" s="8" t="s">
        <v>708</v>
      </c>
      <c r="J391" s="8" t="s">
        <v>237</v>
      </c>
      <c r="K391" s="8" t="s">
        <v>132</v>
      </c>
      <c r="L391" s="8">
        <v>75701</v>
      </c>
      <c r="M391" s="8" t="s">
        <v>742</v>
      </c>
      <c r="N391" s="8" t="s">
        <v>2098</v>
      </c>
      <c r="O391" s="8" t="s">
        <v>9</v>
      </c>
      <c r="P391" s="8" t="s">
        <v>736</v>
      </c>
      <c r="Q391" s="8" t="s">
        <v>2099</v>
      </c>
      <c r="R391" s="15">
        <v>51.184</v>
      </c>
      <c r="S391" s="7">
        <v>4</v>
      </c>
      <c r="T391" s="16">
        <v>0.8</v>
      </c>
      <c r="U391" s="15">
        <v>-79.3352</v>
      </c>
      <c r="V391" s="22">
        <v>79.3352</v>
      </c>
      <c r="W391" s="23">
        <v>10.2368</v>
      </c>
      <c r="X391" s="21" t="str" cm="1">
        <f t="array" ref="X391">IF(OR(R391:R928&lt;0,T390:T928&lt;0,C391:C929=""),"Check","OK")</f>
        <v>Check</v>
      </c>
    </row>
    <row r="392" ht="17.6" spans="1:24">
      <c r="A392" s="4">
        <v>838</v>
      </c>
      <c r="B392" s="5" t="s">
        <v>2100</v>
      </c>
      <c r="C392" s="6">
        <v>43043</v>
      </c>
      <c r="D392" s="6">
        <v>43050</v>
      </c>
      <c r="E392" s="5" t="s">
        <v>4</v>
      </c>
      <c r="F392" s="5" t="s">
        <v>2101</v>
      </c>
      <c r="G392" s="5" t="s">
        <v>2102</v>
      </c>
      <c r="H392" s="5" t="s">
        <v>741</v>
      </c>
      <c r="I392" s="5" t="s">
        <v>708</v>
      </c>
      <c r="J392" s="5" t="s">
        <v>561</v>
      </c>
      <c r="K392" s="5" t="s">
        <v>381</v>
      </c>
      <c r="L392" s="5">
        <v>38401</v>
      </c>
      <c r="M392" s="5" t="s">
        <v>709</v>
      </c>
      <c r="N392" s="5" t="s">
        <v>2103</v>
      </c>
      <c r="O392" s="5" t="s">
        <v>9</v>
      </c>
      <c r="P392" s="5" t="s">
        <v>731</v>
      </c>
      <c r="Q392" s="5" t="s">
        <v>2104</v>
      </c>
      <c r="R392" s="12">
        <v>9.664</v>
      </c>
      <c r="S392" s="4">
        <v>2</v>
      </c>
      <c r="T392" s="14">
        <v>0.2</v>
      </c>
      <c r="U392" s="12">
        <v>3.2616</v>
      </c>
      <c r="V392" s="19">
        <v>3.2616</v>
      </c>
      <c r="W392" s="20">
        <v>7.7312</v>
      </c>
      <c r="X392" s="21" t="str" cm="1">
        <f t="array" ref="X392">IF(OR(R392:R929&lt;0,T391:T929&lt;0,C392:C930=""),"Check","OK")</f>
        <v>Check</v>
      </c>
    </row>
    <row r="393" ht="17.6" spans="1:24">
      <c r="A393" s="7">
        <v>839</v>
      </c>
      <c r="B393" s="8" t="s">
        <v>2105</v>
      </c>
      <c r="C393" s="9">
        <v>42436</v>
      </c>
      <c r="D393" s="9">
        <v>42441</v>
      </c>
      <c r="E393" s="8" t="s">
        <v>4</v>
      </c>
      <c r="F393" s="8" t="s">
        <v>1512</v>
      </c>
      <c r="G393" s="8" t="s">
        <v>1513</v>
      </c>
      <c r="H393" s="8" t="s">
        <v>716</v>
      </c>
      <c r="I393" s="8" t="s">
        <v>708</v>
      </c>
      <c r="J393" s="8" t="s">
        <v>548</v>
      </c>
      <c r="K393" s="8" t="s">
        <v>132</v>
      </c>
      <c r="L393" s="8">
        <v>76106</v>
      </c>
      <c r="M393" s="8" t="s">
        <v>742</v>
      </c>
      <c r="N393" s="8" t="s">
        <v>2106</v>
      </c>
      <c r="O393" s="8" t="s">
        <v>10</v>
      </c>
      <c r="P393" s="8" t="s">
        <v>780</v>
      </c>
      <c r="Q393" s="8" t="s">
        <v>2107</v>
      </c>
      <c r="R393" s="15">
        <v>21.072</v>
      </c>
      <c r="S393" s="7">
        <v>3</v>
      </c>
      <c r="T393" s="16">
        <v>0.2</v>
      </c>
      <c r="U393" s="15">
        <v>1.5804</v>
      </c>
      <c r="V393" s="22">
        <v>1.5804</v>
      </c>
      <c r="W393" s="23">
        <v>16.8576</v>
      </c>
      <c r="X393" s="21" t="str" cm="1">
        <f t="array" ref="X393">IF(OR(R393:R930&lt;0,T392:T930&lt;0,C393:C931=""),"Check","OK")</f>
        <v>Check</v>
      </c>
    </row>
    <row r="394" ht="17.6" spans="1:24">
      <c r="A394" s="4">
        <v>840</v>
      </c>
      <c r="B394" s="5" t="s">
        <v>2108</v>
      </c>
      <c r="C394" s="6">
        <v>42328</v>
      </c>
      <c r="D394" s="6">
        <v>42333</v>
      </c>
      <c r="E394" s="5" t="s">
        <v>4</v>
      </c>
      <c r="F394" s="5" t="s">
        <v>2109</v>
      </c>
      <c r="G394" s="5" t="s">
        <v>2110</v>
      </c>
      <c r="H394" s="5" t="s">
        <v>716</v>
      </c>
      <c r="I394" s="5" t="s">
        <v>708</v>
      </c>
      <c r="J394" s="5" t="s">
        <v>204</v>
      </c>
      <c r="K394" s="5" t="s">
        <v>168</v>
      </c>
      <c r="L394" s="5">
        <v>10035</v>
      </c>
      <c r="M394" s="5" t="s">
        <v>759</v>
      </c>
      <c r="N394" s="5" t="s">
        <v>37</v>
      </c>
      <c r="O394" s="5" t="s">
        <v>9</v>
      </c>
      <c r="P394" s="5" t="s">
        <v>16</v>
      </c>
      <c r="Q394" s="5" t="s">
        <v>36</v>
      </c>
      <c r="R394" s="12">
        <v>60.45</v>
      </c>
      <c r="S394" s="4">
        <v>3</v>
      </c>
      <c r="T394" s="14">
        <v>0</v>
      </c>
      <c r="U394" s="12">
        <v>16.3215</v>
      </c>
      <c r="V394" s="19">
        <v>16.3215</v>
      </c>
      <c r="W394" s="20">
        <v>60.45</v>
      </c>
      <c r="X394" s="21" t="str" cm="1">
        <f t="array" ref="X394">IF(OR(R394:R931&lt;0,T393:T931&lt;0,C394:C932=""),"Check","OK")</f>
        <v>Check</v>
      </c>
    </row>
    <row r="395" ht="17.6" spans="1:24">
      <c r="A395" s="7">
        <v>843</v>
      </c>
      <c r="B395" s="8" t="s">
        <v>2111</v>
      </c>
      <c r="C395" s="9">
        <v>42681</v>
      </c>
      <c r="D395" s="9">
        <v>42683</v>
      </c>
      <c r="E395" s="8" t="s">
        <v>13</v>
      </c>
      <c r="F395" s="8" t="s">
        <v>2112</v>
      </c>
      <c r="G395" s="8" t="s">
        <v>2113</v>
      </c>
      <c r="H395" s="8" t="s">
        <v>716</v>
      </c>
      <c r="I395" s="8" t="s">
        <v>708</v>
      </c>
      <c r="J395" s="8" t="s">
        <v>135</v>
      </c>
      <c r="K395" s="8" t="s">
        <v>136</v>
      </c>
      <c r="L395" s="8">
        <v>90036</v>
      </c>
      <c r="M395" s="8" t="s">
        <v>717</v>
      </c>
      <c r="N395" s="8" t="s">
        <v>2114</v>
      </c>
      <c r="O395" s="8" t="s">
        <v>9</v>
      </c>
      <c r="P395" s="8" t="s">
        <v>736</v>
      </c>
      <c r="Q395" s="8" t="s">
        <v>2115</v>
      </c>
      <c r="R395" s="15">
        <v>37.44</v>
      </c>
      <c r="S395" s="7">
        <v>4</v>
      </c>
      <c r="T395" s="16">
        <v>0.2</v>
      </c>
      <c r="U395" s="15">
        <v>11.7</v>
      </c>
      <c r="V395" s="22">
        <v>11.7</v>
      </c>
      <c r="W395" s="23">
        <v>29.952</v>
      </c>
      <c r="X395" s="21" t="str" cm="1">
        <f t="array" ref="X395">IF(OR(R395:R932&lt;0,T394:T932&lt;0,C395:C933=""),"Check","OK")</f>
        <v>Check</v>
      </c>
    </row>
    <row r="396" ht="17.6" spans="1:24">
      <c r="A396" s="4">
        <v>847</v>
      </c>
      <c r="B396" s="5" t="s">
        <v>2116</v>
      </c>
      <c r="C396" s="6">
        <v>42290</v>
      </c>
      <c r="D396" s="6">
        <v>42294</v>
      </c>
      <c r="E396" s="5" t="s">
        <v>4</v>
      </c>
      <c r="F396" s="5" t="s">
        <v>139</v>
      </c>
      <c r="G396" s="5" t="s">
        <v>140</v>
      </c>
      <c r="H396" s="5" t="s">
        <v>111</v>
      </c>
      <c r="I396" s="5" t="s">
        <v>708</v>
      </c>
      <c r="J396" s="5" t="s">
        <v>141</v>
      </c>
      <c r="K396" s="5" t="s">
        <v>142</v>
      </c>
      <c r="L396" s="5">
        <v>40214</v>
      </c>
      <c r="M396" s="5" t="s">
        <v>709</v>
      </c>
      <c r="N396" s="5" t="s">
        <v>2117</v>
      </c>
      <c r="O396" s="5" t="s">
        <v>10</v>
      </c>
      <c r="P396" s="5" t="s">
        <v>780</v>
      </c>
      <c r="Q396" s="5" t="s">
        <v>2118</v>
      </c>
      <c r="R396" s="12">
        <v>83.72</v>
      </c>
      <c r="S396" s="4">
        <v>7</v>
      </c>
      <c r="T396" s="14">
        <v>0</v>
      </c>
      <c r="U396" s="12">
        <v>23.4416</v>
      </c>
      <c r="V396" s="19">
        <v>23.4416</v>
      </c>
      <c r="W396" s="20">
        <v>83.72</v>
      </c>
      <c r="X396" s="21" t="str" cm="1">
        <f t="array" ref="X396">IF(OR(R396:R933&lt;0,T395:T933&lt;0,C396:C934=""),"Check","OK")</f>
        <v>Check</v>
      </c>
    </row>
    <row r="397" ht="17.6" spans="1:24">
      <c r="A397" s="7">
        <v>849</v>
      </c>
      <c r="B397" s="8" t="s">
        <v>2119</v>
      </c>
      <c r="C397" s="9">
        <v>42736</v>
      </c>
      <c r="D397" s="9">
        <v>42741</v>
      </c>
      <c r="E397" s="8" t="s">
        <v>4</v>
      </c>
      <c r="F397" s="8" t="s">
        <v>332</v>
      </c>
      <c r="G397" s="8" t="s">
        <v>333</v>
      </c>
      <c r="H397" s="8" t="s">
        <v>111</v>
      </c>
      <c r="I397" s="8" t="s">
        <v>708</v>
      </c>
      <c r="J397" s="8" t="s">
        <v>335</v>
      </c>
      <c r="K397" s="8" t="s">
        <v>138</v>
      </c>
      <c r="L397" s="8">
        <v>44052</v>
      </c>
      <c r="M397" s="8" t="s">
        <v>759</v>
      </c>
      <c r="N397" s="8" t="s">
        <v>2120</v>
      </c>
      <c r="O397" s="8" t="s">
        <v>8</v>
      </c>
      <c r="P397" s="8" t="s">
        <v>727</v>
      </c>
      <c r="Q397" s="8" t="s">
        <v>2121</v>
      </c>
      <c r="R397" s="15">
        <v>48.896</v>
      </c>
      <c r="S397" s="7">
        <v>4</v>
      </c>
      <c r="T397" s="16">
        <v>0.2</v>
      </c>
      <c r="U397" s="15">
        <v>8.5568</v>
      </c>
      <c r="V397" s="22">
        <v>8.5568</v>
      </c>
      <c r="W397" s="23">
        <v>39.1168</v>
      </c>
      <c r="X397" s="21" t="str" cm="1">
        <f t="array" ref="X397">IF(OR(R397:R934&lt;0,T396:T934&lt;0,C397:C935=""),"Check","OK")</f>
        <v>Check</v>
      </c>
    </row>
    <row r="398" ht="17.6" spans="1:24">
      <c r="A398" s="4">
        <v>850</v>
      </c>
      <c r="B398" s="5" t="s">
        <v>2122</v>
      </c>
      <c r="C398" s="6">
        <v>41677</v>
      </c>
      <c r="D398" s="6">
        <v>41682</v>
      </c>
      <c r="E398" s="5" t="s">
        <v>4</v>
      </c>
      <c r="F398" s="5" t="s">
        <v>2123</v>
      </c>
      <c r="G398" s="5" t="s">
        <v>2124</v>
      </c>
      <c r="H398" s="5" t="s">
        <v>716</v>
      </c>
      <c r="I398" s="5" t="s">
        <v>708</v>
      </c>
      <c r="J398" s="5" t="s">
        <v>2125</v>
      </c>
      <c r="K398" s="5" t="s">
        <v>550</v>
      </c>
      <c r="L398" s="5">
        <v>7036</v>
      </c>
      <c r="M398" s="5" t="s">
        <v>759</v>
      </c>
      <c r="N398" s="5" t="s">
        <v>2126</v>
      </c>
      <c r="O398" s="5" t="s">
        <v>10</v>
      </c>
      <c r="P398" s="5" t="s">
        <v>809</v>
      </c>
      <c r="Q398" s="5" t="s">
        <v>2127</v>
      </c>
      <c r="R398" s="12">
        <v>115.36</v>
      </c>
      <c r="S398" s="4">
        <v>7</v>
      </c>
      <c r="T398" s="14">
        <v>0</v>
      </c>
      <c r="U398" s="12">
        <v>49.6048</v>
      </c>
      <c r="V398" s="19">
        <v>49.6048</v>
      </c>
      <c r="W398" s="20">
        <v>115.36</v>
      </c>
      <c r="X398" s="21" t="str" cm="1">
        <f t="array" ref="X398">IF(OR(R398:R935&lt;0,T397:T935&lt;0,C398:C936=""),"Check","OK")</f>
        <v>Check</v>
      </c>
    </row>
    <row r="399" ht="17.6" spans="1:24">
      <c r="A399" s="7">
        <v>851</v>
      </c>
      <c r="B399" s="8" t="s">
        <v>2128</v>
      </c>
      <c r="C399" s="9">
        <v>42541</v>
      </c>
      <c r="D399" s="9">
        <v>42546</v>
      </c>
      <c r="E399" s="8" t="s">
        <v>707</v>
      </c>
      <c r="F399" s="8" t="s">
        <v>2129</v>
      </c>
      <c r="G399" s="8" t="s">
        <v>2130</v>
      </c>
      <c r="H399" s="8" t="s">
        <v>716</v>
      </c>
      <c r="I399" s="8" t="s">
        <v>708</v>
      </c>
      <c r="J399" s="8" t="s">
        <v>2131</v>
      </c>
      <c r="K399" s="8" t="s">
        <v>136</v>
      </c>
      <c r="L399" s="8">
        <v>93905</v>
      </c>
      <c r="M399" s="8" t="s">
        <v>717</v>
      </c>
      <c r="N399" s="8" t="s">
        <v>49</v>
      </c>
      <c r="O399" s="8" t="s">
        <v>9</v>
      </c>
      <c r="P399" s="8" t="s">
        <v>16</v>
      </c>
      <c r="Q399" s="8" t="s">
        <v>48</v>
      </c>
      <c r="R399" s="15">
        <v>5.16</v>
      </c>
      <c r="S399" s="7">
        <v>2</v>
      </c>
      <c r="T399" s="16">
        <v>0</v>
      </c>
      <c r="U399" s="15">
        <v>1.3416</v>
      </c>
      <c r="V399" s="22">
        <v>1.3416</v>
      </c>
      <c r="W399" s="23">
        <v>5.16</v>
      </c>
      <c r="X399" s="21" t="str" cm="1">
        <f t="array" ref="X399">IF(OR(R399:R936&lt;0,T398:T936&lt;0,C399:C937=""),"Check","OK")</f>
        <v>Check</v>
      </c>
    </row>
    <row r="400" ht="17.6" spans="1:24">
      <c r="A400" s="4">
        <v>853</v>
      </c>
      <c r="B400" s="5" t="s">
        <v>2132</v>
      </c>
      <c r="C400" s="6">
        <v>42518</v>
      </c>
      <c r="D400" s="6">
        <v>42525</v>
      </c>
      <c r="E400" s="5" t="s">
        <v>4</v>
      </c>
      <c r="F400" s="5" t="s">
        <v>683</v>
      </c>
      <c r="G400" s="5" t="s">
        <v>684</v>
      </c>
      <c r="H400" s="5" t="s">
        <v>111</v>
      </c>
      <c r="I400" s="5" t="s">
        <v>708</v>
      </c>
      <c r="J400" s="5" t="s">
        <v>490</v>
      </c>
      <c r="K400" s="5" t="s">
        <v>491</v>
      </c>
      <c r="L400" s="5">
        <v>39212</v>
      </c>
      <c r="M400" s="5" t="s">
        <v>709</v>
      </c>
      <c r="N400" s="5" t="s">
        <v>39</v>
      </c>
      <c r="O400" s="5" t="s">
        <v>9</v>
      </c>
      <c r="P400" s="5" t="s">
        <v>16</v>
      </c>
      <c r="Q400" s="5" t="s">
        <v>38</v>
      </c>
      <c r="R400" s="12">
        <v>185.88</v>
      </c>
      <c r="S400" s="4">
        <v>6</v>
      </c>
      <c r="T400" s="14">
        <v>0</v>
      </c>
      <c r="U400" s="12">
        <v>50.1876</v>
      </c>
      <c r="V400" s="19">
        <v>50.1876</v>
      </c>
      <c r="W400" s="20">
        <v>185.88</v>
      </c>
      <c r="X400" s="21" t="str" cm="1">
        <f t="array" ref="X400">IF(OR(R400:R937&lt;0,T399:T937&lt;0,C400:C938=""),"Check","OK")</f>
        <v>Check</v>
      </c>
    </row>
    <row r="401" ht="17.6" spans="1:24">
      <c r="A401" s="7">
        <v>854</v>
      </c>
      <c r="B401" s="8" t="s">
        <v>2133</v>
      </c>
      <c r="C401" s="9">
        <v>42419</v>
      </c>
      <c r="D401" s="9">
        <v>42424</v>
      </c>
      <c r="E401" s="8" t="s">
        <v>4</v>
      </c>
      <c r="F401" s="8" t="s">
        <v>341</v>
      </c>
      <c r="G401" s="8" t="s">
        <v>342</v>
      </c>
      <c r="H401" s="8" t="s">
        <v>111</v>
      </c>
      <c r="I401" s="8" t="s">
        <v>708</v>
      </c>
      <c r="J401" s="8" t="s">
        <v>204</v>
      </c>
      <c r="K401" s="8" t="s">
        <v>168</v>
      </c>
      <c r="L401" s="8">
        <v>10035</v>
      </c>
      <c r="M401" s="8" t="s">
        <v>759</v>
      </c>
      <c r="N401" s="8" t="s">
        <v>2055</v>
      </c>
      <c r="O401" s="8" t="s">
        <v>8</v>
      </c>
      <c r="P401" s="8" t="s">
        <v>727</v>
      </c>
      <c r="Q401" s="8" t="s">
        <v>2056</v>
      </c>
      <c r="R401" s="15">
        <v>44.46</v>
      </c>
      <c r="S401" s="7">
        <v>2</v>
      </c>
      <c r="T401" s="16">
        <v>0</v>
      </c>
      <c r="U401" s="15">
        <v>14.6718</v>
      </c>
      <c r="V401" s="22">
        <v>14.6718</v>
      </c>
      <c r="W401" s="23">
        <v>44.46</v>
      </c>
      <c r="X401" s="21" t="str" cm="1">
        <f t="array" ref="X401">IF(OR(R401:R938&lt;0,T400:T938&lt;0,C401:C939=""),"Check","OK")</f>
        <v>Check</v>
      </c>
    </row>
    <row r="402" ht="17.6" spans="1:24">
      <c r="A402" s="4">
        <v>856</v>
      </c>
      <c r="B402" s="5" t="s">
        <v>2134</v>
      </c>
      <c r="C402" s="6">
        <v>41854</v>
      </c>
      <c r="D402" s="6">
        <v>41859</v>
      </c>
      <c r="E402" s="5" t="s">
        <v>4</v>
      </c>
      <c r="F402" s="5" t="s">
        <v>202</v>
      </c>
      <c r="G402" s="5" t="s">
        <v>203</v>
      </c>
      <c r="H402" s="5" t="s">
        <v>111</v>
      </c>
      <c r="I402" s="5" t="s">
        <v>708</v>
      </c>
      <c r="J402" s="5" t="s">
        <v>204</v>
      </c>
      <c r="K402" s="5" t="s">
        <v>168</v>
      </c>
      <c r="L402" s="5">
        <v>10035</v>
      </c>
      <c r="M402" s="5" t="s">
        <v>759</v>
      </c>
      <c r="N402" s="5" t="s">
        <v>2135</v>
      </c>
      <c r="O402" s="5" t="s">
        <v>9</v>
      </c>
      <c r="P402" s="5" t="s">
        <v>731</v>
      </c>
      <c r="Q402" s="5" t="s">
        <v>2136</v>
      </c>
      <c r="R402" s="12">
        <v>39.96</v>
      </c>
      <c r="S402" s="4">
        <v>2</v>
      </c>
      <c r="T402" s="14">
        <v>0</v>
      </c>
      <c r="U402" s="12">
        <v>18.7812</v>
      </c>
      <c r="V402" s="19">
        <v>18.7812</v>
      </c>
      <c r="W402" s="20">
        <v>39.96</v>
      </c>
      <c r="X402" s="21" t="str" cm="1">
        <f t="array" ref="X402">IF(OR(R402:R939&lt;0,T401:T939&lt;0,C402:C940=""),"Check","OK")</f>
        <v>Check</v>
      </c>
    </row>
    <row r="403" ht="17.6" spans="1:24">
      <c r="A403" s="7">
        <v>859</v>
      </c>
      <c r="B403" s="8" t="s">
        <v>2137</v>
      </c>
      <c r="C403" s="9">
        <v>42835</v>
      </c>
      <c r="D403" s="9">
        <v>42840</v>
      </c>
      <c r="E403" s="8" t="s">
        <v>4</v>
      </c>
      <c r="F403" s="8" t="s">
        <v>2138</v>
      </c>
      <c r="G403" s="8" t="s">
        <v>2139</v>
      </c>
      <c r="H403" s="8" t="s">
        <v>741</v>
      </c>
      <c r="I403" s="8" t="s">
        <v>708</v>
      </c>
      <c r="J403" s="8" t="s">
        <v>2140</v>
      </c>
      <c r="K403" s="8" t="s">
        <v>550</v>
      </c>
      <c r="L403" s="8">
        <v>8901</v>
      </c>
      <c r="M403" s="8" t="s">
        <v>759</v>
      </c>
      <c r="N403" s="8" t="s">
        <v>1172</v>
      </c>
      <c r="O403" s="8" t="s">
        <v>9</v>
      </c>
      <c r="P403" s="8" t="s">
        <v>731</v>
      </c>
      <c r="Q403" s="8" t="s">
        <v>1173</v>
      </c>
      <c r="R403" s="15">
        <v>7.61</v>
      </c>
      <c r="S403" s="7">
        <v>1</v>
      </c>
      <c r="T403" s="16">
        <v>0</v>
      </c>
      <c r="U403" s="15">
        <v>3.5767</v>
      </c>
      <c r="V403" s="22">
        <v>3.5767</v>
      </c>
      <c r="W403" s="23">
        <v>7.61</v>
      </c>
      <c r="X403" s="21" t="str" cm="1">
        <f t="array" ref="X403">IF(OR(R403:R940&lt;0,T402:T940&lt;0,C403:C941=""),"Check","OK")</f>
        <v>Check</v>
      </c>
    </row>
    <row r="404" ht="17.6" spans="1:24">
      <c r="A404" s="4">
        <v>861</v>
      </c>
      <c r="B404" s="5" t="s">
        <v>2141</v>
      </c>
      <c r="C404" s="6">
        <v>41799</v>
      </c>
      <c r="D404" s="6">
        <v>41806</v>
      </c>
      <c r="E404" s="5" t="s">
        <v>4</v>
      </c>
      <c r="F404" s="5" t="s">
        <v>258</v>
      </c>
      <c r="G404" s="5" t="s">
        <v>259</v>
      </c>
      <c r="H404" s="5" t="s">
        <v>111</v>
      </c>
      <c r="I404" s="5" t="s">
        <v>708</v>
      </c>
      <c r="J404" s="5" t="s">
        <v>188</v>
      </c>
      <c r="K404" s="5" t="s">
        <v>136</v>
      </c>
      <c r="L404" s="5">
        <v>94122</v>
      </c>
      <c r="M404" s="5" t="s">
        <v>717</v>
      </c>
      <c r="N404" s="5" t="s">
        <v>2142</v>
      </c>
      <c r="O404" s="5" t="s">
        <v>9</v>
      </c>
      <c r="P404" s="5" t="s">
        <v>1428</v>
      </c>
      <c r="Q404" s="5" t="s">
        <v>2143</v>
      </c>
      <c r="R404" s="12">
        <v>7.36</v>
      </c>
      <c r="S404" s="4">
        <v>2</v>
      </c>
      <c r="T404" s="14">
        <v>0</v>
      </c>
      <c r="U404" s="12">
        <v>0.1472</v>
      </c>
      <c r="V404" s="19">
        <v>0.1472</v>
      </c>
      <c r="W404" s="20">
        <v>7.36</v>
      </c>
      <c r="X404" s="21" t="str" cm="1">
        <f t="array" ref="X404">IF(OR(R404:R941&lt;0,T403:T941&lt;0,C404:C942=""),"Check","OK")</f>
        <v>Check</v>
      </c>
    </row>
    <row r="405" ht="17.6" spans="1:24">
      <c r="A405" s="7">
        <v>863</v>
      </c>
      <c r="B405" s="8" t="s">
        <v>2144</v>
      </c>
      <c r="C405" s="9">
        <v>42374</v>
      </c>
      <c r="D405" s="9">
        <v>42376</v>
      </c>
      <c r="E405" s="8" t="s">
        <v>707</v>
      </c>
      <c r="F405" s="8" t="s">
        <v>2006</v>
      </c>
      <c r="G405" s="8" t="s">
        <v>2007</v>
      </c>
      <c r="H405" s="8" t="s">
        <v>716</v>
      </c>
      <c r="I405" s="8" t="s">
        <v>708</v>
      </c>
      <c r="J405" s="8" t="s">
        <v>408</v>
      </c>
      <c r="K405" s="8" t="s">
        <v>172</v>
      </c>
      <c r="L405" s="8">
        <v>32216</v>
      </c>
      <c r="M405" s="8" t="s">
        <v>709</v>
      </c>
      <c r="N405" s="8" t="s">
        <v>2145</v>
      </c>
      <c r="O405" s="8" t="s">
        <v>10</v>
      </c>
      <c r="P405" s="8" t="s">
        <v>809</v>
      </c>
      <c r="Q405" s="8" t="s">
        <v>2146</v>
      </c>
      <c r="R405" s="15">
        <v>191.472</v>
      </c>
      <c r="S405" s="7">
        <v>6</v>
      </c>
      <c r="T405" s="16">
        <v>0.2</v>
      </c>
      <c r="U405" s="15">
        <v>40.6878</v>
      </c>
      <c r="V405" s="22">
        <v>40.6878</v>
      </c>
      <c r="W405" s="23">
        <v>153.1776</v>
      </c>
      <c r="X405" s="21" t="str" cm="1">
        <f t="array" ref="X405">IF(OR(R405:R942&lt;0,T404:T942&lt;0,C405:C943=""),"Check","OK")</f>
        <v>Check</v>
      </c>
    </row>
    <row r="406" ht="17.6" spans="1:24">
      <c r="A406" s="4">
        <v>866</v>
      </c>
      <c r="B406" s="5" t="s">
        <v>2147</v>
      </c>
      <c r="C406" s="6">
        <v>41649</v>
      </c>
      <c r="D406" s="6">
        <v>41654</v>
      </c>
      <c r="E406" s="5" t="s">
        <v>4</v>
      </c>
      <c r="F406" s="5" t="s">
        <v>2148</v>
      </c>
      <c r="G406" s="5" t="s">
        <v>2149</v>
      </c>
      <c r="H406" s="5" t="s">
        <v>716</v>
      </c>
      <c r="I406" s="5" t="s">
        <v>708</v>
      </c>
      <c r="J406" s="5" t="s">
        <v>287</v>
      </c>
      <c r="K406" s="5" t="s">
        <v>288</v>
      </c>
      <c r="L406" s="5">
        <v>22153</v>
      </c>
      <c r="M406" s="5" t="s">
        <v>709</v>
      </c>
      <c r="N406" s="5" t="s">
        <v>2150</v>
      </c>
      <c r="O406" s="5" t="s">
        <v>9</v>
      </c>
      <c r="P406" s="5" t="s">
        <v>719</v>
      </c>
      <c r="Q406" s="5" t="s">
        <v>2151</v>
      </c>
      <c r="R406" s="12">
        <v>2.89</v>
      </c>
      <c r="S406" s="4">
        <v>1</v>
      </c>
      <c r="T406" s="14">
        <v>0</v>
      </c>
      <c r="U406" s="12">
        <v>1.3583</v>
      </c>
      <c r="V406" s="19">
        <v>1.3583</v>
      </c>
      <c r="W406" s="20">
        <v>2.89</v>
      </c>
      <c r="X406" s="21" t="str" cm="1">
        <f t="array" ref="X406">IF(OR(R406:R943&lt;0,T405:T943&lt;0,C406:C944=""),"Check","OK")</f>
        <v>Check</v>
      </c>
    </row>
    <row r="407" ht="17.6" spans="1:24">
      <c r="A407" s="7">
        <v>868</v>
      </c>
      <c r="B407" s="8" t="s">
        <v>2152</v>
      </c>
      <c r="C407" s="9">
        <v>42642</v>
      </c>
      <c r="D407" s="9">
        <v>42645</v>
      </c>
      <c r="E407" s="8" t="s">
        <v>13</v>
      </c>
      <c r="F407" s="8" t="s">
        <v>2153</v>
      </c>
      <c r="G407" s="8" t="s">
        <v>2154</v>
      </c>
      <c r="H407" s="8" t="s">
        <v>716</v>
      </c>
      <c r="I407" s="8" t="s">
        <v>708</v>
      </c>
      <c r="J407" s="8" t="s">
        <v>175</v>
      </c>
      <c r="K407" s="8" t="s">
        <v>176</v>
      </c>
      <c r="L407" s="8">
        <v>19140</v>
      </c>
      <c r="M407" s="8" t="s">
        <v>759</v>
      </c>
      <c r="N407" s="8" t="s">
        <v>2155</v>
      </c>
      <c r="O407" s="8" t="s">
        <v>9</v>
      </c>
      <c r="P407" s="8" t="s">
        <v>719</v>
      </c>
      <c r="Q407" s="8" t="s">
        <v>2156</v>
      </c>
      <c r="R407" s="15">
        <v>15.936</v>
      </c>
      <c r="S407" s="7">
        <v>4</v>
      </c>
      <c r="T407" s="16">
        <v>0.2</v>
      </c>
      <c r="U407" s="15">
        <v>5.1792</v>
      </c>
      <c r="V407" s="22">
        <v>5.1792</v>
      </c>
      <c r="W407" s="23">
        <v>12.7488</v>
      </c>
      <c r="X407" s="21" t="str" cm="1">
        <f t="array" ref="X407">IF(OR(R407:R944&lt;0,T406:T944&lt;0,C407:C945=""),"Check","OK")</f>
        <v>Check</v>
      </c>
    </row>
    <row r="408" ht="17.6" spans="1:24">
      <c r="A408" s="4">
        <v>869</v>
      </c>
      <c r="B408" s="5" t="s">
        <v>2157</v>
      </c>
      <c r="C408" s="6">
        <v>41735</v>
      </c>
      <c r="D408" s="6">
        <v>41739</v>
      </c>
      <c r="E408" s="5" t="s">
        <v>4</v>
      </c>
      <c r="F408" s="5" t="s">
        <v>2158</v>
      </c>
      <c r="G408" s="5" t="s">
        <v>2159</v>
      </c>
      <c r="H408" s="5" t="s">
        <v>716</v>
      </c>
      <c r="I408" s="5" t="s">
        <v>708</v>
      </c>
      <c r="J408" s="5" t="s">
        <v>251</v>
      </c>
      <c r="K408" s="5" t="s">
        <v>176</v>
      </c>
      <c r="L408" s="5">
        <v>17602</v>
      </c>
      <c r="M408" s="5" t="s">
        <v>759</v>
      </c>
      <c r="N408" s="5" t="s">
        <v>2160</v>
      </c>
      <c r="O408" s="5" t="s">
        <v>9</v>
      </c>
      <c r="P408" s="5" t="s">
        <v>736</v>
      </c>
      <c r="Q408" s="5" t="s">
        <v>2161</v>
      </c>
      <c r="R408" s="12">
        <v>44.91</v>
      </c>
      <c r="S408" s="4">
        <v>6</v>
      </c>
      <c r="T408" s="14">
        <v>0.7</v>
      </c>
      <c r="U408" s="12">
        <v>-35.928</v>
      </c>
      <c r="V408" s="19">
        <v>35.928</v>
      </c>
      <c r="W408" s="20">
        <v>13.473</v>
      </c>
      <c r="X408" s="21" t="str" cm="1">
        <f t="array" ref="X408">IF(OR(R408:R945&lt;0,T407:T945&lt;0,C408:C946=""),"Check","OK")</f>
        <v>Check</v>
      </c>
    </row>
    <row r="409" ht="17.6" spans="1:24">
      <c r="A409" s="7">
        <v>870</v>
      </c>
      <c r="B409" s="8" t="s">
        <v>2162</v>
      </c>
      <c r="C409" s="9">
        <v>42616</v>
      </c>
      <c r="D409" s="9">
        <v>42618</v>
      </c>
      <c r="E409" s="8" t="s">
        <v>13</v>
      </c>
      <c r="F409" s="8" t="s">
        <v>2163</v>
      </c>
      <c r="G409" s="8" t="s">
        <v>2164</v>
      </c>
      <c r="H409" s="8" t="s">
        <v>741</v>
      </c>
      <c r="I409" s="8" t="s">
        <v>708</v>
      </c>
      <c r="J409" s="8" t="s">
        <v>175</v>
      </c>
      <c r="K409" s="8" t="s">
        <v>176</v>
      </c>
      <c r="L409" s="8">
        <v>19143</v>
      </c>
      <c r="M409" s="8" t="s">
        <v>759</v>
      </c>
      <c r="N409" s="8" t="s">
        <v>2165</v>
      </c>
      <c r="O409" s="8" t="s">
        <v>9</v>
      </c>
      <c r="P409" s="8" t="s">
        <v>736</v>
      </c>
      <c r="Q409" s="8" t="s">
        <v>2166</v>
      </c>
      <c r="R409" s="15">
        <v>1141.47</v>
      </c>
      <c r="S409" s="7">
        <v>5</v>
      </c>
      <c r="T409" s="16">
        <v>0.7</v>
      </c>
      <c r="U409" s="15">
        <v>-760.98</v>
      </c>
      <c r="V409" s="22">
        <v>760.98</v>
      </c>
      <c r="W409" s="23">
        <v>342.441</v>
      </c>
      <c r="X409" s="21" t="str" cm="1">
        <f t="array" ref="X409">IF(OR(R409:R946&lt;0,T408:T946&lt;0,C409:C947=""),"Check","OK")</f>
        <v>Check</v>
      </c>
    </row>
    <row r="410" ht="17.6" spans="1:24">
      <c r="A410" s="4">
        <v>872</v>
      </c>
      <c r="B410" s="5" t="s">
        <v>2167</v>
      </c>
      <c r="C410" s="6">
        <v>42296</v>
      </c>
      <c r="D410" s="6">
        <v>42297</v>
      </c>
      <c r="E410" s="5" t="s">
        <v>13</v>
      </c>
      <c r="F410" s="5" t="s">
        <v>656</v>
      </c>
      <c r="G410" s="5" t="s">
        <v>657</v>
      </c>
      <c r="H410" s="5" t="s">
        <v>111</v>
      </c>
      <c r="I410" s="5" t="s">
        <v>708</v>
      </c>
      <c r="J410" s="5" t="s">
        <v>127</v>
      </c>
      <c r="K410" s="5" t="s">
        <v>658</v>
      </c>
      <c r="L410" s="5">
        <v>3301</v>
      </c>
      <c r="M410" s="5" t="s">
        <v>759</v>
      </c>
      <c r="N410" s="5" t="s">
        <v>2168</v>
      </c>
      <c r="O410" s="5" t="s">
        <v>9</v>
      </c>
      <c r="P410" s="5" t="s">
        <v>731</v>
      </c>
      <c r="Q410" s="5" t="s">
        <v>2169</v>
      </c>
      <c r="R410" s="12">
        <v>34.44</v>
      </c>
      <c r="S410" s="4">
        <v>3</v>
      </c>
      <c r="T410" s="14">
        <v>0</v>
      </c>
      <c r="U410" s="12">
        <v>17.22</v>
      </c>
      <c r="V410" s="19">
        <v>17.22</v>
      </c>
      <c r="W410" s="20">
        <v>34.44</v>
      </c>
      <c r="X410" s="21" t="str" cm="1">
        <f t="array" ref="X410">IF(OR(R410:R947&lt;0,T409:T947&lt;0,C410:C948=""),"Check","OK")</f>
        <v>Check</v>
      </c>
    </row>
    <row r="411" ht="17.6" spans="1:24">
      <c r="A411" s="7">
        <v>873</v>
      </c>
      <c r="B411" s="8" t="s">
        <v>2170</v>
      </c>
      <c r="C411" s="9">
        <v>41983</v>
      </c>
      <c r="D411" s="9">
        <v>41988</v>
      </c>
      <c r="E411" s="8" t="s">
        <v>4</v>
      </c>
      <c r="F411" s="8" t="s">
        <v>639</v>
      </c>
      <c r="G411" s="8" t="s">
        <v>640</v>
      </c>
      <c r="H411" s="8" t="s">
        <v>111</v>
      </c>
      <c r="I411" s="8" t="s">
        <v>708</v>
      </c>
      <c r="J411" s="8" t="s">
        <v>204</v>
      </c>
      <c r="K411" s="8" t="s">
        <v>168</v>
      </c>
      <c r="L411" s="8">
        <v>10009</v>
      </c>
      <c r="M411" s="8" t="s">
        <v>759</v>
      </c>
      <c r="N411" s="8" t="s">
        <v>2171</v>
      </c>
      <c r="O411" s="8" t="s">
        <v>9</v>
      </c>
      <c r="P411" s="8" t="s">
        <v>731</v>
      </c>
      <c r="Q411" s="8" t="s">
        <v>2172</v>
      </c>
      <c r="R411" s="15">
        <v>11.36</v>
      </c>
      <c r="S411" s="7">
        <v>2</v>
      </c>
      <c r="T411" s="16">
        <v>0</v>
      </c>
      <c r="U411" s="15">
        <v>5.2256</v>
      </c>
      <c r="V411" s="22">
        <v>5.2256</v>
      </c>
      <c r="W411" s="23">
        <v>11.36</v>
      </c>
      <c r="X411" s="21" t="str" cm="1">
        <f t="array" ref="X411">IF(OR(R411:R948&lt;0,T410:T948&lt;0,C411:C949=""),"Check","OK")</f>
        <v>Check</v>
      </c>
    </row>
    <row r="412" ht="17.6" spans="1:24">
      <c r="A412" s="4">
        <v>875</v>
      </c>
      <c r="B412" s="5" t="s">
        <v>2173</v>
      </c>
      <c r="C412" s="6">
        <v>42972</v>
      </c>
      <c r="D412" s="6">
        <v>42976</v>
      </c>
      <c r="E412" s="5" t="s">
        <v>4</v>
      </c>
      <c r="F412" s="5" t="s">
        <v>332</v>
      </c>
      <c r="G412" s="5" t="s">
        <v>333</v>
      </c>
      <c r="H412" s="5" t="s">
        <v>111</v>
      </c>
      <c r="I412" s="5" t="s">
        <v>708</v>
      </c>
      <c r="J412" s="5" t="s">
        <v>334</v>
      </c>
      <c r="K412" s="5" t="s">
        <v>128</v>
      </c>
      <c r="L412" s="5">
        <v>28205</v>
      </c>
      <c r="M412" s="5" t="s">
        <v>709</v>
      </c>
      <c r="N412" s="5" t="s">
        <v>2174</v>
      </c>
      <c r="O412" s="5" t="s">
        <v>9</v>
      </c>
      <c r="P412" s="5" t="s">
        <v>731</v>
      </c>
      <c r="Q412" s="5" t="s">
        <v>2175</v>
      </c>
      <c r="R412" s="12">
        <v>192.16</v>
      </c>
      <c r="S412" s="4">
        <v>5</v>
      </c>
      <c r="T412" s="14">
        <v>0.2</v>
      </c>
      <c r="U412" s="12">
        <v>67.256</v>
      </c>
      <c r="V412" s="19">
        <v>67.256</v>
      </c>
      <c r="W412" s="20">
        <v>153.728</v>
      </c>
      <c r="X412" s="21" t="str" cm="1">
        <f t="array" ref="X412">IF(OR(R412:R949&lt;0,T411:T949&lt;0,C412:C950=""),"Check","OK")</f>
        <v>Check</v>
      </c>
    </row>
    <row r="413" ht="17.6" spans="1:24">
      <c r="A413" s="7">
        <v>876</v>
      </c>
      <c r="B413" s="8" t="s">
        <v>2176</v>
      </c>
      <c r="C413" s="9">
        <v>42386</v>
      </c>
      <c r="D413" s="9">
        <v>42390</v>
      </c>
      <c r="E413" s="8" t="s">
        <v>4</v>
      </c>
      <c r="F413" s="8" t="s">
        <v>1808</v>
      </c>
      <c r="G413" s="8" t="s">
        <v>1809</v>
      </c>
      <c r="H413" s="8" t="s">
        <v>741</v>
      </c>
      <c r="I413" s="8" t="s">
        <v>708</v>
      </c>
      <c r="J413" s="8" t="s">
        <v>127</v>
      </c>
      <c r="K413" s="8" t="s">
        <v>658</v>
      </c>
      <c r="L413" s="8">
        <v>3301</v>
      </c>
      <c r="M413" s="8" t="s">
        <v>759</v>
      </c>
      <c r="N413" s="8" t="s">
        <v>2177</v>
      </c>
      <c r="O413" s="8" t="s">
        <v>8</v>
      </c>
      <c r="P413" s="8" t="s">
        <v>727</v>
      </c>
      <c r="Q413" s="8" t="s">
        <v>2178</v>
      </c>
      <c r="R413" s="15">
        <v>322.59</v>
      </c>
      <c r="S413" s="7">
        <v>3</v>
      </c>
      <c r="T413" s="16">
        <v>0</v>
      </c>
      <c r="U413" s="15">
        <v>64.518</v>
      </c>
      <c r="V413" s="22">
        <v>64.518</v>
      </c>
      <c r="W413" s="23">
        <v>322.59</v>
      </c>
      <c r="X413" s="21" t="str" cm="1">
        <f t="array" ref="X413">IF(OR(R413:R950&lt;0,T412:T950&lt;0,C413:C951=""),"Check","OK")</f>
        <v>Check</v>
      </c>
    </row>
    <row r="414" ht="17.6" spans="1:24">
      <c r="A414" s="4">
        <v>879</v>
      </c>
      <c r="B414" s="5" t="s">
        <v>2179</v>
      </c>
      <c r="C414" s="6">
        <v>41899</v>
      </c>
      <c r="D414" s="6">
        <v>41903</v>
      </c>
      <c r="E414" s="5" t="s">
        <v>4</v>
      </c>
      <c r="F414" s="5" t="s">
        <v>2180</v>
      </c>
      <c r="G414" s="5" t="s">
        <v>2181</v>
      </c>
      <c r="H414" s="5" t="s">
        <v>741</v>
      </c>
      <c r="I414" s="5" t="s">
        <v>708</v>
      </c>
      <c r="J414" s="5" t="s">
        <v>175</v>
      </c>
      <c r="K414" s="5" t="s">
        <v>176</v>
      </c>
      <c r="L414" s="5">
        <v>19120</v>
      </c>
      <c r="M414" s="5" t="s">
        <v>759</v>
      </c>
      <c r="N414" s="5" t="s">
        <v>2182</v>
      </c>
      <c r="O414" s="5" t="s">
        <v>9</v>
      </c>
      <c r="P414" s="5" t="s">
        <v>736</v>
      </c>
      <c r="Q414" s="5" t="s">
        <v>2183</v>
      </c>
      <c r="R414" s="12">
        <v>5.892</v>
      </c>
      <c r="S414" s="4">
        <v>4</v>
      </c>
      <c r="T414" s="14">
        <v>0.7</v>
      </c>
      <c r="U414" s="12">
        <v>-4.1244</v>
      </c>
      <c r="V414" s="19">
        <v>4.1244</v>
      </c>
      <c r="W414" s="20">
        <v>1.7676</v>
      </c>
      <c r="X414" s="21" t="str" cm="1">
        <f t="array" ref="X414">IF(OR(R414:R951&lt;0,T413:T951&lt;0,C414:C952=""),"Check","OK")</f>
        <v>Check</v>
      </c>
    </row>
    <row r="415" ht="17.6" spans="1:24">
      <c r="A415" s="7">
        <v>880</v>
      </c>
      <c r="B415" s="8" t="s">
        <v>2184</v>
      </c>
      <c r="C415" s="9">
        <v>43069</v>
      </c>
      <c r="D415" s="9">
        <v>43071</v>
      </c>
      <c r="E415" s="8" t="s">
        <v>707</v>
      </c>
      <c r="F415" s="8" t="s">
        <v>739</v>
      </c>
      <c r="G415" s="8" t="s">
        <v>740</v>
      </c>
      <c r="H415" s="8" t="s">
        <v>741</v>
      </c>
      <c r="I415" s="8" t="s">
        <v>708</v>
      </c>
      <c r="J415" s="8" t="s">
        <v>204</v>
      </c>
      <c r="K415" s="8" t="s">
        <v>168</v>
      </c>
      <c r="L415" s="8">
        <v>10024</v>
      </c>
      <c r="M415" s="8" t="s">
        <v>759</v>
      </c>
      <c r="N415" s="8" t="s">
        <v>2185</v>
      </c>
      <c r="O415" s="8" t="s">
        <v>9</v>
      </c>
      <c r="P415" s="8" t="s">
        <v>736</v>
      </c>
      <c r="Q415" s="8" t="s">
        <v>2186</v>
      </c>
      <c r="R415" s="15">
        <v>68.472</v>
      </c>
      <c r="S415" s="7">
        <v>3</v>
      </c>
      <c r="T415" s="16">
        <v>0.2</v>
      </c>
      <c r="U415" s="15">
        <v>23.1093</v>
      </c>
      <c r="V415" s="22">
        <v>23.1093</v>
      </c>
      <c r="W415" s="23">
        <v>54.7776</v>
      </c>
      <c r="X415" s="21" t="str" cm="1">
        <f t="array" ref="X415">IF(OR(R415:R952&lt;0,T414:T952&lt;0,C415:C953=""),"Check","OK")</f>
        <v>Check</v>
      </c>
    </row>
    <row r="416" ht="17.6" spans="1:24">
      <c r="A416" s="4">
        <v>882</v>
      </c>
      <c r="B416" s="5" t="s">
        <v>2187</v>
      </c>
      <c r="C416" s="6">
        <v>42286</v>
      </c>
      <c r="D416" s="6">
        <v>42290</v>
      </c>
      <c r="E416" s="5" t="s">
        <v>4</v>
      </c>
      <c r="F416" s="5" t="s">
        <v>285</v>
      </c>
      <c r="G416" s="5" t="s">
        <v>286</v>
      </c>
      <c r="H416" s="5" t="s">
        <v>111</v>
      </c>
      <c r="I416" s="5" t="s">
        <v>708</v>
      </c>
      <c r="J416" s="5" t="s">
        <v>287</v>
      </c>
      <c r="K416" s="5" t="s">
        <v>288</v>
      </c>
      <c r="L416" s="5">
        <v>22153</v>
      </c>
      <c r="M416" s="5" t="s">
        <v>709</v>
      </c>
      <c r="N416" s="5" t="s">
        <v>2188</v>
      </c>
      <c r="O416" s="5" t="s">
        <v>9</v>
      </c>
      <c r="P416" s="5" t="s">
        <v>748</v>
      </c>
      <c r="Q416" s="5" t="s">
        <v>2189</v>
      </c>
      <c r="R416" s="12">
        <v>30.84</v>
      </c>
      <c r="S416" s="4">
        <v>2</v>
      </c>
      <c r="T416" s="14">
        <v>0</v>
      </c>
      <c r="U416" s="12">
        <v>8.3268</v>
      </c>
      <c r="V416" s="19">
        <v>8.3268</v>
      </c>
      <c r="W416" s="20">
        <v>30.84</v>
      </c>
      <c r="X416" s="21" t="str" cm="1">
        <f t="array" ref="X416">IF(OR(R416:R953&lt;0,T415:T953&lt;0,C416:C954=""),"Check","OK")</f>
        <v>Check</v>
      </c>
    </row>
    <row r="417" ht="17.6" spans="1:24">
      <c r="A417" s="7">
        <v>883</v>
      </c>
      <c r="B417" s="8" t="s">
        <v>2190</v>
      </c>
      <c r="C417" s="9">
        <v>43092</v>
      </c>
      <c r="D417" s="9">
        <v>43092</v>
      </c>
      <c r="E417" s="8" t="s">
        <v>1358</v>
      </c>
      <c r="F417" s="8" t="s">
        <v>348</v>
      </c>
      <c r="G417" s="8" t="s">
        <v>349</v>
      </c>
      <c r="H417" s="8" t="s">
        <v>111</v>
      </c>
      <c r="I417" s="8" t="s">
        <v>708</v>
      </c>
      <c r="J417" s="8" t="s">
        <v>188</v>
      </c>
      <c r="K417" s="8" t="s">
        <v>136</v>
      </c>
      <c r="L417" s="8">
        <v>94109</v>
      </c>
      <c r="M417" s="8" t="s">
        <v>717</v>
      </c>
      <c r="N417" s="8" t="s">
        <v>31</v>
      </c>
      <c r="O417" s="8" t="s">
        <v>9</v>
      </c>
      <c r="P417" s="8" t="s">
        <v>16</v>
      </c>
      <c r="Q417" s="8" t="s">
        <v>30</v>
      </c>
      <c r="R417" s="15">
        <v>13.48</v>
      </c>
      <c r="S417" s="7">
        <v>4</v>
      </c>
      <c r="T417" s="16">
        <v>0</v>
      </c>
      <c r="U417" s="15">
        <v>5.9312</v>
      </c>
      <c r="V417" s="22">
        <v>5.9312</v>
      </c>
      <c r="W417" s="23">
        <v>13.48</v>
      </c>
      <c r="X417" s="21" t="str" cm="1">
        <f t="array" ref="X417">IF(OR(R417:R954&lt;0,T416:T954&lt;0,C417:C955=""),"Check","OK")</f>
        <v>Check</v>
      </c>
    </row>
    <row r="418" ht="17.6" spans="1:24">
      <c r="A418" s="4">
        <v>884</v>
      </c>
      <c r="B418" s="5" t="s">
        <v>2191</v>
      </c>
      <c r="C418" s="6">
        <v>42665</v>
      </c>
      <c r="D418" s="6">
        <v>42667</v>
      </c>
      <c r="E418" s="5" t="s">
        <v>13</v>
      </c>
      <c r="F418" s="5" t="s">
        <v>2192</v>
      </c>
      <c r="G418" s="5" t="s">
        <v>2193</v>
      </c>
      <c r="H418" s="5" t="s">
        <v>741</v>
      </c>
      <c r="I418" s="5" t="s">
        <v>708</v>
      </c>
      <c r="J418" s="5" t="s">
        <v>162</v>
      </c>
      <c r="K418" s="5" t="s">
        <v>163</v>
      </c>
      <c r="L418" s="5">
        <v>48227</v>
      </c>
      <c r="M418" s="5" t="s">
        <v>742</v>
      </c>
      <c r="N418" s="5" t="s">
        <v>1795</v>
      </c>
      <c r="O418" s="5" t="s">
        <v>8</v>
      </c>
      <c r="P418" s="5" t="s">
        <v>727</v>
      </c>
      <c r="Q418" s="5" t="s">
        <v>1796</v>
      </c>
      <c r="R418" s="12">
        <v>31.4</v>
      </c>
      <c r="S418" s="4">
        <v>5</v>
      </c>
      <c r="T418" s="14">
        <v>0</v>
      </c>
      <c r="U418" s="12">
        <v>10.048</v>
      </c>
      <c r="V418" s="19">
        <v>10.048</v>
      </c>
      <c r="W418" s="20">
        <v>31.4</v>
      </c>
      <c r="X418" s="21" t="str" cm="1">
        <f t="array" ref="X418">IF(OR(R418:R955&lt;0,T417:T955&lt;0,C418:C956=""),"Check","OK")</f>
        <v>Check</v>
      </c>
    </row>
    <row r="419" ht="17.6" spans="1:24">
      <c r="A419" s="7">
        <v>885</v>
      </c>
      <c r="B419" s="8" t="s">
        <v>2194</v>
      </c>
      <c r="C419" s="9">
        <v>41758</v>
      </c>
      <c r="D419" s="9">
        <v>41763</v>
      </c>
      <c r="E419" s="8" t="s">
        <v>4</v>
      </c>
      <c r="F419" s="8" t="s">
        <v>471</v>
      </c>
      <c r="G419" s="8" t="s">
        <v>472</v>
      </c>
      <c r="H419" s="8" t="s">
        <v>111</v>
      </c>
      <c r="I419" s="8" t="s">
        <v>708</v>
      </c>
      <c r="J419" s="8" t="s">
        <v>167</v>
      </c>
      <c r="K419" s="8" t="s">
        <v>168</v>
      </c>
      <c r="L419" s="8">
        <v>14609</v>
      </c>
      <c r="M419" s="8" t="s">
        <v>759</v>
      </c>
      <c r="N419" s="8" t="s">
        <v>2195</v>
      </c>
      <c r="O419" s="8" t="s">
        <v>8</v>
      </c>
      <c r="P419" s="8" t="s">
        <v>727</v>
      </c>
      <c r="Q419" s="8" t="s">
        <v>2196</v>
      </c>
      <c r="R419" s="15">
        <v>17.46</v>
      </c>
      <c r="S419" s="7">
        <v>2</v>
      </c>
      <c r="T419" s="16">
        <v>0</v>
      </c>
      <c r="U419" s="15">
        <v>5.9364</v>
      </c>
      <c r="V419" s="22">
        <v>5.9364</v>
      </c>
      <c r="W419" s="23">
        <v>17.46</v>
      </c>
      <c r="X419" s="21" t="str" cm="1">
        <f t="array" ref="X419">IF(OR(R419:R956&lt;0,T418:T956&lt;0,C419:C957=""),"Check","OK")</f>
        <v>Check</v>
      </c>
    </row>
    <row r="420" ht="17.6" spans="1:24">
      <c r="A420" s="4">
        <v>886</v>
      </c>
      <c r="B420" s="5" t="s">
        <v>2197</v>
      </c>
      <c r="C420" s="6">
        <v>42119</v>
      </c>
      <c r="D420" s="6">
        <v>42122</v>
      </c>
      <c r="E420" s="5" t="s">
        <v>707</v>
      </c>
      <c r="F420" s="5" t="s">
        <v>2198</v>
      </c>
      <c r="G420" s="5" t="s">
        <v>2199</v>
      </c>
      <c r="H420" s="5" t="s">
        <v>716</v>
      </c>
      <c r="I420" s="5" t="s">
        <v>708</v>
      </c>
      <c r="J420" s="5" t="s">
        <v>135</v>
      </c>
      <c r="K420" s="5" t="s">
        <v>136</v>
      </c>
      <c r="L420" s="5">
        <v>90045</v>
      </c>
      <c r="M420" s="5" t="s">
        <v>717</v>
      </c>
      <c r="N420" s="5" t="s">
        <v>2200</v>
      </c>
      <c r="O420" s="5" t="s">
        <v>9</v>
      </c>
      <c r="P420" s="5" t="s">
        <v>736</v>
      </c>
      <c r="Q420" s="5" t="s">
        <v>2201</v>
      </c>
      <c r="R420" s="12">
        <v>13.944</v>
      </c>
      <c r="S420" s="4">
        <v>3</v>
      </c>
      <c r="T420" s="14">
        <v>0.2</v>
      </c>
      <c r="U420" s="12">
        <v>4.5318</v>
      </c>
      <c r="V420" s="19">
        <v>4.5318</v>
      </c>
      <c r="W420" s="20">
        <v>11.1552</v>
      </c>
      <c r="X420" s="21" t="str" cm="1">
        <f t="array" ref="X420">IF(OR(R420:R957&lt;0,T419:T957&lt;0,C420:C958=""),"Check","OK")</f>
        <v>Check</v>
      </c>
    </row>
    <row r="421" ht="17.6" spans="1:24">
      <c r="A421" s="7">
        <v>887</v>
      </c>
      <c r="B421" s="8" t="s">
        <v>2202</v>
      </c>
      <c r="C421" s="9">
        <v>42912</v>
      </c>
      <c r="D421" s="9">
        <v>42918</v>
      </c>
      <c r="E421" s="8" t="s">
        <v>4</v>
      </c>
      <c r="F421" s="8" t="s">
        <v>533</v>
      </c>
      <c r="G421" s="8" t="s">
        <v>534</v>
      </c>
      <c r="H421" s="8" t="s">
        <v>111</v>
      </c>
      <c r="I421" s="8" t="s">
        <v>708</v>
      </c>
      <c r="J421" s="8" t="s">
        <v>431</v>
      </c>
      <c r="K421" s="8" t="s">
        <v>136</v>
      </c>
      <c r="L421" s="8">
        <v>92105</v>
      </c>
      <c r="M421" s="8" t="s">
        <v>717</v>
      </c>
      <c r="N421" s="8" t="s">
        <v>2203</v>
      </c>
      <c r="O421" s="8" t="s">
        <v>9</v>
      </c>
      <c r="P421" s="8" t="s">
        <v>748</v>
      </c>
      <c r="Q421" s="8" t="s">
        <v>2204</v>
      </c>
      <c r="R421" s="15">
        <v>83.76</v>
      </c>
      <c r="S421" s="7">
        <v>12</v>
      </c>
      <c r="T421" s="16">
        <v>0</v>
      </c>
      <c r="U421" s="15">
        <v>1.6752</v>
      </c>
      <c r="V421" s="22">
        <v>1.6752</v>
      </c>
      <c r="W421" s="23">
        <v>83.76</v>
      </c>
      <c r="X421" s="21" t="str" cm="1">
        <f t="array" ref="X421">IF(OR(R421:R958&lt;0,T420:T958&lt;0,C421:C959=""),"Check","OK")</f>
        <v>Check</v>
      </c>
    </row>
    <row r="422" ht="17.6" spans="1:24">
      <c r="A422" s="4">
        <v>888</v>
      </c>
      <c r="B422" s="5" t="s">
        <v>2205</v>
      </c>
      <c r="C422" s="6">
        <v>43022</v>
      </c>
      <c r="D422" s="6">
        <v>43027</v>
      </c>
      <c r="E422" s="5" t="s">
        <v>4</v>
      </c>
      <c r="F422" s="5" t="s">
        <v>2206</v>
      </c>
      <c r="G422" s="5" t="s">
        <v>2207</v>
      </c>
      <c r="H422" s="5" t="s">
        <v>741</v>
      </c>
      <c r="I422" s="5" t="s">
        <v>708</v>
      </c>
      <c r="J422" s="5" t="s">
        <v>561</v>
      </c>
      <c r="K422" s="5" t="s">
        <v>2208</v>
      </c>
      <c r="L422" s="5">
        <v>21044</v>
      </c>
      <c r="M422" s="5" t="s">
        <v>759</v>
      </c>
      <c r="N422" s="5" t="s">
        <v>2209</v>
      </c>
      <c r="O422" s="5" t="s">
        <v>9</v>
      </c>
      <c r="P422" s="5" t="s">
        <v>736</v>
      </c>
      <c r="Q422" s="5" t="s">
        <v>2210</v>
      </c>
      <c r="R422" s="12">
        <v>37.66</v>
      </c>
      <c r="S422" s="4">
        <v>7</v>
      </c>
      <c r="T422" s="14">
        <v>0</v>
      </c>
      <c r="U422" s="12">
        <v>18.4534</v>
      </c>
      <c r="V422" s="19">
        <v>18.4534</v>
      </c>
      <c r="W422" s="20">
        <v>37.66</v>
      </c>
      <c r="X422" s="21" t="str" cm="1">
        <f t="array" ref="X422">IF(OR(R422:R959&lt;0,T421:T959&lt;0,C422:C960=""),"Check","OK")</f>
        <v>Check</v>
      </c>
    </row>
    <row r="423" ht="17.6" spans="1:24">
      <c r="A423" s="7">
        <v>889</v>
      </c>
      <c r="B423" s="8" t="s">
        <v>2211</v>
      </c>
      <c r="C423" s="9">
        <v>41982</v>
      </c>
      <c r="D423" s="9">
        <v>41989</v>
      </c>
      <c r="E423" s="8" t="s">
        <v>4</v>
      </c>
      <c r="F423" s="8" t="s">
        <v>2123</v>
      </c>
      <c r="G423" s="8" t="s">
        <v>2124</v>
      </c>
      <c r="H423" s="8" t="s">
        <v>716</v>
      </c>
      <c r="I423" s="8" t="s">
        <v>708</v>
      </c>
      <c r="J423" s="8" t="s">
        <v>188</v>
      </c>
      <c r="K423" s="8" t="s">
        <v>136</v>
      </c>
      <c r="L423" s="8">
        <v>94122</v>
      </c>
      <c r="M423" s="8" t="s">
        <v>717</v>
      </c>
      <c r="N423" s="8" t="s">
        <v>1453</v>
      </c>
      <c r="O423" s="8" t="s">
        <v>9</v>
      </c>
      <c r="P423" s="8" t="s">
        <v>731</v>
      </c>
      <c r="Q423" s="8" t="s">
        <v>1454</v>
      </c>
      <c r="R423" s="15">
        <v>34.68</v>
      </c>
      <c r="S423" s="7">
        <v>6</v>
      </c>
      <c r="T423" s="16">
        <v>0</v>
      </c>
      <c r="U423" s="15">
        <v>16.9932</v>
      </c>
      <c r="V423" s="22">
        <v>16.9932</v>
      </c>
      <c r="W423" s="23">
        <v>34.68</v>
      </c>
      <c r="X423" s="21" t="str" cm="1">
        <f t="array" ref="X423">IF(OR(R423:R960&lt;0,T422:T960&lt;0,C423:C961=""),"Check","OK")</f>
        <v>Check</v>
      </c>
    </row>
    <row r="424" ht="17.6" spans="1:24">
      <c r="A424" s="4">
        <v>890</v>
      </c>
      <c r="B424" s="5" t="s">
        <v>2212</v>
      </c>
      <c r="C424" s="6">
        <v>42906</v>
      </c>
      <c r="D424" s="6">
        <v>42912</v>
      </c>
      <c r="E424" s="5" t="s">
        <v>4</v>
      </c>
      <c r="F424" s="5" t="s">
        <v>373</v>
      </c>
      <c r="G424" s="5" t="s">
        <v>374</v>
      </c>
      <c r="H424" s="5" t="s">
        <v>111</v>
      </c>
      <c r="I424" s="5" t="s">
        <v>708</v>
      </c>
      <c r="J424" s="5" t="s">
        <v>375</v>
      </c>
      <c r="K424" s="5" t="s">
        <v>168</v>
      </c>
      <c r="L424" s="5">
        <v>10801</v>
      </c>
      <c r="M424" s="5" t="s">
        <v>759</v>
      </c>
      <c r="N424" s="5" t="s">
        <v>2213</v>
      </c>
      <c r="O424" s="5" t="s">
        <v>10</v>
      </c>
      <c r="P424" s="5" t="s">
        <v>809</v>
      </c>
      <c r="Q424" s="5" t="s">
        <v>2214</v>
      </c>
      <c r="R424" s="12">
        <v>149.95</v>
      </c>
      <c r="S424" s="4">
        <v>5</v>
      </c>
      <c r="T424" s="14">
        <v>0</v>
      </c>
      <c r="U424" s="12">
        <v>14.995</v>
      </c>
      <c r="V424" s="19">
        <v>14.995</v>
      </c>
      <c r="W424" s="20">
        <v>149.95</v>
      </c>
      <c r="X424" s="21" t="str" cm="1">
        <f t="array" ref="X424">IF(OR(R424:R961&lt;0,T423:T961&lt;0,C424:C962=""),"Check","OK")</f>
        <v>Check</v>
      </c>
    </row>
    <row r="425" ht="17.6" spans="1:24">
      <c r="A425" s="7">
        <v>892</v>
      </c>
      <c r="B425" s="8" t="s">
        <v>2215</v>
      </c>
      <c r="C425" s="9">
        <v>42912</v>
      </c>
      <c r="D425" s="9">
        <v>42913</v>
      </c>
      <c r="E425" s="8" t="s">
        <v>13</v>
      </c>
      <c r="F425" s="8" t="s">
        <v>1899</v>
      </c>
      <c r="G425" s="8" t="s">
        <v>1900</v>
      </c>
      <c r="H425" s="8" t="s">
        <v>741</v>
      </c>
      <c r="I425" s="8" t="s">
        <v>708</v>
      </c>
      <c r="J425" s="8" t="s">
        <v>162</v>
      </c>
      <c r="K425" s="8" t="s">
        <v>163</v>
      </c>
      <c r="L425" s="8">
        <v>48227</v>
      </c>
      <c r="M425" s="8" t="s">
        <v>742</v>
      </c>
      <c r="N425" s="8" t="s">
        <v>2216</v>
      </c>
      <c r="O425" s="8" t="s">
        <v>9</v>
      </c>
      <c r="P425" s="8" t="s">
        <v>731</v>
      </c>
      <c r="Q425" s="8" t="s">
        <v>2217</v>
      </c>
      <c r="R425" s="15">
        <v>4.54</v>
      </c>
      <c r="S425" s="7">
        <v>1</v>
      </c>
      <c r="T425" s="16">
        <v>0</v>
      </c>
      <c r="U425" s="15">
        <v>2.043</v>
      </c>
      <c r="V425" s="22">
        <v>2.043</v>
      </c>
      <c r="W425" s="23">
        <v>4.54</v>
      </c>
      <c r="X425" s="21" t="str" cm="1">
        <f t="array" ref="X425">IF(OR(R425:R962&lt;0,T424:T962&lt;0,C425:C963=""),"Check","OK")</f>
        <v>Check</v>
      </c>
    </row>
    <row r="426" ht="17.6" spans="1:24">
      <c r="A426" s="4">
        <v>895</v>
      </c>
      <c r="B426" s="5" t="s">
        <v>2218</v>
      </c>
      <c r="C426" s="6">
        <v>42684</v>
      </c>
      <c r="D426" s="6">
        <v>42686</v>
      </c>
      <c r="E426" s="5" t="s">
        <v>13</v>
      </c>
      <c r="F426" s="5" t="s">
        <v>2219</v>
      </c>
      <c r="G426" s="5" t="s">
        <v>2220</v>
      </c>
      <c r="H426" s="5" t="s">
        <v>716</v>
      </c>
      <c r="I426" s="5" t="s">
        <v>708</v>
      </c>
      <c r="J426" s="5" t="s">
        <v>188</v>
      </c>
      <c r="K426" s="5" t="s">
        <v>136</v>
      </c>
      <c r="L426" s="5">
        <v>94122</v>
      </c>
      <c r="M426" s="5" t="s">
        <v>717</v>
      </c>
      <c r="N426" s="5" t="s">
        <v>2221</v>
      </c>
      <c r="O426" s="5" t="s">
        <v>9</v>
      </c>
      <c r="P426" s="5" t="s">
        <v>748</v>
      </c>
      <c r="Q426" s="5" t="s">
        <v>2222</v>
      </c>
      <c r="R426" s="12">
        <v>155.82</v>
      </c>
      <c r="S426" s="4">
        <v>7</v>
      </c>
      <c r="T426" s="14">
        <v>0</v>
      </c>
      <c r="U426" s="12">
        <v>42.0714</v>
      </c>
      <c r="V426" s="19">
        <v>42.0714</v>
      </c>
      <c r="W426" s="20">
        <v>155.82</v>
      </c>
      <c r="X426" s="21" t="str" cm="1">
        <f t="array" ref="X426">IF(OR(R426:R963&lt;0,T425:T963&lt;0,C426:C964=""),"Check","OK")</f>
        <v>Check</v>
      </c>
    </row>
    <row r="427" ht="17.6" spans="1:24">
      <c r="A427" s="7">
        <v>897</v>
      </c>
      <c r="B427" s="8" t="s">
        <v>2223</v>
      </c>
      <c r="C427" s="9">
        <v>42646</v>
      </c>
      <c r="D427" s="9">
        <v>42649</v>
      </c>
      <c r="E427" s="8" t="s">
        <v>707</v>
      </c>
      <c r="F427" s="8" t="s">
        <v>353</v>
      </c>
      <c r="G427" s="8" t="s">
        <v>354</v>
      </c>
      <c r="H427" s="8" t="s">
        <v>111</v>
      </c>
      <c r="I427" s="8" t="s">
        <v>708</v>
      </c>
      <c r="J427" s="8" t="s">
        <v>131</v>
      </c>
      <c r="K427" s="8" t="s">
        <v>132</v>
      </c>
      <c r="L427" s="8">
        <v>77095</v>
      </c>
      <c r="M427" s="8" t="s">
        <v>742</v>
      </c>
      <c r="N427" s="8" t="s">
        <v>2224</v>
      </c>
      <c r="O427" s="8" t="s">
        <v>9</v>
      </c>
      <c r="P427" s="8" t="s">
        <v>786</v>
      </c>
      <c r="Q427" s="8" t="s">
        <v>1036</v>
      </c>
      <c r="R427" s="15">
        <v>15.648</v>
      </c>
      <c r="S427" s="7">
        <v>2</v>
      </c>
      <c r="T427" s="16">
        <v>0.2</v>
      </c>
      <c r="U427" s="15">
        <v>5.0856</v>
      </c>
      <c r="V427" s="22">
        <v>5.0856</v>
      </c>
      <c r="W427" s="23">
        <v>12.5184</v>
      </c>
      <c r="X427" s="21" t="str" cm="1">
        <f t="array" ref="X427">IF(OR(R427:R964&lt;0,T426:T964&lt;0,C427:C965=""),"Check","OK")</f>
        <v>Check</v>
      </c>
    </row>
    <row r="428" ht="17.6" spans="1:24">
      <c r="A428" s="4">
        <v>898</v>
      </c>
      <c r="B428" s="5" t="s">
        <v>2225</v>
      </c>
      <c r="C428" s="6">
        <v>41891</v>
      </c>
      <c r="D428" s="6">
        <v>41897</v>
      </c>
      <c r="E428" s="5" t="s">
        <v>4</v>
      </c>
      <c r="F428" s="5" t="s">
        <v>508</v>
      </c>
      <c r="G428" s="5" t="s">
        <v>509</v>
      </c>
      <c r="H428" s="5" t="s">
        <v>111</v>
      </c>
      <c r="I428" s="5" t="s">
        <v>708</v>
      </c>
      <c r="J428" s="5" t="s">
        <v>162</v>
      </c>
      <c r="K428" s="5" t="s">
        <v>163</v>
      </c>
      <c r="L428" s="5">
        <v>48227</v>
      </c>
      <c r="M428" s="5" t="s">
        <v>742</v>
      </c>
      <c r="N428" s="5" t="s">
        <v>1570</v>
      </c>
      <c r="O428" s="5" t="s">
        <v>9</v>
      </c>
      <c r="P428" s="5" t="s">
        <v>719</v>
      </c>
      <c r="Q428" s="5" t="s">
        <v>1571</v>
      </c>
      <c r="R428" s="12">
        <v>103.6</v>
      </c>
      <c r="S428" s="4">
        <v>7</v>
      </c>
      <c r="T428" s="14">
        <v>0</v>
      </c>
      <c r="U428" s="12">
        <v>51.8</v>
      </c>
      <c r="V428" s="19">
        <v>51.8</v>
      </c>
      <c r="W428" s="20">
        <v>103.6</v>
      </c>
      <c r="X428" s="21" t="str" cm="1">
        <f t="array" ref="X428">IF(OR(R428:R965&lt;0,T427:T965&lt;0,C428:C966=""),"Check","OK")</f>
        <v>Check</v>
      </c>
    </row>
    <row r="429" ht="17.6" spans="1:24">
      <c r="A429" s="7">
        <v>899</v>
      </c>
      <c r="B429" s="8" t="s">
        <v>2226</v>
      </c>
      <c r="C429" s="9">
        <v>43037</v>
      </c>
      <c r="D429" s="9">
        <v>43039</v>
      </c>
      <c r="E429" s="8" t="s">
        <v>707</v>
      </c>
      <c r="F429" s="8" t="s">
        <v>2227</v>
      </c>
      <c r="G429" s="8" t="s">
        <v>2228</v>
      </c>
      <c r="H429" s="8" t="s">
        <v>716</v>
      </c>
      <c r="I429" s="8" t="s">
        <v>708</v>
      </c>
      <c r="J429" s="8" t="s">
        <v>575</v>
      </c>
      <c r="K429" s="8" t="s">
        <v>168</v>
      </c>
      <c r="L429" s="8">
        <v>13021</v>
      </c>
      <c r="M429" s="8" t="s">
        <v>759</v>
      </c>
      <c r="N429" s="8" t="s">
        <v>2229</v>
      </c>
      <c r="O429" s="8" t="s">
        <v>9</v>
      </c>
      <c r="P429" s="8" t="s">
        <v>731</v>
      </c>
      <c r="Q429" s="8" t="s">
        <v>2230</v>
      </c>
      <c r="R429" s="15">
        <v>46.96</v>
      </c>
      <c r="S429" s="7">
        <v>8</v>
      </c>
      <c r="T429" s="16">
        <v>0</v>
      </c>
      <c r="U429" s="15">
        <v>22.5408</v>
      </c>
      <c r="V429" s="22">
        <v>22.5408</v>
      </c>
      <c r="W429" s="23">
        <v>46.96</v>
      </c>
      <c r="X429" s="21" t="str" cm="1">
        <f t="array" ref="X429">IF(OR(R429:R966&lt;0,T428:T966&lt;0,C429:C967=""),"Check","OK")</f>
        <v>Check</v>
      </c>
    </row>
    <row r="430" ht="17.6" spans="1:24">
      <c r="A430" s="4">
        <v>900</v>
      </c>
      <c r="B430" s="5" t="s">
        <v>2231</v>
      </c>
      <c r="C430" s="6">
        <v>42470</v>
      </c>
      <c r="D430" s="6">
        <v>42472</v>
      </c>
      <c r="E430" s="5" t="s">
        <v>13</v>
      </c>
      <c r="F430" s="5" t="s">
        <v>2232</v>
      </c>
      <c r="G430" s="5" t="s">
        <v>2233</v>
      </c>
      <c r="H430" s="5" t="s">
        <v>716</v>
      </c>
      <c r="I430" s="5" t="s">
        <v>708</v>
      </c>
      <c r="J430" s="5" t="s">
        <v>287</v>
      </c>
      <c r="K430" s="5" t="s">
        <v>138</v>
      </c>
      <c r="L430" s="5">
        <v>45503</v>
      </c>
      <c r="M430" s="5" t="s">
        <v>759</v>
      </c>
      <c r="N430" s="5" t="s">
        <v>2234</v>
      </c>
      <c r="O430" s="5" t="s">
        <v>9</v>
      </c>
      <c r="P430" s="5" t="s">
        <v>736</v>
      </c>
      <c r="Q430" s="5" t="s">
        <v>2235</v>
      </c>
      <c r="R430" s="12">
        <v>8.904</v>
      </c>
      <c r="S430" s="4">
        <v>2</v>
      </c>
      <c r="T430" s="14">
        <v>0.7</v>
      </c>
      <c r="U430" s="12">
        <v>-6.5296</v>
      </c>
      <c r="V430" s="19">
        <v>6.5296</v>
      </c>
      <c r="W430" s="20">
        <v>2.6712</v>
      </c>
      <c r="X430" s="21" t="str" cm="1">
        <f t="array" ref="X430">IF(OR(R430:R967&lt;0,T429:T967&lt;0,C430:C968=""),"Check","OK")</f>
        <v>Check</v>
      </c>
    </row>
    <row r="431" ht="17.6" spans="1:24">
      <c r="A431" s="7">
        <v>901</v>
      </c>
      <c r="B431" s="8" t="s">
        <v>2236</v>
      </c>
      <c r="C431" s="9">
        <v>43050</v>
      </c>
      <c r="D431" s="9">
        <v>43052</v>
      </c>
      <c r="E431" s="8" t="s">
        <v>13</v>
      </c>
      <c r="F431" s="8" t="s">
        <v>663</v>
      </c>
      <c r="G431" s="8" t="s">
        <v>664</v>
      </c>
      <c r="H431" s="8" t="s">
        <v>111</v>
      </c>
      <c r="I431" s="8" t="s">
        <v>708</v>
      </c>
      <c r="J431" s="8" t="s">
        <v>665</v>
      </c>
      <c r="K431" s="8" t="s">
        <v>132</v>
      </c>
      <c r="L431" s="8">
        <v>75043</v>
      </c>
      <c r="M431" s="8" t="s">
        <v>742</v>
      </c>
      <c r="N431" s="8" t="s">
        <v>2237</v>
      </c>
      <c r="O431" s="8" t="s">
        <v>9</v>
      </c>
      <c r="P431" s="8" t="s">
        <v>719</v>
      </c>
      <c r="Q431" s="8" t="s">
        <v>2238</v>
      </c>
      <c r="R431" s="15">
        <v>10.44</v>
      </c>
      <c r="S431" s="7">
        <v>5</v>
      </c>
      <c r="T431" s="16">
        <v>0.2</v>
      </c>
      <c r="U431" s="15">
        <v>3.393</v>
      </c>
      <c r="V431" s="22">
        <v>3.393</v>
      </c>
      <c r="W431" s="23">
        <v>8.352</v>
      </c>
      <c r="X431" s="21" t="str" cm="1">
        <f t="array" ref="X431">IF(OR(R431:R968&lt;0,T430:T968&lt;0,C431:C969=""),"Check","OK")</f>
        <v>Check</v>
      </c>
    </row>
    <row r="432" ht="17.6" spans="1:24">
      <c r="A432" s="4">
        <v>903</v>
      </c>
      <c r="B432" s="5" t="s">
        <v>2239</v>
      </c>
      <c r="C432" s="6">
        <v>42993</v>
      </c>
      <c r="D432" s="6">
        <v>42995</v>
      </c>
      <c r="E432" s="5" t="s">
        <v>13</v>
      </c>
      <c r="F432" s="5" t="s">
        <v>267</v>
      </c>
      <c r="G432" s="5" t="s">
        <v>268</v>
      </c>
      <c r="H432" s="5" t="s">
        <v>111</v>
      </c>
      <c r="I432" s="5" t="s">
        <v>708</v>
      </c>
      <c r="J432" s="5" t="s">
        <v>182</v>
      </c>
      <c r="K432" s="5" t="s">
        <v>183</v>
      </c>
      <c r="L432" s="5">
        <v>60653</v>
      </c>
      <c r="M432" s="5" t="s">
        <v>742</v>
      </c>
      <c r="N432" s="5" t="s">
        <v>2240</v>
      </c>
      <c r="O432" s="5" t="s">
        <v>10</v>
      </c>
      <c r="P432" s="5" t="s">
        <v>780</v>
      </c>
      <c r="Q432" s="5" t="s">
        <v>2241</v>
      </c>
      <c r="R432" s="12">
        <v>323.976</v>
      </c>
      <c r="S432" s="4">
        <v>3</v>
      </c>
      <c r="T432" s="14">
        <v>0.2</v>
      </c>
      <c r="U432" s="12">
        <v>20.2485</v>
      </c>
      <c r="V432" s="19">
        <v>20.2485</v>
      </c>
      <c r="W432" s="20">
        <v>259.1808</v>
      </c>
      <c r="X432" s="21" t="str" cm="1">
        <f t="array" ref="X432">IF(OR(R432:R969&lt;0,T431:T969&lt;0,C432:C970=""),"Check","OK")</f>
        <v>Check</v>
      </c>
    </row>
    <row r="433" ht="17.6" spans="1:24">
      <c r="A433" s="7">
        <v>904</v>
      </c>
      <c r="B433" s="8" t="s">
        <v>2242</v>
      </c>
      <c r="C433" s="9">
        <v>42468</v>
      </c>
      <c r="D433" s="9">
        <v>42472</v>
      </c>
      <c r="E433" s="8" t="s">
        <v>4</v>
      </c>
      <c r="F433" s="8" t="s">
        <v>455</v>
      </c>
      <c r="G433" s="8" t="s">
        <v>456</v>
      </c>
      <c r="H433" s="8" t="s">
        <v>111</v>
      </c>
      <c r="I433" s="8" t="s">
        <v>708</v>
      </c>
      <c r="J433" s="8" t="s">
        <v>135</v>
      </c>
      <c r="K433" s="8" t="s">
        <v>136</v>
      </c>
      <c r="L433" s="8">
        <v>90032</v>
      </c>
      <c r="M433" s="8" t="s">
        <v>717</v>
      </c>
      <c r="N433" s="8" t="s">
        <v>2243</v>
      </c>
      <c r="O433" s="8" t="s">
        <v>9</v>
      </c>
      <c r="P433" s="8" t="s">
        <v>731</v>
      </c>
      <c r="Q433" s="8" t="s">
        <v>2244</v>
      </c>
      <c r="R433" s="15">
        <v>20.04</v>
      </c>
      <c r="S433" s="7">
        <v>3</v>
      </c>
      <c r="T433" s="16">
        <v>0</v>
      </c>
      <c r="U433" s="15">
        <v>9.6192</v>
      </c>
      <c r="V433" s="22">
        <v>9.6192</v>
      </c>
      <c r="W433" s="23">
        <v>20.04</v>
      </c>
      <c r="X433" s="21" t="str" cm="1">
        <f t="array" ref="X433">IF(OR(R433:R970&lt;0,T432:T970&lt;0,C433:C971=""),"Check","OK")</f>
        <v>Check</v>
      </c>
    </row>
    <row r="434" ht="17.6" spans="1:24">
      <c r="A434" s="4">
        <v>907</v>
      </c>
      <c r="B434" s="5" t="s">
        <v>2245</v>
      </c>
      <c r="C434" s="6">
        <v>43099</v>
      </c>
      <c r="D434" s="6">
        <v>43103</v>
      </c>
      <c r="E434" s="5" t="s">
        <v>4</v>
      </c>
      <c r="F434" s="5" t="s">
        <v>559</v>
      </c>
      <c r="G434" s="5" t="s">
        <v>560</v>
      </c>
      <c r="H434" s="5" t="s">
        <v>111</v>
      </c>
      <c r="I434" s="5" t="s">
        <v>708</v>
      </c>
      <c r="J434" s="5" t="s">
        <v>204</v>
      </c>
      <c r="K434" s="5" t="s">
        <v>168</v>
      </c>
      <c r="L434" s="5">
        <v>10009</v>
      </c>
      <c r="M434" s="5" t="s">
        <v>759</v>
      </c>
      <c r="N434" s="5" t="s">
        <v>2246</v>
      </c>
      <c r="O434" s="5" t="s">
        <v>8</v>
      </c>
      <c r="P434" s="5" t="s">
        <v>711</v>
      </c>
      <c r="Q434" s="5" t="s">
        <v>2247</v>
      </c>
      <c r="R434" s="12">
        <v>323.136</v>
      </c>
      <c r="S434" s="4">
        <v>4</v>
      </c>
      <c r="T434" s="14">
        <v>0.2</v>
      </c>
      <c r="U434" s="12">
        <v>12.1176</v>
      </c>
      <c r="V434" s="19">
        <v>12.1176</v>
      </c>
      <c r="W434" s="20">
        <v>258.5088</v>
      </c>
      <c r="X434" s="21" t="str" cm="1">
        <f t="array" ref="X434">IF(OR(R434:R971&lt;0,T433:T971&lt;0,C434:C972=""),"Check","OK")</f>
        <v>Check</v>
      </c>
    </row>
    <row r="435" ht="17.6" spans="1:24">
      <c r="A435" s="7">
        <v>910</v>
      </c>
      <c r="B435" s="8" t="s">
        <v>2248</v>
      </c>
      <c r="C435" s="9">
        <v>42980</v>
      </c>
      <c r="D435" s="9">
        <v>42985</v>
      </c>
      <c r="E435" s="8" t="s">
        <v>4</v>
      </c>
      <c r="F435" s="8" t="s">
        <v>2249</v>
      </c>
      <c r="G435" s="8" t="s">
        <v>2250</v>
      </c>
      <c r="H435" s="8" t="s">
        <v>741</v>
      </c>
      <c r="I435" s="8" t="s">
        <v>708</v>
      </c>
      <c r="J435" s="8" t="s">
        <v>490</v>
      </c>
      <c r="K435" s="8" t="s">
        <v>163</v>
      </c>
      <c r="L435" s="8">
        <v>49201</v>
      </c>
      <c r="M435" s="8" t="s">
        <v>742</v>
      </c>
      <c r="N435" s="8" t="s">
        <v>2251</v>
      </c>
      <c r="O435" s="8" t="s">
        <v>10</v>
      </c>
      <c r="P435" s="8" t="s">
        <v>780</v>
      </c>
      <c r="Q435" s="8" t="s">
        <v>2252</v>
      </c>
      <c r="R435" s="15">
        <v>1199.8</v>
      </c>
      <c r="S435" s="7">
        <v>4</v>
      </c>
      <c r="T435" s="16">
        <v>0</v>
      </c>
      <c r="U435" s="15">
        <v>323.946</v>
      </c>
      <c r="V435" s="22">
        <v>323.946</v>
      </c>
      <c r="W435" s="23">
        <v>1199.8</v>
      </c>
      <c r="X435" s="21" t="str" cm="1">
        <f t="array" ref="X435">IF(OR(R435:R972&lt;0,T434:T972&lt;0,C435:C973=""),"Check","OK")</f>
        <v>Check</v>
      </c>
    </row>
    <row r="436" ht="17.6" spans="1:24">
      <c r="A436" s="4">
        <v>913</v>
      </c>
      <c r="B436" s="5" t="s">
        <v>2253</v>
      </c>
      <c r="C436" s="6">
        <v>42155</v>
      </c>
      <c r="D436" s="6">
        <v>42162</v>
      </c>
      <c r="E436" s="5" t="s">
        <v>4</v>
      </c>
      <c r="F436" s="5" t="s">
        <v>2254</v>
      </c>
      <c r="G436" s="5" t="s">
        <v>2255</v>
      </c>
      <c r="H436" s="5" t="s">
        <v>741</v>
      </c>
      <c r="I436" s="5" t="s">
        <v>708</v>
      </c>
      <c r="J436" s="5" t="s">
        <v>2256</v>
      </c>
      <c r="K436" s="5" t="s">
        <v>638</v>
      </c>
      <c r="L436" s="5">
        <v>6360</v>
      </c>
      <c r="M436" s="5" t="s">
        <v>759</v>
      </c>
      <c r="N436" s="5" t="s">
        <v>1819</v>
      </c>
      <c r="O436" s="5" t="s">
        <v>8</v>
      </c>
      <c r="P436" s="5" t="s">
        <v>727</v>
      </c>
      <c r="Q436" s="5" t="s">
        <v>1820</v>
      </c>
      <c r="R436" s="12">
        <v>22.2</v>
      </c>
      <c r="S436" s="4">
        <v>6</v>
      </c>
      <c r="T436" s="14">
        <v>0</v>
      </c>
      <c r="U436" s="12">
        <v>9.102</v>
      </c>
      <c r="V436" s="19">
        <v>9.102</v>
      </c>
      <c r="W436" s="20">
        <v>22.2</v>
      </c>
      <c r="X436" s="21" t="str" cm="1">
        <f t="array" ref="X436">IF(OR(R436:R973&lt;0,T435:T973&lt;0,C436:C974=""),"Check","OK")</f>
        <v>Check</v>
      </c>
    </row>
    <row r="437" ht="17.6" spans="1:24">
      <c r="A437" s="7">
        <v>914</v>
      </c>
      <c r="B437" s="8" t="s">
        <v>2257</v>
      </c>
      <c r="C437" s="9">
        <v>43066</v>
      </c>
      <c r="D437" s="9">
        <v>43068</v>
      </c>
      <c r="E437" s="8" t="s">
        <v>13</v>
      </c>
      <c r="F437" s="8" t="s">
        <v>2109</v>
      </c>
      <c r="G437" s="8" t="s">
        <v>2110</v>
      </c>
      <c r="H437" s="8" t="s">
        <v>716</v>
      </c>
      <c r="I437" s="8" t="s">
        <v>708</v>
      </c>
      <c r="J437" s="8" t="s">
        <v>2075</v>
      </c>
      <c r="K437" s="8" t="s">
        <v>155</v>
      </c>
      <c r="L437" s="8">
        <v>53209</v>
      </c>
      <c r="M437" s="8" t="s">
        <v>742</v>
      </c>
      <c r="N437" s="8" t="s">
        <v>1256</v>
      </c>
      <c r="O437" s="8" t="s">
        <v>8</v>
      </c>
      <c r="P437" s="8" t="s">
        <v>727</v>
      </c>
      <c r="Q437" s="8" t="s">
        <v>1257</v>
      </c>
      <c r="R437" s="15">
        <v>46.94</v>
      </c>
      <c r="S437" s="7">
        <v>1</v>
      </c>
      <c r="T437" s="16">
        <v>0</v>
      </c>
      <c r="U437" s="15">
        <v>19.2454</v>
      </c>
      <c r="V437" s="22">
        <v>19.2454</v>
      </c>
      <c r="W437" s="23">
        <v>46.94</v>
      </c>
      <c r="X437" s="21" t="str" cm="1">
        <f t="array" ref="X437">IF(OR(R437:R974&lt;0,T436:T974&lt;0,C437:C975=""),"Check","OK")</f>
        <v>Check</v>
      </c>
    </row>
    <row r="438" ht="17.6" spans="1:24">
      <c r="A438" s="4">
        <v>916</v>
      </c>
      <c r="B438" s="5" t="s">
        <v>2258</v>
      </c>
      <c r="C438" s="6">
        <v>41805</v>
      </c>
      <c r="D438" s="6">
        <v>41811</v>
      </c>
      <c r="E438" s="5" t="s">
        <v>4</v>
      </c>
      <c r="F438" s="5" t="s">
        <v>1253</v>
      </c>
      <c r="G438" s="5" t="s">
        <v>1254</v>
      </c>
      <c r="H438" s="5" t="s">
        <v>716</v>
      </c>
      <c r="I438" s="5" t="s">
        <v>708</v>
      </c>
      <c r="J438" s="5" t="s">
        <v>207</v>
      </c>
      <c r="K438" s="5" t="s">
        <v>132</v>
      </c>
      <c r="L438" s="5">
        <v>78207</v>
      </c>
      <c r="M438" s="5" t="s">
        <v>742</v>
      </c>
      <c r="N438" s="5" t="s">
        <v>2259</v>
      </c>
      <c r="O438" s="5" t="s">
        <v>8</v>
      </c>
      <c r="P438" s="5" t="s">
        <v>723</v>
      </c>
      <c r="Q438" s="5" t="s">
        <v>2260</v>
      </c>
      <c r="R438" s="12">
        <v>99.918</v>
      </c>
      <c r="S438" s="4">
        <v>2</v>
      </c>
      <c r="T438" s="14">
        <v>0.3</v>
      </c>
      <c r="U438" s="12">
        <v>-18.5562</v>
      </c>
      <c r="V438" s="19">
        <v>18.5562</v>
      </c>
      <c r="W438" s="20">
        <v>69.9426</v>
      </c>
      <c r="X438" s="21" t="str" cm="1">
        <f t="array" ref="X438">IF(OR(R438:R975&lt;0,T437:T975&lt;0,C438:C976=""),"Check","OK")</f>
        <v>Check</v>
      </c>
    </row>
    <row r="439" ht="17.6" spans="1:24">
      <c r="A439" s="7">
        <v>919</v>
      </c>
      <c r="B439" s="8" t="s">
        <v>2261</v>
      </c>
      <c r="C439" s="9">
        <v>42434</v>
      </c>
      <c r="D439" s="9">
        <v>42440</v>
      </c>
      <c r="E439" s="8" t="s">
        <v>4</v>
      </c>
      <c r="F439" s="8" t="s">
        <v>2262</v>
      </c>
      <c r="G439" s="8" t="s">
        <v>2263</v>
      </c>
      <c r="H439" s="8" t="s">
        <v>716</v>
      </c>
      <c r="I439" s="8" t="s">
        <v>708</v>
      </c>
      <c r="J439" s="8" t="s">
        <v>457</v>
      </c>
      <c r="K439" s="8" t="s">
        <v>132</v>
      </c>
      <c r="L439" s="8">
        <v>75220</v>
      </c>
      <c r="M439" s="8" t="s">
        <v>742</v>
      </c>
      <c r="N439" s="8" t="s">
        <v>2026</v>
      </c>
      <c r="O439" s="8" t="s">
        <v>9</v>
      </c>
      <c r="P439" s="8" t="s">
        <v>786</v>
      </c>
      <c r="Q439" s="8" t="s">
        <v>2027</v>
      </c>
      <c r="R439" s="15">
        <v>149.352</v>
      </c>
      <c r="S439" s="7">
        <v>3</v>
      </c>
      <c r="T439" s="16">
        <v>0.2</v>
      </c>
      <c r="U439" s="15">
        <v>50.4063</v>
      </c>
      <c r="V439" s="22">
        <v>50.4063</v>
      </c>
      <c r="W439" s="23">
        <v>119.4816</v>
      </c>
      <c r="X439" s="21" t="str" cm="1">
        <f t="array" ref="X439">IF(OR(R439:R976&lt;0,T438:T976&lt;0,C439:C977=""),"Check","OK")</f>
        <v>Check</v>
      </c>
    </row>
    <row r="440" ht="17.6" spans="1:24">
      <c r="A440" s="4">
        <v>921</v>
      </c>
      <c r="B440" s="5" t="s">
        <v>2264</v>
      </c>
      <c r="C440" s="6">
        <v>41978</v>
      </c>
      <c r="D440" s="6">
        <v>41985</v>
      </c>
      <c r="E440" s="5" t="s">
        <v>4</v>
      </c>
      <c r="F440" s="5" t="s">
        <v>578</v>
      </c>
      <c r="G440" s="5" t="s">
        <v>579</v>
      </c>
      <c r="H440" s="5" t="s">
        <v>111</v>
      </c>
      <c r="I440" s="5" t="s">
        <v>708</v>
      </c>
      <c r="J440" s="5" t="s">
        <v>580</v>
      </c>
      <c r="K440" s="5" t="s">
        <v>288</v>
      </c>
      <c r="L440" s="5">
        <v>22304</v>
      </c>
      <c r="M440" s="5" t="s">
        <v>709</v>
      </c>
      <c r="N440" s="5" t="s">
        <v>1982</v>
      </c>
      <c r="O440" s="5" t="s">
        <v>9</v>
      </c>
      <c r="P440" s="5" t="s">
        <v>748</v>
      </c>
      <c r="Q440" s="5" t="s">
        <v>1983</v>
      </c>
      <c r="R440" s="12">
        <v>24.56</v>
      </c>
      <c r="S440" s="4">
        <v>2</v>
      </c>
      <c r="T440" s="14">
        <v>0</v>
      </c>
      <c r="U440" s="12">
        <v>6.8768</v>
      </c>
      <c r="V440" s="19">
        <v>6.8768</v>
      </c>
      <c r="W440" s="20">
        <v>24.56</v>
      </c>
      <c r="X440" s="21" t="str" cm="1">
        <f t="array" ref="X440">IF(OR(R440:R977&lt;0,T439:T977&lt;0,C440:C978=""),"Check","OK")</f>
        <v>Check</v>
      </c>
    </row>
    <row r="441" ht="17.6" spans="1:24">
      <c r="A441" s="7">
        <v>922</v>
      </c>
      <c r="B441" s="8" t="s">
        <v>2265</v>
      </c>
      <c r="C441" s="9">
        <v>42105</v>
      </c>
      <c r="D441" s="9">
        <v>42109</v>
      </c>
      <c r="E441" s="8" t="s">
        <v>4</v>
      </c>
      <c r="F441" s="8" t="s">
        <v>621</v>
      </c>
      <c r="G441" s="8" t="s">
        <v>622</v>
      </c>
      <c r="H441" s="8" t="s">
        <v>111</v>
      </c>
      <c r="I441" s="8" t="s">
        <v>708</v>
      </c>
      <c r="J441" s="8" t="s">
        <v>204</v>
      </c>
      <c r="K441" s="8" t="s">
        <v>168</v>
      </c>
      <c r="L441" s="8">
        <v>10009</v>
      </c>
      <c r="M441" s="8" t="s">
        <v>759</v>
      </c>
      <c r="N441" s="8" t="s">
        <v>2266</v>
      </c>
      <c r="O441" s="8" t="s">
        <v>10</v>
      </c>
      <c r="P441" s="8" t="s">
        <v>809</v>
      </c>
      <c r="Q441" s="8" t="s">
        <v>2267</v>
      </c>
      <c r="R441" s="15">
        <v>85.14</v>
      </c>
      <c r="S441" s="7">
        <v>3</v>
      </c>
      <c r="T441" s="16">
        <v>0</v>
      </c>
      <c r="U441" s="15">
        <v>34.9074</v>
      </c>
      <c r="V441" s="22">
        <v>34.9074</v>
      </c>
      <c r="W441" s="23">
        <v>85.14</v>
      </c>
      <c r="X441" s="21" t="str" cm="1">
        <f t="array" ref="X441">IF(OR(R441:R978&lt;0,T440:T978&lt;0,C441:C979=""),"Check","OK")</f>
        <v>Check</v>
      </c>
    </row>
    <row r="442" ht="17.6" spans="1:24">
      <c r="A442" s="4">
        <v>925</v>
      </c>
      <c r="B442" s="5" t="s">
        <v>2268</v>
      </c>
      <c r="C442" s="6">
        <v>42628</v>
      </c>
      <c r="D442" s="6">
        <v>42633</v>
      </c>
      <c r="E442" s="5" t="s">
        <v>4</v>
      </c>
      <c r="F442" s="5" t="s">
        <v>2269</v>
      </c>
      <c r="G442" s="5" t="s">
        <v>2270</v>
      </c>
      <c r="H442" s="5" t="s">
        <v>716</v>
      </c>
      <c r="I442" s="5" t="s">
        <v>708</v>
      </c>
      <c r="J442" s="5" t="s">
        <v>204</v>
      </c>
      <c r="K442" s="5" t="s">
        <v>168</v>
      </c>
      <c r="L442" s="5">
        <v>10011</v>
      </c>
      <c r="M442" s="5" t="s">
        <v>759</v>
      </c>
      <c r="N442" s="5" t="s">
        <v>960</v>
      </c>
      <c r="O442" s="5" t="s">
        <v>9</v>
      </c>
      <c r="P442" s="5" t="s">
        <v>736</v>
      </c>
      <c r="Q442" s="5" t="s">
        <v>961</v>
      </c>
      <c r="R442" s="12">
        <v>841.568</v>
      </c>
      <c r="S442" s="4">
        <v>2</v>
      </c>
      <c r="T442" s="14">
        <v>0.2</v>
      </c>
      <c r="U442" s="12">
        <v>294.5488</v>
      </c>
      <c r="V442" s="19">
        <v>294.5488</v>
      </c>
      <c r="W442" s="20">
        <v>673.2544</v>
      </c>
      <c r="X442" s="21" t="str" cm="1">
        <f t="array" ref="X442">IF(OR(R442:R979&lt;0,T441:T979&lt;0,C442:C980=""),"Check","OK")</f>
        <v>Check</v>
      </c>
    </row>
    <row r="443" ht="17.6" spans="1:24">
      <c r="A443" s="7">
        <v>926</v>
      </c>
      <c r="B443" s="8" t="s">
        <v>2271</v>
      </c>
      <c r="C443" s="9">
        <v>41895</v>
      </c>
      <c r="D443" s="9">
        <v>41898</v>
      </c>
      <c r="E443" s="8" t="s">
        <v>13</v>
      </c>
      <c r="F443" s="8" t="s">
        <v>418</v>
      </c>
      <c r="G443" s="8" t="s">
        <v>419</v>
      </c>
      <c r="H443" s="8" t="s">
        <v>111</v>
      </c>
      <c r="I443" s="8" t="s">
        <v>708</v>
      </c>
      <c r="J443" s="8" t="s">
        <v>175</v>
      </c>
      <c r="K443" s="8" t="s">
        <v>176</v>
      </c>
      <c r="L443" s="8">
        <v>19143</v>
      </c>
      <c r="M443" s="8" t="s">
        <v>759</v>
      </c>
      <c r="N443" s="8" t="s">
        <v>2272</v>
      </c>
      <c r="O443" s="8" t="s">
        <v>9</v>
      </c>
      <c r="P443" s="8" t="s">
        <v>731</v>
      </c>
      <c r="Q443" s="8" t="s">
        <v>2273</v>
      </c>
      <c r="R443" s="15">
        <v>15.552</v>
      </c>
      <c r="S443" s="7">
        <v>3</v>
      </c>
      <c r="T443" s="16">
        <v>0.2</v>
      </c>
      <c r="U443" s="15">
        <v>5.4432</v>
      </c>
      <c r="V443" s="22">
        <v>5.4432</v>
      </c>
      <c r="W443" s="23">
        <v>12.4416</v>
      </c>
      <c r="X443" s="21" t="str" cm="1">
        <f t="array" ref="X443">IF(OR(R443:R980&lt;0,T442:T980&lt;0,C443:C981=""),"Check","OK")</f>
        <v>Check</v>
      </c>
    </row>
    <row r="444" ht="17.6" spans="1:24">
      <c r="A444" s="4">
        <v>928</v>
      </c>
      <c r="B444" s="5" t="s">
        <v>2274</v>
      </c>
      <c r="C444" s="6">
        <v>42282</v>
      </c>
      <c r="D444" s="6">
        <v>42286</v>
      </c>
      <c r="E444" s="5" t="s">
        <v>4</v>
      </c>
      <c r="F444" s="5" t="s">
        <v>2275</v>
      </c>
      <c r="G444" s="5" t="s">
        <v>2276</v>
      </c>
      <c r="H444" s="5" t="s">
        <v>741</v>
      </c>
      <c r="I444" s="5" t="s">
        <v>708</v>
      </c>
      <c r="J444" s="5" t="s">
        <v>287</v>
      </c>
      <c r="K444" s="5" t="s">
        <v>288</v>
      </c>
      <c r="L444" s="5">
        <v>22153</v>
      </c>
      <c r="M444" s="5" t="s">
        <v>709</v>
      </c>
      <c r="N444" s="5" t="s">
        <v>73</v>
      </c>
      <c r="O444" s="5" t="s">
        <v>9</v>
      </c>
      <c r="P444" s="5" t="s">
        <v>16</v>
      </c>
      <c r="Q444" s="5" t="s">
        <v>72</v>
      </c>
      <c r="R444" s="12">
        <v>46.2</v>
      </c>
      <c r="S444" s="4">
        <v>4</v>
      </c>
      <c r="T444" s="14">
        <v>0</v>
      </c>
      <c r="U444" s="12">
        <v>12.936</v>
      </c>
      <c r="V444" s="19">
        <v>12.936</v>
      </c>
      <c r="W444" s="20">
        <v>46.2</v>
      </c>
      <c r="X444" s="21" t="str" cm="1">
        <f t="array" ref="X444">IF(OR(R444:R981&lt;0,T443:T981&lt;0,C444:C982=""),"Check","OK")</f>
        <v>Check</v>
      </c>
    </row>
    <row r="445" ht="17.6" spans="1:24">
      <c r="A445" s="7">
        <v>930</v>
      </c>
      <c r="B445" s="8" t="s">
        <v>2277</v>
      </c>
      <c r="C445" s="9">
        <v>42839</v>
      </c>
      <c r="D445" s="9">
        <v>42842</v>
      </c>
      <c r="E445" s="8" t="s">
        <v>13</v>
      </c>
      <c r="F445" s="8" t="s">
        <v>133</v>
      </c>
      <c r="G445" s="8" t="s">
        <v>134</v>
      </c>
      <c r="H445" s="8" t="s">
        <v>111</v>
      </c>
      <c r="I445" s="8" t="s">
        <v>708</v>
      </c>
      <c r="J445" s="8" t="s">
        <v>137</v>
      </c>
      <c r="K445" s="8" t="s">
        <v>138</v>
      </c>
      <c r="L445" s="8">
        <v>43615</v>
      </c>
      <c r="M445" s="8" t="s">
        <v>759</v>
      </c>
      <c r="N445" s="8" t="s">
        <v>109</v>
      </c>
      <c r="O445" s="8" t="s">
        <v>9</v>
      </c>
      <c r="P445" s="8" t="s">
        <v>16</v>
      </c>
      <c r="Q445" s="8" t="s">
        <v>108</v>
      </c>
      <c r="R445" s="15">
        <v>14.592</v>
      </c>
      <c r="S445" s="7">
        <v>3</v>
      </c>
      <c r="T445" s="16">
        <v>0.2</v>
      </c>
      <c r="U445" s="15">
        <v>2.5536</v>
      </c>
      <c r="V445" s="22">
        <v>2.5536</v>
      </c>
      <c r="W445" s="23">
        <v>11.6736</v>
      </c>
      <c r="X445" s="21" t="str" cm="1">
        <f t="array" ref="X445">IF(OR(R445:R982&lt;0,T444:T982&lt;0,C445:C983=""),"Check","OK")</f>
        <v>Check</v>
      </c>
    </row>
    <row r="446" ht="17.6" spans="1:24">
      <c r="A446" s="4">
        <v>933</v>
      </c>
      <c r="B446" s="5" t="s">
        <v>2278</v>
      </c>
      <c r="C446" s="6">
        <v>42980</v>
      </c>
      <c r="D446" s="6">
        <v>42984</v>
      </c>
      <c r="E446" s="5" t="s">
        <v>4</v>
      </c>
      <c r="F446" s="5" t="s">
        <v>599</v>
      </c>
      <c r="G446" s="5" t="s">
        <v>600</v>
      </c>
      <c r="H446" s="5" t="s">
        <v>111</v>
      </c>
      <c r="I446" s="5" t="s">
        <v>708</v>
      </c>
      <c r="J446" s="5" t="s">
        <v>175</v>
      </c>
      <c r="K446" s="5" t="s">
        <v>176</v>
      </c>
      <c r="L446" s="5">
        <v>19140</v>
      </c>
      <c r="M446" s="5" t="s">
        <v>759</v>
      </c>
      <c r="N446" s="5" t="s">
        <v>2279</v>
      </c>
      <c r="O446" s="5" t="s">
        <v>9</v>
      </c>
      <c r="P446" s="5" t="s">
        <v>731</v>
      </c>
      <c r="Q446" s="5" t="s">
        <v>2280</v>
      </c>
      <c r="R446" s="12">
        <v>12.192</v>
      </c>
      <c r="S446" s="4">
        <v>3</v>
      </c>
      <c r="T446" s="14">
        <v>0.2</v>
      </c>
      <c r="U446" s="12">
        <v>4.1148</v>
      </c>
      <c r="V446" s="19">
        <v>4.1148</v>
      </c>
      <c r="W446" s="20">
        <v>9.7536</v>
      </c>
      <c r="X446" s="21" t="str" cm="1">
        <f t="array" ref="X446">IF(OR(R446:R983&lt;0,T445:T983&lt;0,C446:C984=""),"Check","OK")</f>
        <v>Check</v>
      </c>
    </row>
    <row r="447" ht="17.6" spans="1:24">
      <c r="A447" s="7">
        <v>934</v>
      </c>
      <c r="B447" s="8" t="s">
        <v>2281</v>
      </c>
      <c r="C447" s="9">
        <v>42541</v>
      </c>
      <c r="D447" s="9">
        <v>42545</v>
      </c>
      <c r="E447" s="8" t="s">
        <v>4</v>
      </c>
      <c r="F447" s="8" t="s">
        <v>2282</v>
      </c>
      <c r="G447" s="8" t="s">
        <v>2283</v>
      </c>
      <c r="H447" s="8" t="s">
        <v>741</v>
      </c>
      <c r="I447" s="8" t="s">
        <v>708</v>
      </c>
      <c r="J447" s="8" t="s">
        <v>175</v>
      </c>
      <c r="K447" s="8" t="s">
        <v>176</v>
      </c>
      <c r="L447" s="8">
        <v>19120</v>
      </c>
      <c r="M447" s="8" t="s">
        <v>759</v>
      </c>
      <c r="N447" s="8" t="s">
        <v>2284</v>
      </c>
      <c r="O447" s="8" t="s">
        <v>9</v>
      </c>
      <c r="P447" s="8" t="s">
        <v>731</v>
      </c>
      <c r="Q447" s="8" t="s">
        <v>2285</v>
      </c>
      <c r="R447" s="15">
        <v>45.056</v>
      </c>
      <c r="S447" s="7">
        <v>8</v>
      </c>
      <c r="T447" s="16">
        <v>0.2</v>
      </c>
      <c r="U447" s="15">
        <v>15.2064</v>
      </c>
      <c r="V447" s="22">
        <v>15.2064</v>
      </c>
      <c r="W447" s="23">
        <v>36.0448</v>
      </c>
      <c r="X447" s="21" t="str" cm="1">
        <f t="array" ref="X447">IF(OR(R447:R984&lt;0,T446:T984&lt;0,C447:C985=""),"Check","OK")</f>
        <v>Check</v>
      </c>
    </row>
    <row r="448" ht="17.6" spans="1:24">
      <c r="A448" s="4">
        <v>938</v>
      </c>
      <c r="B448" s="5" t="s">
        <v>2286</v>
      </c>
      <c r="C448" s="6">
        <v>43044</v>
      </c>
      <c r="D448" s="6">
        <v>43045</v>
      </c>
      <c r="E448" s="5" t="s">
        <v>13</v>
      </c>
      <c r="F448" s="5" t="s">
        <v>794</v>
      </c>
      <c r="G448" s="5" t="s">
        <v>795</v>
      </c>
      <c r="H448" s="5" t="s">
        <v>716</v>
      </c>
      <c r="I448" s="5" t="s">
        <v>708</v>
      </c>
      <c r="J448" s="5" t="s">
        <v>2287</v>
      </c>
      <c r="K448" s="5" t="s">
        <v>590</v>
      </c>
      <c r="L448" s="5">
        <v>87401</v>
      </c>
      <c r="M448" s="5" t="s">
        <v>717</v>
      </c>
      <c r="N448" s="5" t="s">
        <v>1869</v>
      </c>
      <c r="O448" s="5" t="s">
        <v>10</v>
      </c>
      <c r="P448" s="5" t="s">
        <v>809</v>
      </c>
      <c r="Q448" s="5" t="s">
        <v>1870</v>
      </c>
      <c r="R448" s="12">
        <v>159.99</v>
      </c>
      <c r="S448" s="4">
        <v>1</v>
      </c>
      <c r="T448" s="14">
        <v>0</v>
      </c>
      <c r="U448" s="12">
        <v>54.3966</v>
      </c>
      <c r="V448" s="19">
        <v>54.3966</v>
      </c>
      <c r="W448" s="20">
        <v>159.99</v>
      </c>
      <c r="X448" s="21" t="str" cm="1">
        <f t="array" ref="X448">IF(OR(R448:R985&lt;0,T447:T985&lt;0,C448:C986=""),"Check","OK")</f>
        <v>Check</v>
      </c>
    </row>
    <row r="449" ht="17.6" spans="1:24">
      <c r="A449" s="7">
        <v>939</v>
      </c>
      <c r="B449" s="8" t="s">
        <v>2288</v>
      </c>
      <c r="C449" s="9">
        <v>42351</v>
      </c>
      <c r="D449" s="9">
        <v>42355</v>
      </c>
      <c r="E449" s="8" t="s">
        <v>4</v>
      </c>
      <c r="F449" s="8" t="s">
        <v>2289</v>
      </c>
      <c r="G449" s="8" t="s">
        <v>2290</v>
      </c>
      <c r="H449" s="8" t="s">
        <v>716</v>
      </c>
      <c r="I449" s="8" t="s">
        <v>708</v>
      </c>
      <c r="J449" s="8" t="s">
        <v>2291</v>
      </c>
      <c r="K449" s="8" t="s">
        <v>136</v>
      </c>
      <c r="L449" s="8">
        <v>92503</v>
      </c>
      <c r="M449" s="8" t="s">
        <v>717</v>
      </c>
      <c r="N449" s="8" t="s">
        <v>2292</v>
      </c>
      <c r="O449" s="8" t="s">
        <v>9</v>
      </c>
      <c r="P449" s="8" t="s">
        <v>731</v>
      </c>
      <c r="Q449" s="8" t="s">
        <v>2293</v>
      </c>
      <c r="R449" s="15">
        <v>12.96</v>
      </c>
      <c r="S449" s="7">
        <v>2</v>
      </c>
      <c r="T449" s="16">
        <v>0</v>
      </c>
      <c r="U449" s="15">
        <v>6.2208</v>
      </c>
      <c r="V449" s="22">
        <v>6.2208</v>
      </c>
      <c r="W449" s="23">
        <v>12.96</v>
      </c>
      <c r="X449" s="21" t="str" cm="1">
        <f t="array" ref="X449">IF(OR(R449:R986&lt;0,T448:T986&lt;0,C449:C987=""),"Check","OK")</f>
        <v>Check</v>
      </c>
    </row>
    <row r="450" ht="17.6" spans="1:24">
      <c r="A450" s="4">
        <v>941</v>
      </c>
      <c r="B450" s="5" t="s">
        <v>2294</v>
      </c>
      <c r="C450" s="6">
        <v>42540</v>
      </c>
      <c r="D450" s="6">
        <v>42541</v>
      </c>
      <c r="E450" s="5" t="s">
        <v>13</v>
      </c>
      <c r="F450" s="5" t="s">
        <v>2295</v>
      </c>
      <c r="G450" s="5" t="s">
        <v>2296</v>
      </c>
      <c r="H450" s="5" t="s">
        <v>716</v>
      </c>
      <c r="I450" s="5" t="s">
        <v>708</v>
      </c>
      <c r="J450" s="5" t="s">
        <v>188</v>
      </c>
      <c r="K450" s="5" t="s">
        <v>136</v>
      </c>
      <c r="L450" s="5">
        <v>94110</v>
      </c>
      <c r="M450" s="5" t="s">
        <v>717</v>
      </c>
      <c r="N450" s="5" t="s">
        <v>2297</v>
      </c>
      <c r="O450" s="5" t="s">
        <v>9</v>
      </c>
      <c r="P450" s="5" t="s">
        <v>731</v>
      </c>
      <c r="Q450" s="5" t="s">
        <v>2298</v>
      </c>
      <c r="R450" s="12">
        <v>17.12</v>
      </c>
      <c r="S450" s="4">
        <v>2</v>
      </c>
      <c r="T450" s="14">
        <v>0</v>
      </c>
      <c r="U450" s="12">
        <v>8.0464</v>
      </c>
      <c r="V450" s="19">
        <v>8.0464</v>
      </c>
      <c r="W450" s="20">
        <v>17.12</v>
      </c>
      <c r="X450" s="21" t="str" cm="1">
        <f t="array" ref="X450">IF(OR(R450:R987&lt;0,T449:T987&lt;0,C450:C988=""),"Check","OK")</f>
        <v>Check</v>
      </c>
    </row>
    <row r="451" ht="17.6" spans="1:24">
      <c r="A451" s="7">
        <v>942</v>
      </c>
      <c r="B451" s="8" t="s">
        <v>2299</v>
      </c>
      <c r="C451" s="9">
        <v>42717</v>
      </c>
      <c r="D451" s="9">
        <v>42724</v>
      </c>
      <c r="E451" s="8" t="s">
        <v>4</v>
      </c>
      <c r="F451" s="8" t="s">
        <v>2262</v>
      </c>
      <c r="G451" s="8" t="s">
        <v>2263</v>
      </c>
      <c r="H451" s="8" t="s">
        <v>716</v>
      </c>
      <c r="I451" s="8" t="s">
        <v>708</v>
      </c>
      <c r="J451" s="8" t="s">
        <v>2300</v>
      </c>
      <c r="K451" s="8" t="s">
        <v>136</v>
      </c>
      <c r="L451" s="8">
        <v>90503</v>
      </c>
      <c r="M451" s="8" t="s">
        <v>717</v>
      </c>
      <c r="N451" s="8" t="s">
        <v>2301</v>
      </c>
      <c r="O451" s="8" t="s">
        <v>9</v>
      </c>
      <c r="P451" s="8" t="s">
        <v>736</v>
      </c>
      <c r="Q451" s="8" t="s">
        <v>2302</v>
      </c>
      <c r="R451" s="15">
        <v>6.096</v>
      </c>
      <c r="S451" s="7">
        <v>2</v>
      </c>
      <c r="T451" s="16">
        <v>0.2</v>
      </c>
      <c r="U451" s="15">
        <v>2.2098</v>
      </c>
      <c r="V451" s="22">
        <v>2.2098</v>
      </c>
      <c r="W451" s="23">
        <v>4.8768</v>
      </c>
      <c r="X451" s="21" t="str" cm="1">
        <f t="array" ref="X451">IF(OR(R451:R988&lt;0,T450:T988&lt;0,C451:C989=""),"Check","OK")</f>
        <v>Check</v>
      </c>
    </row>
    <row r="452" ht="17.6" spans="1:24">
      <c r="A452" s="4">
        <v>944</v>
      </c>
      <c r="B452" s="5" t="s">
        <v>2303</v>
      </c>
      <c r="C452" s="6">
        <v>42153</v>
      </c>
      <c r="D452" s="6">
        <v>42158</v>
      </c>
      <c r="E452" s="5" t="s">
        <v>4</v>
      </c>
      <c r="F452" s="5" t="s">
        <v>414</v>
      </c>
      <c r="G452" s="5" t="s">
        <v>415</v>
      </c>
      <c r="H452" s="5" t="s">
        <v>111</v>
      </c>
      <c r="I452" s="5" t="s">
        <v>708</v>
      </c>
      <c r="J452" s="5" t="s">
        <v>184</v>
      </c>
      <c r="K452" s="5" t="s">
        <v>185</v>
      </c>
      <c r="L452" s="5">
        <v>98105</v>
      </c>
      <c r="M452" s="5" t="s">
        <v>717</v>
      </c>
      <c r="N452" s="5" t="s">
        <v>2304</v>
      </c>
      <c r="O452" s="5" t="s">
        <v>9</v>
      </c>
      <c r="P452" s="5" t="s">
        <v>731</v>
      </c>
      <c r="Q452" s="5" t="s">
        <v>2305</v>
      </c>
      <c r="R452" s="12">
        <v>32.4</v>
      </c>
      <c r="S452" s="4">
        <v>5</v>
      </c>
      <c r="T452" s="14">
        <v>0</v>
      </c>
      <c r="U452" s="12">
        <v>15.552</v>
      </c>
      <c r="V452" s="19">
        <v>15.552</v>
      </c>
      <c r="W452" s="20">
        <v>32.4</v>
      </c>
      <c r="X452" s="21" t="str" cm="1">
        <f t="array" ref="X452">IF(OR(R452:R989&lt;0,T451:T989&lt;0,C452:C990=""),"Check","OK")</f>
        <v>Check</v>
      </c>
    </row>
    <row r="453" ht="17.6" spans="1:24">
      <c r="A453" s="7">
        <v>947</v>
      </c>
      <c r="B453" s="8" t="s">
        <v>2306</v>
      </c>
      <c r="C453" s="9">
        <v>42211</v>
      </c>
      <c r="D453" s="9">
        <v>42213</v>
      </c>
      <c r="E453" s="8" t="s">
        <v>13</v>
      </c>
      <c r="F453" s="8" t="s">
        <v>220</v>
      </c>
      <c r="G453" s="8" t="s">
        <v>221</v>
      </c>
      <c r="H453" s="8" t="s">
        <v>111</v>
      </c>
      <c r="I453" s="8" t="s">
        <v>708</v>
      </c>
      <c r="J453" s="8" t="s">
        <v>121</v>
      </c>
      <c r="K453" s="8" t="s">
        <v>122</v>
      </c>
      <c r="L453" s="8">
        <v>85204</v>
      </c>
      <c r="M453" s="8" t="s">
        <v>717</v>
      </c>
      <c r="N453" s="8" t="s">
        <v>2307</v>
      </c>
      <c r="O453" s="8" t="s">
        <v>8</v>
      </c>
      <c r="P453" s="8" t="s">
        <v>723</v>
      </c>
      <c r="Q453" s="8" t="s">
        <v>2308</v>
      </c>
      <c r="R453" s="15">
        <v>393.165</v>
      </c>
      <c r="S453" s="7">
        <v>3</v>
      </c>
      <c r="T453" s="16">
        <v>0.5</v>
      </c>
      <c r="U453" s="15">
        <v>-204.4458</v>
      </c>
      <c r="V453" s="22">
        <v>204.4458</v>
      </c>
      <c r="W453" s="23">
        <v>196.5825</v>
      </c>
      <c r="X453" s="21" t="str" cm="1">
        <f t="array" ref="X453">IF(OR(R453:R990&lt;0,T452:T990&lt;0,C453:C991=""),"Check","OK")</f>
        <v>Check</v>
      </c>
    </row>
    <row r="454" ht="17.6" spans="1:24">
      <c r="A454" s="4">
        <v>948</v>
      </c>
      <c r="B454" s="5" t="s">
        <v>2309</v>
      </c>
      <c r="C454" s="6">
        <v>43067</v>
      </c>
      <c r="D454" s="6">
        <v>43071</v>
      </c>
      <c r="E454" s="5" t="s">
        <v>4</v>
      </c>
      <c r="F454" s="5" t="s">
        <v>1480</v>
      </c>
      <c r="G454" s="5" t="s">
        <v>1481</v>
      </c>
      <c r="H454" s="5" t="s">
        <v>741</v>
      </c>
      <c r="I454" s="5" t="s">
        <v>708</v>
      </c>
      <c r="J454" s="5" t="s">
        <v>175</v>
      </c>
      <c r="K454" s="5" t="s">
        <v>176</v>
      </c>
      <c r="L454" s="5">
        <v>19120</v>
      </c>
      <c r="M454" s="5" t="s">
        <v>759</v>
      </c>
      <c r="N454" s="5" t="s">
        <v>2310</v>
      </c>
      <c r="O454" s="5" t="s">
        <v>8</v>
      </c>
      <c r="P454" s="5" t="s">
        <v>727</v>
      </c>
      <c r="Q454" s="5" t="s">
        <v>2311</v>
      </c>
      <c r="R454" s="12">
        <v>516.488</v>
      </c>
      <c r="S454" s="4">
        <v>7</v>
      </c>
      <c r="T454" s="14">
        <v>0.2</v>
      </c>
      <c r="U454" s="12">
        <v>-12.9122</v>
      </c>
      <c r="V454" s="19">
        <v>12.9122</v>
      </c>
      <c r="W454" s="20">
        <v>413.1904</v>
      </c>
      <c r="X454" s="21" t="str" cm="1">
        <f t="array" ref="X454">IF(OR(R454:R991&lt;0,T453:T991&lt;0,C454:C992=""),"Check","OK")</f>
        <v>Check</v>
      </c>
    </row>
    <row r="455" ht="17.6" spans="1:24">
      <c r="A455" s="7">
        <v>953</v>
      </c>
      <c r="B455" s="8" t="s">
        <v>2312</v>
      </c>
      <c r="C455" s="9">
        <v>42828</v>
      </c>
      <c r="D455" s="9">
        <v>42832</v>
      </c>
      <c r="E455" s="8" t="s">
        <v>4</v>
      </c>
      <c r="F455" s="8" t="s">
        <v>436</v>
      </c>
      <c r="G455" s="8" t="s">
        <v>437</v>
      </c>
      <c r="H455" s="8" t="s">
        <v>111</v>
      </c>
      <c r="I455" s="8" t="s">
        <v>708</v>
      </c>
      <c r="J455" s="8" t="s">
        <v>175</v>
      </c>
      <c r="K455" s="8" t="s">
        <v>176</v>
      </c>
      <c r="L455" s="8">
        <v>19143</v>
      </c>
      <c r="M455" s="8" t="s">
        <v>759</v>
      </c>
      <c r="N455" s="8" t="s">
        <v>2313</v>
      </c>
      <c r="O455" s="8" t="s">
        <v>8</v>
      </c>
      <c r="P455" s="8" t="s">
        <v>727</v>
      </c>
      <c r="Q455" s="8" t="s">
        <v>2314</v>
      </c>
      <c r="R455" s="15">
        <v>25.472</v>
      </c>
      <c r="S455" s="7">
        <v>4</v>
      </c>
      <c r="T455" s="16">
        <v>0.2</v>
      </c>
      <c r="U455" s="15">
        <v>7.6416</v>
      </c>
      <c r="V455" s="22">
        <v>7.6416</v>
      </c>
      <c r="W455" s="23">
        <v>20.3776</v>
      </c>
      <c r="X455" s="21" t="str" cm="1">
        <f t="array" ref="X455">IF(OR(R455:R992&lt;0,T454:T992&lt;0,C455:C993=""),"Check","OK")</f>
        <v>Check</v>
      </c>
    </row>
    <row r="456" ht="17.6" spans="1:24">
      <c r="A456" s="4">
        <v>954</v>
      </c>
      <c r="B456" s="5" t="s">
        <v>2315</v>
      </c>
      <c r="C456" s="6">
        <v>43097</v>
      </c>
      <c r="D456" s="6">
        <v>43101</v>
      </c>
      <c r="E456" s="5" t="s">
        <v>4</v>
      </c>
      <c r="F456" s="5" t="s">
        <v>336</v>
      </c>
      <c r="G456" s="5" t="s">
        <v>337</v>
      </c>
      <c r="H456" s="5" t="s">
        <v>111</v>
      </c>
      <c r="I456" s="5" t="s">
        <v>708</v>
      </c>
      <c r="J456" s="5" t="s">
        <v>338</v>
      </c>
      <c r="K456" s="5" t="s">
        <v>132</v>
      </c>
      <c r="L456" s="5">
        <v>78664</v>
      </c>
      <c r="M456" s="5" t="s">
        <v>742</v>
      </c>
      <c r="N456" s="5" t="s">
        <v>103</v>
      </c>
      <c r="O456" s="5" t="s">
        <v>9</v>
      </c>
      <c r="P456" s="5" t="s">
        <v>16</v>
      </c>
      <c r="Q456" s="5" t="s">
        <v>102</v>
      </c>
      <c r="R456" s="12">
        <v>27.168</v>
      </c>
      <c r="S456" s="4">
        <v>2</v>
      </c>
      <c r="T456" s="14">
        <v>0.2</v>
      </c>
      <c r="U456" s="12">
        <v>2.7168</v>
      </c>
      <c r="V456" s="19">
        <v>2.7168</v>
      </c>
      <c r="W456" s="20">
        <v>21.7344</v>
      </c>
      <c r="X456" s="21" t="str" cm="1">
        <f t="array" ref="X456">IF(OR(R456:R993&lt;0,T455:T993&lt;0,C456:C994=""),"Check","OK")</f>
        <v>Check</v>
      </c>
    </row>
    <row r="457" ht="17.6" spans="1:24">
      <c r="A457" s="7">
        <v>956</v>
      </c>
      <c r="B457" s="8" t="s">
        <v>2316</v>
      </c>
      <c r="C457" s="9">
        <v>43069</v>
      </c>
      <c r="D457" s="9">
        <v>43073</v>
      </c>
      <c r="E457" s="8" t="s">
        <v>4</v>
      </c>
      <c r="F457" s="8" t="s">
        <v>652</v>
      </c>
      <c r="G457" s="8" t="s">
        <v>653</v>
      </c>
      <c r="H457" s="8" t="s">
        <v>111</v>
      </c>
      <c r="I457" s="8" t="s">
        <v>708</v>
      </c>
      <c r="J457" s="8" t="s">
        <v>490</v>
      </c>
      <c r="K457" s="8" t="s">
        <v>491</v>
      </c>
      <c r="L457" s="8">
        <v>39212</v>
      </c>
      <c r="M457" s="8" t="s">
        <v>709</v>
      </c>
      <c r="N457" s="8" t="s">
        <v>827</v>
      </c>
      <c r="O457" s="8" t="s">
        <v>9</v>
      </c>
      <c r="P457" s="8" t="s">
        <v>748</v>
      </c>
      <c r="Q457" s="8" t="s">
        <v>828</v>
      </c>
      <c r="R457" s="15">
        <v>173.8</v>
      </c>
      <c r="S457" s="7">
        <v>5</v>
      </c>
      <c r="T457" s="16">
        <v>0</v>
      </c>
      <c r="U457" s="15">
        <v>43.45</v>
      </c>
      <c r="V457" s="22">
        <v>43.45</v>
      </c>
      <c r="W457" s="23">
        <v>173.8</v>
      </c>
      <c r="X457" s="21" t="str" cm="1">
        <f t="array" ref="X457">IF(OR(R457:R994&lt;0,T456:T994&lt;0,C457:C995=""),"Check","OK")</f>
        <v>Check</v>
      </c>
    </row>
    <row r="458" ht="17.6" spans="1:24">
      <c r="A458" s="4">
        <v>957</v>
      </c>
      <c r="B458" s="5" t="s">
        <v>2317</v>
      </c>
      <c r="C458" s="6">
        <v>42870</v>
      </c>
      <c r="D458" s="6">
        <v>42873</v>
      </c>
      <c r="E458" s="5" t="s">
        <v>707</v>
      </c>
      <c r="F458" s="5" t="s">
        <v>363</v>
      </c>
      <c r="G458" s="5" t="s">
        <v>364</v>
      </c>
      <c r="H458" s="5" t="s">
        <v>111</v>
      </c>
      <c r="I458" s="5" t="s">
        <v>708</v>
      </c>
      <c r="J458" s="5" t="s">
        <v>365</v>
      </c>
      <c r="K458" s="5" t="s">
        <v>122</v>
      </c>
      <c r="L458" s="5">
        <v>85023</v>
      </c>
      <c r="M458" s="5" t="s">
        <v>717</v>
      </c>
      <c r="N458" s="5" t="s">
        <v>2318</v>
      </c>
      <c r="O458" s="5" t="s">
        <v>10</v>
      </c>
      <c r="P458" s="5" t="s">
        <v>780</v>
      </c>
      <c r="Q458" s="5" t="s">
        <v>2319</v>
      </c>
      <c r="R458" s="12">
        <v>29.592</v>
      </c>
      <c r="S458" s="4">
        <v>1</v>
      </c>
      <c r="T458" s="14">
        <v>0.2</v>
      </c>
      <c r="U458" s="12">
        <v>2.5893</v>
      </c>
      <c r="V458" s="19">
        <v>2.5893</v>
      </c>
      <c r="W458" s="20">
        <v>23.6736</v>
      </c>
      <c r="X458" s="21" t="str" cm="1">
        <f t="array" ref="X458">IF(OR(R458:R995&lt;0,T457:T995&lt;0,C458:C996=""),"Check","OK")</f>
        <v>Check</v>
      </c>
    </row>
    <row r="459" ht="17.6" spans="1:24">
      <c r="A459" s="7">
        <v>960</v>
      </c>
      <c r="B459" s="8" t="s">
        <v>2320</v>
      </c>
      <c r="C459" s="9">
        <v>42269</v>
      </c>
      <c r="D459" s="9">
        <v>42269</v>
      </c>
      <c r="E459" s="8" t="s">
        <v>1358</v>
      </c>
      <c r="F459" s="8" t="s">
        <v>291</v>
      </c>
      <c r="G459" s="8" t="s">
        <v>292</v>
      </c>
      <c r="H459" s="8" t="s">
        <v>111</v>
      </c>
      <c r="I459" s="8" t="s">
        <v>708</v>
      </c>
      <c r="J459" s="8" t="s">
        <v>293</v>
      </c>
      <c r="K459" s="8" t="s">
        <v>136</v>
      </c>
      <c r="L459" s="8">
        <v>92054</v>
      </c>
      <c r="M459" s="8" t="s">
        <v>717</v>
      </c>
      <c r="N459" s="8" t="s">
        <v>2321</v>
      </c>
      <c r="O459" s="8" t="s">
        <v>8</v>
      </c>
      <c r="P459" s="8" t="s">
        <v>727</v>
      </c>
      <c r="Q459" s="8" t="s">
        <v>2322</v>
      </c>
      <c r="R459" s="15">
        <v>204.6</v>
      </c>
      <c r="S459" s="7">
        <v>2</v>
      </c>
      <c r="T459" s="16">
        <v>0</v>
      </c>
      <c r="U459" s="15">
        <v>53.196</v>
      </c>
      <c r="V459" s="22">
        <v>53.196</v>
      </c>
      <c r="W459" s="23">
        <v>204.6</v>
      </c>
      <c r="X459" s="21" t="str" cm="1">
        <f t="array" ref="X459">IF(OR(R459:R996&lt;0,T458:T996&lt;0,C459:C997=""),"Check","OK")</f>
        <v>Check</v>
      </c>
    </row>
    <row r="460" ht="17.6" spans="1:24">
      <c r="A460" s="4">
        <v>961</v>
      </c>
      <c r="B460" s="5" t="s">
        <v>2323</v>
      </c>
      <c r="C460" s="6">
        <v>43053</v>
      </c>
      <c r="D460" s="6">
        <v>43058</v>
      </c>
      <c r="E460" s="5" t="s">
        <v>4</v>
      </c>
      <c r="F460" s="5" t="s">
        <v>2324</v>
      </c>
      <c r="G460" s="5" t="s">
        <v>2325</v>
      </c>
      <c r="H460" s="5" t="s">
        <v>716</v>
      </c>
      <c r="I460" s="5" t="s">
        <v>708</v>
      </c>
      <c r="J460" s="5" t="s">
        <v>188</v>
      </c>
      <c r="K460" s="5" t="s">
        <v>136</v>
      </c>
      <c r="L460" s="5">
        <v>94110</v>
      </c>
      <c r="M460" s="5" t="s">
        <v>717</v>
      </c>
      <c r="N460" s="5" t="s">
        <v>1169</v>
      </c>
      <c r="O460" s="5" t="s">
        <v>8</v>
      </c>
      <c r="P460" s="5" t="s">
        <v>761</v>
      </c>
      <c r="Q460" s="5" t="s">
        <v>1170</v>
      </c>
      <c r="R460" s="12">
        <v>321.568</v>
      </c>
      <c r="S460" s="4">
        <v>2</v>
      </c>
      <c r="T460" s="14">
        <v>0.2</v>
      </c>
      <c r="U460" s="12">
        <v>28.1372</v>
      </c>
      <c r="V460" s="19">
        <v>28.1372</v>
      </c>
      <c r="W460" s="20">
        <v>257.2544</v>
      </c>
      <c r="X460" s="21" t="str" cm="1">
        <f t="array" ref="X460">IF(OR(R460:R997&lt;0,T459:T997&lt;0,C460:C998=""),"Check","OK")</f>
        <v>Check</v>
      </c>
    </row>
    <row r="461" ht="17.6" spans="1:24">
      <c r="A461" s="7">
        <v>962</v>
      </c>
      <c r="B461" s="8" t="s">
        <v>2326</v>
      </c>
      <c r="C461" s="9">
        <v>42335</v>
      </c>
      <c r="D461" s="9">
        <v>42339</v>
      </c>
      <c r="E461" s="8" t="s">
        <v>4</v>
      </c>
      <c r="F461" s="8" t="s">
        <v>2327</v>
      </c>
      <c r="G461" s="8" t="s">
        <v>2328</v>
      </c>
      <c r="H461" s="8" t="s">
        <v>741</v>
      </c>
      <c r="I461" s="8" t="s">
        <v>708</v>
      </c>
      <c r="J461" s="8" t="s">
        <v>494</v>
      </c>
      <c r="K461" s="8" t="s">
        <v>495</v>
      </c>
      <c r="L461" s="8">
        <v>72701</v>
      </c>
      <c r="M461" s="8" t="s">
        <v>709</v>
      </c>
      <c r="N461" s="8" t="s">
        <v>2329</v>
      </c>
      <c r="O461" s="8" t="s">
        <v>9</v>
      </c>
      <c r="P461" s="8" t="s">
        <v>736</v>
      </c>
      <c r="Q461" s="8" t="s">
        <v>2330</v>
      </c>
      <c r="R461" s="15">
        <v>6.24</v>
      </c>
      <c r="S461" s="7">
        <v>2</v>
      </c>
      <c r="T461" s="16">
        <v>0</v>
      </c>
      <c r="U461" s="15">
        <v>3.0576</v>
      </c>
      <c r="V461" s="22">
        <v>3.0576</v>
      </c>
      <c r="W461" s="23">
        <v>6.24</v>
      </c>
      <c r="X461" s="21" t="str" cm="1">
        <f t="array" ref="X461">IF(OR(R461:R998&lt;0,T460:T998&lt;0,C461:C999=""),"Check","OK")</f>
        <v>Check</v>
      </c>
    </row>
    <row r="462" ht="17.6" spans="1:24">
      <c r="A462" s="4">
        <v>963</v>
      </c>
      <c r="B462" s="5" t="s">
        <v>2331</v>
      </c>
      <c r="C462" s="6">
        <v>42614</v>
      </c>
      <c r="D462" s="6">
        <v>42617</v>
      </c>
      <c r="E462" s="5" t="s">
        <v>13</v>
      </c>
      <c r="F462" s="5" t="s">
        <v>945</v>
      </c>
      <c r="G462" s="5" t="s">
        <v>946</v>
      </c>
      <c r="H462" s="5" t="s">
        <v>716</v>
      </c>
      <c r="I462" s="5" t="s">
        <v>708</v>
      </c>
      <c r="J462" s="5" t="s">
        <v>188</v>
      </c>
      <c r="K462" s="5" t="s">
        <v>136</v>
      </c>
      <c r="L462" s="5">
        <v>94110</v>
      </c>
      <c r="M462" s="5" t="s">
        <v>717</v>
      </c>
      <c r="N462" s="5" t="s">
        <v>2332</v>
      </c>
      <c r="O462" s="5" t="s">
        <v>9</v>
      </c>
      <c r="P462" s="5" t="s">
        <v>786</v>
      </c>
      <c r="Q462" s="5" t="s">
        <v>2333</v>
      </c>
      <c r="R462" s="12">
        <v>21.88</v>
      </c>
      <c r="S462" s="4">
        <v>2</v>
      </c>
      <c r="T462" s="14">
        <v>0</v>
      </c>
      <c r="U462" s="12">
        <v>10.94</v>
      </c>
      <c r="V462" s="19">
        <v>10.94</v>
      </c>
      <c r="W462" s="20">
        <v>21.88</v>
      </c>
      <c r="X462" s="21" t="str" cm="1">
        <f t="array" ref="X462">IF(OR(R462:R999&lt;0,T461:T999&lt;0,C462:C1000=""),"Check","OK")</f>
        <v>Check</v>
      </c>
    </row>
    <row r="463" ht="17.6" spans="1:24">
      <c r="A463" s="7">
        <v>964</v>
      </c>
      <c r="B463" s="8" t="s">
        <v>2334</v>
      </c>
      <c r="C463" s="9">
        <v>41904</v>
      </c>
      <c r="D463" s="9">
        <v>41906</v>
      </c>
      <c r="E463" s="8" t="s">
        <v>707</v>
      </c>
      <c r="F463" s="8" t="s">
        <v>508</v>
      </c>
      <c r="G463" s="8" t="s">
        <v>509</v>
      </c>
      <c r="H463" s="8" t="s">
        <v>111</v>
      </c>
      <c r="I463" s="8" t="s">
        <v>708</v>
      </c>
      <c r="J463" s="8" t="s">
        <v>510</v>
      </c>
      <c r="K463" s="8" t="s">
        <v>172</v>
      </c>
      <c r="L463" s="8">
        <v>33433</v>
      </c>
      <c r="M463" s="8" t="s">
        <v>709</v>
      </c>
      <c r="N463" s="8" t="s">
        <v>2335</v>
      </c>
      <c r="O463" s="8" t="s">
        <v>9</v>
      </c>
      <c r="P463" s="8" t="s">
        <v>719</v>
      </c>
      <c r="Q463" s="8" t="s">
        <v>2336</v>
      </c>
      <c r="R463" s="15">
        <v>4.608</v>
      </c>
      <c r="S463" s="7">
        <v>2</v>
      </c>
      <c r="T463" s="16">
        <v>0.2</v>
      </c>
      <c r="U463" s="15">
        <v>1.6704</v>
      </c>
      <c r="V463" s="22">
        <v>1.6704</v>
      </c>
      <c r="W463" s="23">
        <v>3.6864</v>
      </c>
      <c r="X463" s="21" t="str" cm="1">
        <f t="array" ref="X463">IF(OR(R463:R1000&lt;0,T462:T1000&lt;0,C463:C1001=""),"Check","OK")</f>
        <v>Check</v>
      </c>
    </row>
    <row r="464" ht="17.6" spans="1:24">
      <c r="A464" s="4">
        <v>965</v>
      </c>
      <c r="B464" s="5" t="s">
        <v>2337</v>
      </c>
      <c r="C464" s="6">
        <v>42834</v>
      </c>
      <c r="D464" s="6">
        <v>42836</v>
      </c>
      <c r="E464" s="5" t="s">
        <v>13</v>
      </c>
      <c r="F464" s="5" t="s">
        <v>2338</v>
      </c>
      <c r="G464" s="5" t="s">
        <v>2339</v>
      </c>
      <c r="H464" s="5" t="s">
        <v>741</v>
      </c>
      <c r="I464" s="5" t="s">
        <v>708</v>
      </c>
      <c r="J464" s="5" t="s">
        <v>204</v>
      </c>
      <c r="K464" s="5" t="s">
        <v>168</v>
      </c>
      <c r="L464" s="5">
        <v>10011</v>
      </c>
      <c r="M464" s="5" t="s">
        <v>759</v>
      </c>
      <c r="N464" s="5" t="s">
        <v>2340</v>
      </c>
      <c r="O464" s="5" t="s">
        <v>9</v>
      </c>
      <c r="P464" s="5" t="s">
        <v>719</v>
      </c>
      <c r="Q464" s="5" t="s">
        <v>2341</v>
      </c>
      <c r="R464" s="12">
        <v>9.82</v>
      </c>
      <c r="S464" s="4">
        <v>2</v>
      </c>
      <c r="T464" s="14">
        <v>0</v>
      </c>
      <c r="U464" s="12">
        <v>4.8118</v>
      </c>
      <c r="V464" s="19">
        <v>4.8118</v>
      </c>
      <c r="W464" s="20">
        <v>9.82</v>
      </c>
      <c r="X464" s="21" t="str" cm="1">
        <f t="array" ref="X464">IF(OR(R464:R1001&lt;0,T463:T1001&lt;0,C464:C1002=""),"Check","OK")</f>
        <v>Check</v>
      </c>
    </row>
    <row r="465" ht="17.6" spans="1:24">
      <c r="A465" s="7">
        <v>971</v>
      </c>
      <c r="B465" s="8" t="s">
        <v>2342</v>
      </c>
      <c r="C465" s="9">
        <v>41655</v>
      </c>
      <c r="D465" s="9">
        <v>41657</v>
      </c>
      <c r="E465" s="8" t="s">
        <v>707</v>
      </c>
      <c r="F465" s="8" t="s">
        <v>294</v>
      </c>
      <c r="G465" s="8" t="s">
        <v>295</v>
      </c>
      <c r="H465" s="8" t="s">
        <v>111</v>
      </c>
      <c r="I465" s="8" t="s">
        <v>708</v>
      </c>
      <c r="J465" s="8" t="s">
        <v>175</v>
      </c>
      <c r="K465" s="8" t="s">
        <v>176</v>
      </c>
      <c r="L465" s="8">
        <v>19134</v>
      </c>
      <c r="M465" s="8" t="s">
        <v>759</v>
      </c>
      <c r="N465" s="8" t="s">
        <v>2343</v>
      </c>
      <c r="O465" s="8" t="s">
        <v>8</v>
      </c>
      <c r="P465" s="8" t="s">
        <v>727</v>
      </c>
      <c r="Q465" s="8" t="s">
        <v>2344</v>
      </c>
      <c r="R465" s="15">
        <v>127.104</v>
      </c>
      <c r="S465" s="7">
        <v>6</v>
      </c>
      <c r="T465" s="16">
        <v>0.2</v>
      </c>
      <c r="U465" s="15">
        <v>28.5984</v>
      </c>
      <c r="V465" s="22">
        <v>28.5984</v>
      </c>
      <c r="W465" s="23">
        <v>101.6832</v>
      </c>
      <c r="X465" s="21" t="str" cm="1">
        <f t="array" ref="X465">IF(OR(R465:R1002&lt;0,T464:T1002&lt;0,C465:C1003=""),"Check","OK")</f>
        <v>Check</v>
      </c>
    </row>
    <row r="466" ht="17.6" spans="1:24">
      <c r="A466" s="4">
        <v>975</v>
      </c>
      <c r="B466" s="5" t="s">
        <v>2345</v>
      </c>
      <c r="C466" s="6">
        <v>43013</v>
      </c>
      <c r="D466" s="6">
        <v>43016</v>
      </c>
      <c r="E466" s="5" t="s">
        <v>707</v>
      </c>
      <c r="F466" s="5" t="s">
        <v>1958</v>
      </c>
      <c r="G466" s="5" t="s">
        <v>1959</v>
      </c>
      <c r="H466" s="5" t="s">
        <v>741</v>
      </c>
      <c r="I466" s="5" t="s">
        <v>708</v>
      </c>
      <c r="J466" s="5" t="s">
        <v>204</v>
      </c>
      <c r="K466" s="5" t="s">
        <v>168</v>
      </c>
      <c r="L466" s="5">
        <v>10011</v>
      </c>
      <c r="M466" s="5" t="s">
        <v>759</v>
      </c>
      <c r="N466" s="5" t="s">
        <v>1620</v>
      </c>
      <c r="O466" s="5" t="s">
        <v>10</v>
      </c>
      <c r="P466" s="5" t="s">
        <v>780</v>
      </c>
      <c r="Q466" s="5" t="s">
        <v>1621</v>
      </c>
      <c r="R466" s="12">
        <v>160.93</v>
      </c>
      <c r="S466" s="4">
        <v>7</v>
      </c>
      <c r="T466" s="14">
        <v>0</v>
      </c>
      <c r="U466" s="12">
        <v>3.2186</v>
      </c>
      <c r="V466" s="19">
        <v>3.2186</v>
      </c>
      <c r="W466" s="20">
        <v>160.93</v>
      </c>
      <c r="X466" s="21" t="str" cm="1">
        <f t="array" ref="X466">IF(OR(R466:R1003&lt;0,T465:T1003&lt;0,C466:C1004=""),"Check","OK")</f>
        <v>Check</v>
      </c>
    </row>
    <row r="467" ht="17.6" spans="1:24">
      <c r="A467" s="7">
        <v>977</v>
      </c>
      <c r="B467" s="8" t="s">
        <v>2346</v>
      </c>
      <c r="C467" s="9">
        <v>42925</v>
      </c>
      <c r="D467" s="9">
        <v>42931</v>
      </c>
      <c r="E467" s="8" t="s">
        <v>4</v>
      </c>
      <c r="F467" s="8" t="s">
        <v>663</v>
      </c>
      <c r="G467" s="8" t="s">
        <v>664</v>
      </c>
      <c r="H467" s="8" t="s">
        <v>111</v>
      </c>
      <c r="I467" s="8" t="s">
        <v>708</v>
      </c>
      <c r="J467" s="8" t="s">
        <v>659</v>
      </c>
      <c r="K467" s="8" t="s">
        <v>660</v>
      </c>
      <c r="L467" s="8">
        <v>97206</v>
      </c>
      <c r="M467" s="8" t="s">
        <v>717</v>
      </c>
      <c r="N467" s="8" t="s">
        <v>2347</v>
      </c>
      <c r="O467" s="8" t="s">
        <v>9</v>
      </c>
      <c r="P467" s="8" t="s">
        <v>736</v>
      </c>
      <c r="Q467" s="8" t="s">
        <v>2348</v>
      </c>
      <c r="R467" s="15">
        <v>1.08</v>
      </c>
      <c r="S467" s="7">
        <v>2</v>
      </c>
      <c r="T467" s="16">
        <v>0.7</v>
      </c>
      <c r="U467" s="15">
        <v>-0.792</v>
      </c>
      <c r="V467" s="22">
        <v>0.792</v>
      </c>
      <c r="W467" s="23">
        <v>0.324</v>
      </c>
      <c r="X467" s="21" t="str" cm="1">
        <f t="array" ref="X467">IF(OR(R467:R1004&lt;0,T466:T1004&lt;0,C467:C1005=""),"Check","OK")</f>
        <v>Check</v>
      </c>
    </row>
    <row r="468" ht="17.6" spans="1:24">
      <c r="A468" s="4">
        <v>978</v>
      </c>
      <c r="B468" s="5" t="s">
        <v>2349</v>
      </c>
      <c r="C468" s="6">
        <v>42742</v>
      </c>
      <c r="D468" s="6">
        <v>42745</v>
      </c>
      <c r="E468" s="5" t="s">
        <v>13</v>
      </c>
      <c r="F468" s="5" t="s">
        <v>2073</v>
      </c>
      <c r="G468" s="5" t="s">
        <v>2074</v>
      </c>
      <c r="H468" s="5" t="s">
        <v>716</v>
      </c>
      <c r="I468" s="5" t="s">
        <v>708</v>
      </c>
      <c r="J468" s="5" t="s">
        <v>162</v>
      </c>
      <c r="K468" s="5" t="s">
        <v>163</v>
      </c>
      <c r="L468" s="5">
        <v>48205</v>
      </c>
      <c r="M468" s="5" t="s">
        <v>742</v>
      </c>
      <c r="N468" s="5" t="s">
        <v>1193</v>
      </c>
      <c r="O468" s="5" t="s">
        <v>10</v>
      </c>
      <c r="P468" s="5" t="s">
        <v>1194</v>
      </c>
      <c r="Q468" s="5" t="s">
        <v>1195</v>
      </c>
      <c r="R468" s="12">
        <v>3059.982</v>
      </c>
      <c r="S468" s="4">
        <v>2</v>
      </c>
      <c r="T468" s="14">
        <v>0.1</v>
      </c>
      <c r="U468" s="12">
        <v>679.996</v>
      </c>
      <c r="V468" s="19">
        <v>679.996</v>
      </c>
      <c r="W468" s="20">
        <v>2753.9838</v>
      </c>
      <c r="X468" s="21" t="str" cm="1">
        <f t="array" ref="X468">IF(OR(R468:R1005&lt;0,T467:T1005&lt;0,C468:C1006=""),"Check","OK")</f>
        <v>Check</v>
      </c>
    </row>
    <row r="469" ht="17.6" spans="1:24">
      <c r="A469" s="7">
        <v>979</v>
      </c>
      <c r="B469" s="8" t="s">
        <v>2350</v>
      </c>
      <c r="C469" s="9">
        <v>42520</v>
      </c>
      <c r="D469" s="9">
        <v>42521</v>
      </c>
      <c r="E469" s="8" t="s">
        <v>13</v>
      </c>
      <c r="F469" s="8" t="s">
        <v>609</v>
      </c>
      <c r="G469" s="8" t="s">
        <v>610</v>
      </c>
      <c r="H469" s="8" t="s">
        <v>111</v>
      </c>
      <c r="I469" s="8" t="s">
        <v>708</v>
      </c>
      <c r="J469" s="8" t="s">
        <v>164</v>
      </c>
      <c r="K469" s="8" t="s">
        <v>128</v>
      </c>
      <c r="L469" s="8">
        <v>28403</v>
      </c>
      <c r="M469" s="8" t="s">
        <v>709</v>
      </c>
      <c r="N469" s="8" t="s">
        <v>1735</v>
      </c>
      <c r="O469" s="8" t="s">
        <v>9</v>
      </c>
      <c r="P469" s="8" t="s">
        <v>736</v>
      </c>
      <c r="Q469" s="8" t="s">
        <v>1736</v>
      </c>
      <c r="R469" s="15">
        <v>3.282</v>
      </c>
      <c r="S469" s="7">
        <v>2</v>
      </c>
      <c r="T469" s="16">
        <v>0.7</v>
      </c>
      <c r="U469" s="15">
        <v>-2.6256</v>
      </c>
      <c r="V469" s="22">
        <v>2.6256</v>
      </c>
      <c r="W469" s="23">
        <v>0.9846</v>
      </c>
      <c r="X469" s="21" t="str" cm="1">
        <f t="array" ref="X469">IF(OR(R469:R1006&lt;0,T468:T1006&lt;0,C469:C1007=""),"Check","OK")</f>
        <v>Check</v>
      </c>
    </row>
    <row r="470" ht="17.6" spans="1:24">
      <c r="A470" s="4">
        <v>980</v>
      </c>
      <c r="B470" s="5" t="s">
        <v>2351</v>
      </c>
      <c r="C470" s="6">
        <v>42347</v>
      </c>
      <c r="D470" s="6">
        <v>42350</v>
      </c>
      <c r="E470" s="5" t="s">
        <v>13</v>
      </c>
      <c r="F470" s="5" t="s">
        <v>864</v>
      </c>
      <c r="G470" s="5" t="s">
        <v>865</v>
      </c>
      <c r="H470" s="5" t="s">
        <v>716</v>
      </c>
      <c r="I470" s="5" t="s">
        <v>708</v>
      </c>
      <c r="J470" s="5" t="s">
        <v>211</v>
      </c>
      <c r="K470" s="5" t="s">
        <v>304</v>
      </c>
      <c r="L470" s="5">
        <v>47201</v>
      </c>
      <c r="M470" s="5" t="s">
        <v>742</v>
      </c>
      <c r="N470" s="5" t="s">
        <v>2352</v>
      </c>
      <c r="O470" s="5" t="s">
        <v>9</v>
      </c>
      <c r="P470" s="5" t="s">
        <v>731</v>
      </c>
      <c r="Q470" s="5" t="s">
        <v>2353</v>
      </c>
      <c r="R470" s="33">
        <v>34.02</v>
      </c>
      <c r="S470" s="4">
        <v>3</v>
      </c>
      <c r="T470" s="14">
        <v>0</v>
      </c>
      <c r="U470" s="12">
        <v>16.6698</v>
      </c>
      <c r="V470" s="19">
        <v>16.6698</v>
      </c>
      <c r="W470" s="20">
        <v>34.02</v>
      </c>
      <c r="X470" s="21" t="str" cm="1">
        <f t="array" ref="X470">IF(OR(R470:R1007&lt;0,T469:T1007&lt;0,C470:C1008=""),"Check","OK")</f>
        <v>Check</v>
      </c>
    </row>
    <row r="471" ht="17.6" spans="1:24">
      <c r="A471" s="7">
        <v>981</v>
      </c>
      <c r="B471" s="8" t="s">
        <v>2354</v>
      </c>
      <c r="C471" s="9">
        <v>42646</v>
      </c>
      <c r="D471" s="9">
        <v>42651</v>
      </c>
      <c r="E471" s="8" t="s">
        <v>4</v>
      </c>
      <c r="F471" s="8" t="s">
        <v>309</v>
      </c>
      <c r="G471" s="8" t="s">
        <v>310</v>
      </c>
      <c r="H471" s="8" t="s">
        <v>111</v>
      </c>
      <c r="I471" s="8" t="s">
        <v>708</v>
      </c>
      <c r="J471" s="8" t="s">
        <v>204</v>
      </c>
      <c r="K471" s="8" t="s">
        <v>168</v>
      </c>
      <c r="L471" s="8">
        <v>10035</v>
      </c>
      <c r="M471" s="8" t="s">
        <v>759</v>
      </c>
      <c r="N471" s="8" t="s">
        <v>2355</v>
      </c>
      <c r="O471" s="8" t="s">
        <v>8</v>
      </c>
      <c r="P471" s="8" t="s">
        <v>761</v>
      </c>
      <c r="Q471" s="8" t="s">
        <v>2356</v>
      </c>
      <c r="R471" s="34">
        <v>599.292</v>
      </c>
      <c r="S471" s="7">
        <v>6</v>
      </c>
      <c r="T471" s="16">
        <v>0.1</v>
      </c>
      <c r="U471" s="15">
        <v>93.2232</v>
      </c>
      <c r="V471" s="22">
        <v>93.2232</v>
      </c>
      <c r="W471" s="23">
        <v>539.3628</v>
      </c>
      <c r="X471" s="21" t="str" cm="1">
        <f t="array" ref="X471">IF(OR(R471:R1008&lt;0,T470:T1008&lt;0,C471:C1009=""),"Check","OK")</f>
        <v>Check</v>
      </c>
    </row>
    <row r="472" ht="17.6" spans="1:24">
      <c r="A472" s="4">
        <v>982</v>
      </c>
      <c r="B472" s="5" t="s">
        <v>2357</v>
      </c>
      <c r="C472" s="6">
        <v>41954</v>
      </c>
      <c r="D472" s="6">
        <v>41957</v>
      </c>
      <c r="E472" s="5" t="s">
        <v>707</v>
      </c>
      <c r="F472" s="5" t="s">
        <v>681</v>
      </c>
      <c r="G472" s="5" t="s">
        <v>682</v>
      </c>
      <c r="H472" s="5" t="s">
        <v>111</v>
      </c>
      <c r="I472" s="5" t="s">
        <v>708</v>
      </c>
      <c r="J472" s="5" t="s">
        <v>141</v>
      </c>
      <c r="K472" s="5" t="s">
        <v>217</v>
      </c>
      <c r="L472" s="5">
        <v>80027</v>
      </c>
      <c r="M472" s="5" t="s">
        <v>717</v>
      </c>
      <c r="N472" s="5" t="s">
        <v>25</v>
      </c>
      <c r="O472" s="5" t="s">
        <v>9</v>
      </c>
      <c r="P472" s="5" t="s">
        <v>16</v>
      </c>
      <c r="Q472" s="5" t="s">
        <v>24</v>
      </c>
      <c r="R472" s="33">
        <v>3.392</v>
      </c>
      <c r="S472" s="4">
        <v>1</v>
      </c>
      <c r="T472" s="14">
        <v>0.2</v>
      </c>
      <c r="U472" s="12">
        <v>0.8056</v>
      </c>
      <c r="V472" s="19">
        <v>0.8056</v>
      </c>
      <c r="W472" s="20">
        <v>2.7136</v>
      </c>
      <c r="X472" s="21" t="str" cm="1">
        <f t="array" ref="X472">IF(OR(R472:R1009&lt;0,T471:T1009&lt;0,C472:C1010=""),"Check","OK")</f>
        <v>Check</v>
      </c>
    </row>
    <row r="473" ht="17.6" spans="1:24">
      <c r="A473" s="7">
        <v>985</v>
      </c>
      <c r="B473" s="8" t="s">
        <v>2358</v>
      </c>
      <c r="C473" s="9">
        <v>43007</v>
      </c>
      <c r="D473" s="9">
        <v>43013</v>
      </c>
      <c r="E473" s="8" t="s">
        <v>4</v>
      </c>
      <c r="F473" s="8" t="s">
        <v>2359</v>
      </c>
      <c r="G473" s="8" t="s">
        <v>2360</v>
      </c>
      <c r="H473" s="8" t="s">
        <v>741</v>
      </c>
      <c r="I473" s="8" t="s">
        <v>708</v>
      </c>
      <c r="J473" s="8" t="s">
        <v>352</v>
      </c>
      <c r="K473" s="8" t="s">
        <v>132</v>
      </c>
      <c r="L473" s="8">
        <v>77506</v>
      </c>
      <c r="M473" s="8" t="s">
        <v>742</v>
      </c>
      <c r="N473" s="8" t="s">
        <v>2041</v>
      </c>
      <c r="O473" s="8" t="s">
        <v>9</v>
      </c>
      <c r="P473" s="8" t="s">
        <v>719</v>
      </c>
      <c r="Q473" s="8" t="s">
        <v>2042</v>
      </c>
      <c r="R473" s="34">
        <v>7.968</v>
      </c>
      <c r="S473" s="7">
        <v>2</v>
      </c>
      <c r="T473" s="16">
        <v>0.2</v>
      </c>
      <c r="U473" s="15">
        <v>2.5896</v>
      </c>
      <c r="V473" s="22">
        <v>2.5896</v>
      </c>
      <c r="W473" s="23">
        <v>6.3744</v>
      </c>
      <c r="X473" s="21" t="str" cm="1">
        <f t="array" ref="X473">IF(OR(R473:R1010&lt;0,T472:T1010&lt;0,C473:C1011=""),"Check","OK")</f>
        <v>Check</v>
      </c>
    </row>
    <row r="474" ht="17.6" spans="1:24">
      <c r="A474" s="4">
        <v>988</v>
      </c>
      <c r="B474" s="5" t="s">
        <v>2361</v>
      </c>
      <c r="C474" s="6">
        <v>42073</v>
      </c>
      <c r="D474" s="6">
        <v>42073</v>
      </c>
      <c r="E474" s="5" t="s">
        <v>1358</v>
      </c>
      <c r="F474" s="5" t="s">
        <v>675</v>
      </c>
      <c r="G474" s="5" t="s">
        <v>676</v>
      </c>
      <c r="H474" s="5" t="s">
        <v>111</v>
      </c>
      <c r="I474" s="5" t="s">
        <v>708</v>
      </c>
      <c r="J474" s="5" t="s">
        <v>131</v>
      </c>
      <c r="K474" s="5" t="s">
        <v>132</v>
      </c>
      <c r="L474" s="5">
        <v>77041</v>
      </c>
      <c r="M474" s="5" t="s">
        <v>742</v>
      </c>
      <c r="N474" s="5" t="s">
        <v>2362</v>
      </c>
      <c r="O474" s="5" t="s">
        <v>9</v>
      </c>
      <c r="P474" s="5" t="s">
        <v>736</v>
      </c>
      <c r="Q474" s="5" t="s">
        <v>2363</v>
      </c>
      <c r="R474" s="33">
        <v>1.112</v>
      </c>
      <c r="S474" s="4">
        <v>2</v>
      </c>
      <c r="T474" s="14">
        <v>0.8</v>
      </c>
      <c r="U474" s="12">
        <v>-1.8904</v>
      </c>
      <c r="V474" s="19">
        <v>1.8904</v>
      </c>
      <c r="W474" s="20">
        <v>0.2224</v>
      </c>
      <c r="X474" s="21" t="str" cm="1">
        <f t="array" ref="X474">IF(OR(R474:R1011&lt;0,T473:T1011&lt;0,C474:C1012=""),"Check","OK")</f>
        <v>Check</v>
      </c>
    </row>
    <row r="475" ht="17.6" spans="1:24">
      <c r="A475" s="7">
        <v>989</v>
      </c>
      <c r="B475" s="8" t="s">
        <v>2364</v>
      </c>
      <c r="C475" s="9">
        <v>42876</v>
      </c>
      <c r="D475" s="9">
        <v>42881</v>
      </c>
      <c r="E475" s="8" t="s">
        <v>4</v>
      </c>
      <c r="F475" s="8" t="s">
        <v>1561</v>
      </c>
      <c r="G475" s="8" t="s">
        <v>1562</v>
      </c>
      <c r="H475" s="8" t="s">
        <v>716</v>
      </c>
      <c r="I475" s="8" t="s">
        <v>708</v>
      </c>
      <c r="J475" s="8" t="s">
        <v>575</v>
      </c>
      <c r="K475" s="8" t="s">
        <v>168</v>
      </c>
      <c r="L475" s="8">
        <v>13021</v>
      </c>
      <c r="M475" s="8" t="s">
        <v>759</v>
      </c>
      <c r="N475" s="8" t="s">
        <v>1875</v>
      </c>
      <c r="O475" s="8" t="s">
        <v>8</v>
      </c>
      <c r="P475" s="8" t="s">
        <v>727</v>
      </c>
      <c r="Q475" s="8" t="s">
        <v>1876</v>
      </c>
      <c r="R475" s="34">
        <v>520.05</v>
      </c>
      <c r="S475" s="7">
        <v>5</v>
      </c>
      <c r="T475" s="16">
        <v>0</v>
      </c>
      <c r="U475" s="15">
        <v>72.807</v>
      </c>
      <c r="V475" s="22">
        <v>72.807</v>
      </c>
      <c r="W475" s="23">
        <v>520.05</v>
      </c>
      <c r="X475" s="21" t="str" cm="1">
        <f t="array" ref="X475">IF(OR(R475:R1012&lt;0,T474:T1012&lt;0,C475:C1013=""),"Check","OK")</f>
        <v>Check</v>
      </c>
    </row>
    <row r="476" ht="17.6" spans="1:24">
      <c r="A476" s="4">
        <v>991</v>
      </c>
      <c r="B476" s="5" t="s">
        <v>2365</v>
      </c>
      <c r="C476" s="6">
        <v>42092</v>
      </c>
      <c r="D476" s="6">
        <v>42094</v>
      </c>
      <c r="E476" s="5" t="s">
        <v>707</v>
      </c>
      <c r="F476" s="5" t="s">
        <v>2366</v>
      </c>
      <c r="G476" s="5" t="s">
        <v>2367</v>
      </c>
      <c r="H476" s="5" t="s">
        <v>741</v>
      </c>
      <c r="I476" s="5" t="s">
        <v>708</v>
      </c>
      <c r="J476" s="5" t="s">
        <v>408</v>
      </c>
      <c r="K476" s="5" t="s">
        <v>172</v>
      </c>
      <c r="L476" s="5">
        <v>32216</v>
      </c>
      <c r="M476" s="5" t="s">
        <v>709</v>
      </c>
      <c r="N476" s="5" t="s">
        <v>2368</v>
      </c>
      <c r="O476" s="5" t="s">
        <v>8</v>
      </c>
      <c r="P476" s="5" t="s">
        <v>761</v>
      </c>
      <c r="Q476" s="5" t="s">
        <v>2369</v>
      </c>
      <c r="R476" s="33">
        <v>1166.92</v>
      </c>
      <c r="S476" s="4">
        <v>5</v>
      </c>
      <c r="T476" s="14">
        <v>0.2</v>
      </c>
      <c r="U476" s="12">
        <v>131.2785</v>
      </c>
      <c r="V476" s="19">
        <v>131.2785</v>
      </c>
      <c r="W476" s="20">
        <v>933.536</v>
      </c>
      <c r="X476" s="21" t="str" cm="1">
        <f t="array" ref="X476">IF(OR(R476:R1013&lt;0,T475:T1013&lt;0,C476:C1014=""),"Check","OK")</f>
        <v>Check</v>
      </c>
    </row>
    <row r="477" ht="17.6" spans="1:24">
      <c r="A477" s="7">
        <v>992</v>
      </c>
      <c r="B477" s="8" t="s">
        <v>2370</v>
      </c>
      <c r="C477" s="9">
        <v>42622</v>
      </c>
      <c r="D477" s="9">
        <v>42624</v>
      </c>
      <c r="E477" s="8" t="s">
        <v>13</v>
      </c>
      <c r="F477" s="8" t="s">
        <v>677</v>
      </c>
      <c r="G477" s="8" t="s">
        <v>678</v>
      </c>
      <c r="H477" s="8" t="s">
        <v>111</v>
      </c>
      <c r="I477" s="8" t="s">
        <v>708</v>
      </c>
      <c r="J477" s="8" t="s">
        <v>204</v>
      </c>
      <c r="K477" s="8" t="s">
        <v>168</v>
      </c>
      <c r="L477" s="8">
        <v>10024</v>
      </c>
      <c r="M477" s="8" t="s">
        <v>759</v>
      </c>
      <c r="N477" s="8" t="s">
        <v>2016</v>
      </c>
      <c r="O477" s="8" t="s">
        <v>9</v>
      </c>
      <c r="P477" s="8" t="s">
        <v>736</v>
      </c>
      <c r="Q477" s="8" t="s">
        <v>2017</v>
      </c>
      <c r="R477" s="34">
        <v>14.624</v>
      </c>
      <c r="S477" s="7">
        <v>2</v>
      </c>
      <c r="T477" s="16">
        <v>0.2</v>
      </c>
      <c r="U477" s="15">
        <v>5.484</v>
      </c>
      <c r="V477" s="22">
        <v>5.484</v>
      </c>
      <c r="W477" s="23">
        <v>11.6992</v>
      </c>
      <c r="X477" s="21" t="str" cm="1">
        <f t="array" ref="X477">IF(OR(R477:R1014&lt;0,T476:T1014&lt;0,C477:C1015=""),"Check","OK")</f>
        <v>Check</v>
      </c>
    </row>
    <row r="478" ht="17.6" spans="1:24">
      <c r="A478" s="4">
        <v>993</v>
      </c>
      <c r="B478" s="5" t="s">
        <v>2371</v>
      </c>
      <c r="C478" s="6">
        <v>42608</v>
      </c>
      <c r="D478" s="6">
        <v>42609</v>
      </c>
      <c r="E478" s="5" t="s">
        <v>13</v>
      </c>
      <c r="F478" s="5" t="s">
        <v>591</v>
      </c>
      <c r="G478" s="5" t="s">
        <v>592</v>
      </c>
      <c r="H478" s="5" t="s">
        <v>111</v>
      </c>
      <c r="I478" s="5" t="s">
        <v>708</v>
      </c>
      <c r="J478" s="5" t="s">
        <v>593</v>
      </c>
      <c r="K478" s="5" t="s">
        <v>136</v>
      </c>
      <c r="L478" s="5">
        <v>95123</v>
      </c>
      <c r="M478" s="5" t="s">
        <v>717</v>
      </c>
      <c r="N478" s="5" t="s">
        <v>1250</v>
      </c>
      <c r="O478" s="5" t="s">
        <v>9</v>
      </c>
      <c r="P478" s="5" t="s">
        <v>824</v>
      </c>
      <c r="Q478" s="5" t="s">
        <v>1251</v>
      </c>
      <c r="R478" s="33">
        <v>10.23</v>
      </c>
      <c r="S478" s="4">
        <v>3</v>
      </c>
      <c r="T478" s="14">
        <v>0</v>
      </c>
      <c r="U478" s="12">
        <v>4.9104</v>
      </c>
      <c r="V478" s="19">
        <v>4.9104</v>
      </c>
      <c r="W478" s="20">
        <v>10.23</v>
      </c>
      <c r="X478" s="21" t="str" cm="1">
        <f t="array" ref="X478">IF(OR(R478:R1015&lt;0,T477:T1015&lt;0,C478:C1016=""),"Check","OK")</f>
        <v>Check</v>
      </c>
    </row>
    <row r="479" ht="17.6" spans="1:24">
      <c r="A479" s="7">
        <v>995</v>
      </c>
      <c r="B479" s="8" t="s">
        <v>2372</v>
      </c>
      <c r="C479" s="9">
        <v>41780</v>
      </c>
      <c r="D479" s="9">
        <v>41784</v>
      </c>
      <c r="E479" s="8" t="s">
        <v>4</v>
      </c>
      <c r="F479" s="8" t="s">
        <v>2373</v>
      </c>
      <c r="G479" s="8" t="s">
        <v>2374</v>
      </c>
      <c r="H479" s="8" t="s">
        <v>716</v>
      </c>
      <c r="I479" s="8" t="s">
        <v>708</v>
      </c>
      <c r="J479" s="8" t="s">
        <v>2375</v>
      </c>
      <c r="K479" s="8" t="s">
        <v>288</v>
      </c>
      <c r="L479" s="8">
        <v>23464</v>
      </c>
      <c r="M479" s="8" t="s">
        <v>709</v>
      </c>
      <c r="N479" s="8" t="s">
        <v>2376</v>
      </c>
      <c r="O479" s="8" t="s">
        <v>9</v>
      </c>
      <c r="P479" s="8" t="s">
        <v>736</v>
      </c>
      <c r="Q479" s="8" t="s">
        <v>2377</v>
      </c>
      <c r="R479" s="34">
        <v>2715.93</v>
      </c>
      <c r="S479" s="7">
        <v>7</v>
      </c>
      <c r="T479" s="16">
        <v>0</v>
      </c>
      <c r="U479" s="15">
        <v>1276.4871</v>
      </c>
      <c r="V479" s="22">
        <v>1276.4871</v>
      </c>
      <c r="W479" s="23">
        <v>2715.93</v>
      </c>
      <c r="X479" s="21" t="str" cm="1">
        <f t="array" ref="X479">IF(OR(R479:R1016&lt;0,T478:T1016&lt;0,C479:C1017=""),"Check","OK")</f>
        <v>Check</v>
      </c>
    </row>
    <row r="480" ht="17.6" spans="1:24">
      <c r="A480" s="4">
        <v>997</v>
      </c>
      <c r="B480" s="5" t="s">
        <v>2378</v>
      </c>
      <c r="C480" s="6">
        <v>42305</v>
      </c>
      <c r="D480" s="6">
        <v>42311</v>
      </c>
      <c r="E480" s="5" t="s">
        <v>4</v>
      </c>
      <c r="F480" s="5" t="s">
        <v>585</v>
      </c>
      <c r="G480" s="5" t="s">
        <v>586</v>
      </c>
      <c r="H480" s="5" t="s">
        <v>111</v>
      </c>
      <c r="I480" s="5" t="s">
        <v>708</v>
      </c>
      <c r="J480" s="5" t="s">
        <v>240</v>
      </c>
      <c r="K480" s="5" t="s">
        <v>142</v>
      </c>
      <c r="L480" s="5">
        <v>42420</v>
      </c>
      <c r="M480" s="5" t="s">
        <v>709</v>
      </c>
      <c r="N480" s="5" t="s">
        <v>2379</v>
      </c>
      <c r="O480" s="5" t="s">
        <v>9</v>
      </c>
      <c r="P480" s="5" t="s">
        <v>786</v>
      </c>
      <c r="Q480" s="5" t="s">
        <v>2380</v>
      </c>
      <c r="R480" s="33">
        <v>10.67</v>
      </c>
      <c r="S480" s="4">
        <v>1</v>
      </c>
      <c r="T480" s="14">
        <v>0</v>
      </c>
      <c r="U480" s="12">
        <v>4.9082</v>
      </c>
      <c r="V480" s="19">
        <v>4.9082</v>
      </c>
      <c r="W480" s="20">
        <v>10.67</v>
      </c>
      <c r="X480" s="21" t="str" cm="1">
        <f t="array" ref="X480">IF(OR(R480:R1017&lt;0,T479:T1017&lt;0,C480:C1018=""),"Check","OK")</f>
        <v>Check</v>
      </c>
    </row>
    <row r="481" ht="17.6" spans="1:24">
      <c r="A481" s="7">
        <v>1001</v>
      </c>
      <c r="B481" s="8" t="s">
        <v>2381</v>
      </c>
      <c r="C481" s="9">
        <v>42687</v>
      </c>
      <c r="D481" s="9">
        <v>42691</v>
      </c>
      <c r="E481" s="8" t="s">
        <v>4</v>
      </c>
      <c r="F481" s="8" t="s">
        <v>1074</v>
      </c>
      <c r="G481" s="8" t="s">
        <v>1075</v>
      </c>
      <c r="H481" s="8" t="s">
        <v>741</v>
      </c>
      <c r="I481" s="8" t="s">
        <v>708</v>
      </c>
      <c r="J481" s="8" t="s">
        <v>1818</v>
      </c>
      <c r="K481" s="8" t="s">
        <v>185</v>
      </c>
      <c r="L481" s="8">
        <v>98661</v>
      </c>
      <c r="M481" s="8" t="s">
        <v>717</v>
      </c>
      <c r="N481" s="8" t="s">
        <v>35</v>
      </c>
      <c r="O481" s="8" t="s">
        <v>9</v>
      </c>
      <c r="P481" s="8" t="s">
        <v>16</v>
      </c>
      <c r="Q481" s="8" t="s">
        <v>34</v>
      </c>
      <c r="R481" s="34">
        <v>44.02</v>
      </c>
      <c r="S481" s="7">
        <v>2</v>
      </c>
      <c r="T481" s="16">
        <v>0</v>
      </c>
      <c r="U481" s="15">
        <v>11.4452</v>
      </c>
      <c r="V481" s="22">
        <v>11.4452</v>
      </c>
      <c r="W481" s="23">
        <v>44.02</v>
      </c>
      <c r="X481" s="21" t="str" cm="1">
        <f t="array" ref="X481">IF(OR(R481:R1018&lt;0,T480:T1018&lt;0,C481:C1019=""),"Check","OK")</f>
        <v>Check</v>
      </c>
    </row>
    <row r="482" ht="17.6" spans="1:24">
      <c r="A482" s="4">
        <v>1002</v>
      </c>
      <c r="B482" s="5" t="s">
        <v>2382</v>
      </c>
      <c r="C482" s="6">
        <v>42216</v>
      </c>
      <c r="D482" s="6">
        <v>42216</v>
      </c>
      <c r="E482" s="5" t="s">
        <v>1358</v>
      </c>
      <c r="F482" s="5" t="s">
        <v>597</v>
      </c>
      <c r="G482" s="5" t="s">
        <v>598</v>
      </c>
      <c r="H482" s="5" t="s">
        <v>111</v>
      </c>
      <c r="I482" s="5" t="s">
        <v>708</v>
      </c>
      <c r="J482" s="5" t="s">
        <v>204</v>
      </c>
      <c r="K482" s="5" t="s">
        <v>168</v>
      </c>
      <c r="L482" s="5">
        <v>10024</v>
      </c>
      <c r="M482" s="5" t="s">
        <v>759</v>
      </c>
      <c r="N482" s="5" t="s">
        <v>2383</v>
      </c>
      <c r="O482" s="5" t="s">
        <v>10</v>
      </c>
      <c r="P482" s="5" t="s">
        <v>809</v>
      </c>
      <c r="Q482" s="5" t="s">
        <v>2384</v>
      </c>
      <c r="R482" s="33">
        <v>2309.65</v>
      </c>
      <c r="S482" s="4">
        <v>7</v>
      </c>
      <c r="T482" s="14">
        <v>0</v>
      </c>
      <c r="U482" s="12">
        <v>762.1845</v>
      </c>
      <c r="V482" s="19">
        <v>762.1845</v>
      </c>
      <c r="W482" s="20">
        <v>2309.65</v>
      </c>
      <c r="X482" s="21" t="str" cm="1">
        <f t="array" ref="X482">IF(OR(R482:R1019&lt;0,T481:T1019&lt;0,C482:C1020=""),"Check","OK")</f>
        <v>Check</v>
      </c>
    </row>
    <row r="483" ht="17.6" spans="1:24">
      <c r="A483" s="7">
        <v>1005</v>
      </c>
      <c r="B483" s="8" t="s">
        <v>2385</v>
      </c>
      <c r="C483" s="9">
        <v>42243</v>
      </c>
      <c r="D483" s="9">
        <v>42247</v>
      </c>
      <c r="E483" s="8" t="s">
        <v>4</v>
      </c>
      <c r="F483" s="8" t="s">
        <v>570</v>
      </c>
      <c r="G483" s="8" t="s">
        <v>571</v>
      </c>
      <c r="H483" s="8" t="s">
        <v>111</v>
      </c>
      <c r="I483" s="8" t="s">
        <v>708</v>
      </c>
      <c r="J483" s="8" t="s">
        <v>572</v>
      </c>
      <c r="K483" s="8" t="s">
        <v>136</v>
      </c>
      <c r="L483" s="8">
        <v>92563</v>
      </c>
      <c r="M483" s="8" t="s">
        <v>717</v>
      </c>
      <c r="N483" s="8" t="s">
        <v>2386</v>
      </c>
      <c r="O483" s="8" t="s">
        <v>9</v>
      </c>
      <c r="P483" s="8" t="s">
        <v>748</v>
      </c>
      <c r="Q483" s="8" t="s">
        <v>2387</v>
      </c>
      <c r="R483" s="34">
        <v>484.65</v>
      </c>
      <c r="S483" s="7">
        <v>3</v>
      </c>
      <c r="T483" s="16">
        <v>0</v>
      </c>
      <c r="U483" s="15">
        <v>92.0835</v>
      </c>
      <c r="V483" s="22">
        <v>92.0835</v>
      </c>
      <c r="W483" s="23">
        <v>484.65</v>
      </c>
      <c r="X483" s="21" t="str" cm="1">
        <f t="array" ref="X483">IF(OR(R483:R1020&lt;0,T482:T1020&lt;0,C483:C1021=""),"Check","OK")</f>
        <v>Check</v>
      </c>
    </row>
    <row r="484" ht="17.6" spans="1:24">
      <c r="A484" s="4">
        <v>1006</v>
      </c>
      <c r="B484" s="5" t="s">
        <v>2388</v>
      </c>
      <c r="C484" s="6">
        <v>42321</v>
      </c>
      <c r="D484" s="6">
        <v>42325</v>
      </c>
      <c r="E484" s="5" t="s">
        <v>4</v>
      </c>
      <c r="F484" s="5" t="s">
        <v>405</v>
      </c>
      <c r="G484" s="5" t="s">
        <v>406</v>
      </c>
      <c r="H484" s="5" t="s">
        <v>111</v>
      </c>
      <c r="I484" s="5" t="s">
        <v>708</v>
      </c>
      <c r="J484" s="5" t="s">
        <v>408</v>
      </c>
      <c r="K484" s="5" t="s">
        <v>128</v>
      </c>
      <c r="L484" s="5">
        <v>28540</v>
      </c>
      <c r="M484" s="5" t="s">
        <v>709</v>
      </c>
      <c r="N484" s="5" t="s">
        <v>2174</v>
      </c>
      <c r="O484" s="5" t="s">
        <v>9</v>
      </c>
      <c r="P484" s="5" t="s">
        <v>731</v>
      </c>
      <c r="Q484" s="5" t="s">
        <v>2175</v>
      </c>
      <c r="R484" s="33">
        <v>115.296</v>
      </c>
      <c r="S484" s="4">
        <v>3</v>
      </c>
      <c r="T484" s="14">
        <v>0.2</v>
      </c>
      <c r="U484" s="12">
        <v>40.3536</v>
      </c>
      <c r="V484" s="19">
        <v>40.3536</v>
      </c>
      <c r="W484" s="20">
        <v>92.2368</v>
      </c>
      <c r="X484" s="21" t="str" cm="1">
        <f t="array" ref="X484">IF(OR(R484:R1021&lt;0,T483:T1021&lt;0,C484:C1022=""),"Check","OK")</f>
        <v>Check</v>
      </c>
    </row>
    <row r="485" ht="17.6" spans="1:24">
      <c r="A485" s="7">
        <v>1007</v>
      </c>
      <c r="B485" s="8" t="s">
        <v>2389</v>
      </c>
      <c r="C485" s="9">
        <v>42314</v>
      </c>
      <c r="D485" s="9">
        <v>42317</v>
      </c>
      <c r="E485" s="8" t="s">
        <v>13</v>
      </c>
      <c r="F485" s="8" t="s">
        <v>514</v>
      </c>
      <c r="G485" s="8" t="s">
        <v>515</v>
      </c>
      <c r="H485" s="8" t="s">
        <v>111</v>
      </c>
      <c r="I485" s="8" t="s">
        <v>708</v>
      </c>
      <c r="J485" s="8" t="s">
        <v>516</v>
      </c>
      <c r="K485" s="8" t="s">
        <v>122</v>
      </c>
      <c r="L485" s="8">
        <v>85254</v>
      </c>
      <c r="M485" s="8" t="s">
        <v>717</v>
      </c>
      <c r="N485" s="8" t="s">
        <v>2390</v>
      </c>
      <c r="O485" s="8" t="s">
        <v>9</v>
      </c>
      <c r="P485" s="8" t="s">
        <v>786</v>
      </c>
      <c r="Q485" s="8" t="s">
        <v>2391</v>
      </c>
      <c r="R485" s="34">
        <v>7.08</v>
      </c>
      <c r="S485" s="7">
        <v>3</v>
      </c>
      <c r="T485" s="16">
        <v>0.2</v>
      </c>
      <c r="U485" s="15">
        <v>2.478</v>
      </c>
      <c r="V485" s="22">
        <v>2.478</v>
      </c>
      <c r="W485" s="23">
        <v>5.664</v>
      </c>
      <c r="X485" s="21" t="str" cm="1">
        <f t="array" ref="X485">IF(OR(R485:R1022&lt;0,T484:T1022&lt;0,C485:C1023=""),"Check","OK")</f>
        <v>Check</v>
      </c>
    </row>
    <row r="486" ht="17.6" spans="1:24">
      <c r="A486" s="4">
        <v>1009</v>
      </c>
      <c r="B486" s="5" t="s">
        <v>2392</v>
      </c>
      <c r="C486" s="6">
        <v>43095</v>
      </c>
      <c r="D486" s="6">
        <v>43101</v>
      </c>
      <c r="E486" s="5" t="s">
        <v>4</v>
      </c>
      <c r="F486" s="5" t="s">
        <v>557</v>
      </c>
      <c r="G486" s="5" t="s">
        <v>558</v>
      </c>
      <c r="H486" s="5" t="s">
        <v>111</v>
      </c>
      <c r="I486" s="5" t="s">
        <v>708</v>
      </c>
      <c r="J486" s="5" t="s">
        <v>394</v>
      </c>
      <c r="K486" s="5" t="s">
        <v>253</v>
      </c>
      <c r="L486" s="5">
        <v>52601</v>
      </c>
      <c r="M486" s="5" t="s">
        <v>742</v>
      </c>
      <c r="N486" s="5" t="s">
        <v>2393</v>
      </c>
      <c r="O486" s="5" t="s">
        <v>9</v>
      </c>
      <c r="P486" s="5" t="s">
        <v>731</v>
      </c>
      <c r="Q486" s="5" t="s">
        <v>2394</v>
      </c>
      <c r="R486" s="33">
        <v>44.75</v>
      </c>
      <c r="S486" s="4">
        <v>5</v>
      </c>
      <c r="T486" s="14">
        <v>0</v>
      </c>
      <c r="U486" s="12">
        <v>20.585</v>
      </c>
      <c r="V486" s="19">
        <v>20.585</v>
      </c>
      <c r="W486" s="20">
        <v>44.75</v>
      </c>
      <c r="X486" s="21" t="str" cm="1">
        <f t="array" ref="X486">IF(OR(R486:R1023&lt;0,T485:T1023&lt;0,C486:C1024=""),"Check","OK")</f>
        <v>Check</v>
      </c>
    </row>
    <row r="487" ht="17.6" spans="1:24">
      <c r="A487" s="7">
        <v>1010</v>
      </c>
      <c r="B487" s="8" t="s">
        <v>2395</v>
      </c>
      <c r="C487" s="9">
        <v>42948</v>
      </c>
      <c r="D487" s="9">
        <v>42950</v>
      </c>
      <c r="E487" s="8" t="s">
        <v>13</v>
      </c>
      <c r="F487" s="8" t="s">
        <v>180</v>
      </c>
      <c r="G487" s="8" t="s">
        <v>181</v>
      </c>
      <c r="H487" s="8" t="s">
        <v>111</v>
      </c>
      <c r="I487" s="8" t="s">
        <v>708</v>
      </c>
      <c r="J487" s="8" t="s">
        <v>182</v>
      </c>
      <c r="K487" s="8" t="s">
        <v>183</v>
      </c>
      <c r="L487" s="8">
        <v>60653</v>
      </c>
      <c r="M487" s="8" t="s">
        <v>742</v>
      </c>
      <c r="N487" s="8" t="s">
        <v>1999</v>
      </c>
      <c r="O487" s="8" t="s">
        <v>10</v>
      </c>
      <c r="P487" s="8" t="s">
        <v>780</v>
      </c>
      <c r="Q487" s="8" t="s">
        <v>2000</v>
      </c>
      <c r="R487" s="34">
        <v>95.984</v>
      </c>
      <c r="S487" s="7">
        <v>2</v>
      </c>
      <c r="T487" s="16">
        <v>0.2</v>
      </c>
      <c r="U487" s="15">
        <v>5.999</v>
      </c>
      <c r="V487" s="22">
        <v>5.999</v>
      </c>
      <c r="W487" s="23">
        <v>76.7872</v>
      </c>
      <c r="X487" s="21" t="str" cm="1">
        <f t="array" ref="X487">IF(OR(R487:R1024&lt;0,T486:T1024&lt;0,C487:C1025=""),"Check","OK")</f>
        <v>Check</v>
      </c>
    </row>
    <row r="488" ht="17.6" spans="1:24">
      <c r="A488" s="4">
        <v>1011</v>
      </c>
      <c r="B488" s="5" t="s">
        <v>2396</v>
      </c>
      <c r="C488" s="6">
        <v>41967</v>
      </c>
      <c r="D488" s="6">
        <v>41969</v>
      </c>
      <c r="E488" s="5" t="s">
        <v>13</v>
      </c>
      <c r="F488" s="5" t="s">
        <v>685</v>
      </c>
      <c r="G488" s="5" t="s">
        <v>686</v>
      </c>
      <c r="H488" s="5" t="s">
        <v>111</v>
      </c>
      <c r="I488" s="5" t="s">
        <v>708</v>
      </c>
      <c r="J488" s="5" t="s">
        <v>431</v>
      </c>
      <c r="K488" s="5" t="s">
        <v>136</v>
      </c>
      <c r="L488" s="5">
        <v>92037</v>
      </c>
      <c r="M488" s="5" t="s">
        <v>717</v>
      </c>
      <c r="N488" s="5" t="s">
        <v>2397</v>
      </c>
      <c r="O488" s="5" t="s">
        <v>8</v>
      </c>
      <c r="P488" s="5" t="s">
        <v>727</v>
      </c>
      <c r="Q488" s="5" t="s">
        <v>2398</v>
      </c>
      <c r="R488" s="33">
        <v>151.72</v>
      </c>
      <c r="S488" s="4">
        <v>4</v>
      </c>
      <c r="T488" s="14">
        <v>0</v>
      </c>
      <c r="U488" s="12">
        <v>27.3096</v>
      </c>
      <c r="V488" s="19">
        <v>27.3096</v>
      </c>
      <c r="W488" s="20">
        <v>151.72</v>
      </c>
      <c r="X488" s="21" t="str" cm="1">
        <f t="array" ref="X488">IF(OR(R488:R1025&lt;0,T487:T1025&lt;0,C488:C1026=""),"Check","OK")</f>
        <v>Check</v>
      </c>
    </row>
    <row r="489" ht="17.6" spans="1:24">
      <c r="A489" s="7">
        <v>1012</v>
      </c>
      <c r="B489" s="8" t="s">
        <v>2399</v>
      </c>
      <c r="C489" s="9">
        <v>42903</v>
      </c>
      <c r="D489" s="9">
        <v>42907</v>
      </c>
      <c r="E489" s="8" t="s">
        <v>707</v>
      </c>
      <c r="F489" s="8" t="s">
        <v>540</v>
      </c>
      <c r="G489" s="8" t="s">
        <v>541</v>
      </c>
      <c r="H489" s="8" t="s">
        <v>111</v>
      </c>
      <c r="I489" s="8" t="s">
        <v>708</v>
      </c>
      <c r="J489" s="8" t="s">
        <v>543</v>
      </c>
      <c r="K489" s="8" t="s">
        <v>185</v>
      </c>
      <c r="L489" s="8">
        <v>98502</v>
      </c>
      <c r="M489" s="8" t="s">
        <v>717</v>
      </c>
      <c r="N489" s="8" t="s">
        <v>991</v>
      </c>
      <c r="O489" s="8" t="s">
        <v>8</v>
      </c>
      <c r="P489" s="8" t="s">
        <v>727</v>
      </c>
      <c r="Q489" s="8" t="s">
        <v>992</v>
      </c>
      <c r="R489" s="34">
        <v>155.25</v>
      </c>
      <c r="S489" s="7">
        <v>3</v>
      </c>
      <c r="T489" s="16">
        <v>0</v>
      </c>
      <c r="U489" s="15">
        <v>46.575</v>
      </c>
      <c r="V489" s="22">
        <v>46.575</v>
      </c>
      <c r="W489" s="23">
        <v>155.25</v>
      </c>
      <c r="X489" s="21" t="str" cm="1">
        <f t="array" ref="X489">IF(OR(R489:R1026&lt;0,T488:T1026&lt;0,C489:C1027=""),"Check","OK")</f>
        <v>Check</v>
      </c>
    </row>
    <row r="490" ht="17.6" spans="1:24">
      <c r="A490" s="4">
        <v>1014</v>
      </c>
      <c r="B490" s="5" t="s">
        <v>2400</v>
      </c>
      <c r="C490" s="6">
        <v>42359</v>
      </c>
      <c r="D490" s="6">
        <v>42362</v>
      </c>
      <c r="E490" s="5" t="s">
        <v>707</v>
      </c>
      <c r="F490" s="5" t="s">
        <v>424</v>
      </c>
      <c r="G490" s="5" t="s">
        <v>425</v>
      </c>
      <c r="H490" s="5" t="s">
        <v>111</v>
      </c>
      <c r="I490" s="5" t="s">
        <v>708</v>
      </c>
      <c r="J490" s="5" t="s">
        <v>184</v>
      </c>
      <c r="K490" s="5" t="s">
        <v>185</v>
      </c>
      <c r="L490" s="5">
        <v>98103</v>
      </c>
      <c r="M490" s="5" t="s">
        <v>717</v>
      </c>
      <c r="N490" s="5" t="s">
        <v>2401</v>
      </c>
      <c r="O490" s="5" t="s">
        <v>8</v>
      </c>
      <c r="P490" s="5" t="s">
        <v>723</v>
      </c>
      <c r="Q490" s="5" t="s">
        <v>2402</v>
      </c>
      <c r="R490" s="33">
        <v>1618.37</v>
      </c>
      <c r="S490" s="4">
        <v>13</v>
      </c>
      <c r="T490" s="14">
        <v>0</v>
      </c>
      <c r="U490" s="12">
        <v>356.0414</v>
      </c>
      <c r="V490" s="19">
        <v>356.0414</v>
      </c>
      <c r="W490" s="20">
        <v>1618.37</v>
      </c>
      <c r="X490" s="21" t="str" cm="1">
        <f t="array" ref="X490">IF(OR(R490:R1027&lt;0,T489:T1027&lt;0,C490:C1028=""),"Check","OK")</f>
        <v>Check</v>
      </c>
    </row>
    <row r="491" ht="17.6" spans="1:24">
      <c r="A491" s="7">
        <v>1016</v>
      </c>
      <c r="B491" s="8" t="s">
        <v>2403</v>
      </c>
      <c r="C491" s="9">
        <v>42264</v>
      </c>
      <c r="D491" s="9">
        <v>42266</v>
      </c>
      <c r="E491" s="8" t="s">
        <v>707</v>
      </c>
      <c r="F491" s="8" t="s">
        <v>1763</v>
      </c>
      <c r="G491" s="8" t="s">
        <v>1764</v>
      </c>
      <c r="H491" s="8" t="s">
        <v>741</v>
      </c>
      <c r="I491" s="8" t="s">
        <v>708</v>
      </c>
      <c r="J491" s="8" t="s">
        <v>135</v>
      </c>
      <c r="K491" s="8" t="s">
        <v>136</v>
      </c>
      <c r="L491" s="8">
        <v>90036</v>
      </c>
      <c r="M491" s="8" t="s">
        <v>717</v>
      </c>
      <c r="N491" s="8" t="s">
        <v>2404</v>
      </c>
      <c r="O491" s="8" t="s">
        <v>9</v>
      </c>
      <c r="P491" s="8" t="s">
        <v>731</v>
      </c>
      <c r="Q491" s="8" t="s">
        <v>2405</v>
      </c>
      <c r="R491" s="34">
        <v>32.4</v>
      </c>
      <c r="S491" s="7">
        <v>5</v>
      </c>
      <c r="T491" s="16">
        <v>0</v>
      </c>
      <c r="U491" s="15">
        <v>15.552</v>
      </c>
      <c r="V491" s="22">
        <v>15.552</v>
      </c>
      <c r="W491" s="23">
        <v>32.4</v>
      </c>
      <c r="X491" s="21" t="str" cm="1">
        <f t="array" ref="X491">IF(OR(R491:R1028&lt;0,T490:T1028&lt;0,C491:C1029=""),"Check","OK")</f>
        <v>Check</v>
      </c>
    </row>
    <row r="492" ht="17.6" spans="1:24">
      <c r="A492" s="4">
        <v>1017</v>
      </c>
      <c r="B492" s="5" t="s">
        <v>2406</v>
      </c>
      <c r="C492" s="6">
        <v>42191</v>
      </c>
      <c r="D492" s="6">
        <v>42195</v>
      </c>
      <c r="E492" s="5" t="s">
        <v>4</v>
      </c>
      <c r="F492" s="5" t="s">
        <v>2407</v>
      </c>
      <c r="G492" s="5" t="s">
        <v>2408</v>
      </c>
      <c r="H492" s="5" t="s">
        <v>716</v>
      </c>
      <c r="I492" s="5" t="s">
        <v>708</v>
      </c>
      <c r="J492" s="5" t="s">
        <v>204</v>
      </c>
      <c r="K492" s="5" t="s">
        <v>168</v>
      </c>
      <c r="L492" s="5">
        <v>10011</v>
      </c>
      <c r="M492" s="5" t="s">
        <v>759</v>
      </c>
      <c r="N492" s="5" t="s">
        <v>2409</v>
      </c>
      <c r="O492" s="5" t="s">
        <v>8</v>
      </c>
      <c r="P492" s="5" t="s">
        <v>727</v>
      </c>
      <c r="Q492" s="5" t="s">
        <v>2410</v>
      </c>
      <c r="R492" s="33">
        <v>13.96</v>
      </c>
      <c r="S492" s="4">
        <v>2</v>
      </c>
      <c r="T492" s="14">
        <v>0</v>
      </c>
      <c r="U492" s="12">
        <v>6.7008</v>
      </c>
      <c r="V492" s="19">
        <v>6.7008</v>
      </c>
      <c r="W492" s="20">
        <v>13.96</v>
      </c>
      <c r="X492" s="21" t="str" cm="1">
        <f t="array" ref="X492">IF(OR(R492:R1029&lt;0,T491:T1029&lt;0,C492:C1030=""),"Check","OK")</f>
        <v>Check</v>
      </c>
    </row>
    <row r="493" ht="17.6" spans="1:24">
      <c r="A493" s="7">
        <v>1021</v>
      </c>
      <c r="B493" s="8" t="s">
        <v>2411</v>
      </c>
      <c r="C493" s="9">
        <v>42121</v>
      </c>
      <c r="D493" s="9">
        <v>42127</v>
      </c>
      <c r="E493" s="8" t="s">
        <v>4</v>
      </c>
      <c r="F493" s="8" t="s">
        <v>341</v>
      </c>
      <c r="G493" s="8" t="s">
        <v>342</v>
      </c>
      <c r="H493" s="8" t="s">
        <v>111</v>
      </c>
      <c r="I493" s="8" t="s">
        <v>708</v>
      </c>
      <c r="J493" s="8" t="s">
        <v>185</v>
      </c>
      <c r="K493" s="8" t="s">
        <v>344</v>
      </c>
      <c r="L493" s="8">
        <v>20016</v>
      </c>
      <c r="M493" s="8" t="s">
        <v>759</v>
      </c>
      <c r="N493" s="8" t="s">
        <v>105</v>
      </c>
      <c r="O493" s="8" t="s">
        <v>9</v>
      </c>
      <c r="P493" s="8" t="s">
        <v>16</v>
      </c>
      <c r="Q493" s="8" t="s">
        <v>104</v>
      </c>
      <c r="R493" s="34">
        <v>22.74</v>
      </c>
      <c r="S493" s="7">
        <v>3</v>
      </c>
      <c r="T493" s="16">
        <v>0</v>
      </c>
      <c r="U493" s="15">
        <v>8.8686</v>
      </c>
      <c r="V493" s="22">
        <v>8.8686</v>
      </c>
      <c r="W493" s="23">
        <v>22.74</v>
      </c>
      <c r="X493" s="21" t="str" cm="1">
        <f t="array" ref="X493">IF(OR(R493:R1030&lt;0,T492:T1030&lt;0,C493:C1031=""),"Check","OK")</f>
        <v>Check</v>
      </c>
    </row>
    <row r="494" ht="17.6" spans="1:24">
      <c r="A494" s="4">
        <v>1024</v>
      </c>
      <c r="B494" s="5" t="s">
        <v>2412</v>
      </c>
      <c r="C494" s="6">
        <v>42171</v>
      </c>
      <c r="D494" s="6">
        <v>42175</v>
      </c>
      <c r="E494" s="5" t="s">
        <v>4</v>
      </c>
      <c r="F494" s="5" t="s">
        <v>538</v>
      </c>
      <c r="G494" s="5" t="s">
        <v>539</v>
      </c>
      <c r="H494" s="5" t="s">
        <v>111</v>
      </c>
      <c r="I494" s="5" t="s">
        <v>708</v>
      </c>
      <c r="J494" s="5" t="s">
        <v>175</v>
      </c>
      <c r="K494" s="5" t="s">
        <v>176</v>
      </c>
      <c r="L494" s="5">
        <v>19134</v>
      </c>
      <c r="M494" s="5" t="s">
        <v>759</v>
      </c>
      <c r="N494" s="5" t="s">
        <v>2413</v>
      </c>
      <c r="O494" s="5" t="s">
        <v>9</v>
      </c>
      <c r="P494" s="5" t="s">
        <v>786</v>
      </c>
      <c r="Q494" s="5" t="s">
        <v>2414</v>
      </c>
      <c r="R494" s="33">
        <v>6.208</v>
      </c>
      <c r="S494" s="4">
        <v>2</v>
      </c>
      <c r="T494" s="14">
        <v>0.2</v>
      </c>
      <c r="U494" s="12">
        <v>2.1728</v>
      </c>
      <c r="V494" s="19">
        <v>2.1728</v>
      </c>
      <c r="W494" s="20">
        <v>4.9664</v>
      </c>
      <c r="X494" s="21" t="str" cm="1">
        <f t="array" ref="X494">IF(OR(R494:R1031&lt;0,T493:T1031&lt;0,C494:C1032=""),"Check","OK")</f>
        <v>Check</v>
      </c>
    </row>
    <row r="495" ht="17.6" spans="1:24">
      <c r="A495" s="7">
        <v>1025</v>
      </c>
      <c r="B495" s="8" t="s">
        <v>2415</v>
      </c>
      <c r="C495" s="9">
        <v>43086</v>
      </c>
      <c r="D495" s="9">
        <v>43089</v>
      </c>
      <c r="E495" s="8" t="s">
        <v>13</v>
      </c>
      <c r="F495" s="8" t="s">
        <v>2416</v>
      </c>
      <c r="G495" s="8" t="s">
        <v>2417</v>
      </c>
      <c r="H495" s="8" t="s">
        <v>741</v>
      </c>
      <c r="I495" s="8" t="s">
        <v>708</v>
      </c>
      <c r="J495" s="8" t="s">
        <v>135</v>
      </c>
      <c r="K495" s="8" t="s">
        <v>136</v>
      </c>
      <c r="L495" s="8">
        <v>90045</v>
      </c>
      <c r="M495" s="8" t="s">
        <v>717</v>
      </c>
      <c r="N495" s="8" t="s">
        <v>2418</v>
      </c>
      <c r="O495" s="8" t="s">
        <v>9</v>
      </c>
      <c r="P495" s="8" t="s">
        <v>736</v>
      </c>
      <c r="Q495" s="8" t="s">
        <v>2419</v>
      </c>
      <c r="R495" s="34">
        <v>11.808</v>
      </c>
      <c r="S495" s="7">
        <v>2</v>
      </c>
      <c r="T495" s="16">
        <v>0.2</v>
      </c>
      <c r="U495" s="15">
        <v>4.2804</v>
      </c>
      <c r="V495" s="22">
        <v>4.2804</v>
      </c>
      <c r="W495" s="23">
        <v>9.4464</v>
      </c>
      <c r="X495" s="21" t="str" cm="1">
        <f t="array" ref="X495">IF(OR(R495:R1032&lt;0,T494:T1032&lt;0,C495:C1033=""),"Check","OK")</f>
        <v>Check</v>
      </c>
    </row>
    <row r="496" ht="17.6" spans="1:24">
      <c r="A496" s="4">
        <v>1026</v>
      </c>
      <c r="B496" s="5" t="s">
        <v>2420</v>
      </c>
      <c r="C496" s="6">
        <v>42380</v>
      </c>
      <c r="D496" s="6">
        <v>42382</v>
      </c>
      <c r="E496" s="5" t="s">
        <v>707</v>
      </c>
      <c r="F496" s="5" t="s">
        <v>2421</v>
      </c>
      <c r="G496" s="5" t="s">
        <v>2422</v>
      </c>
      <c r="H496" s="5" t="s">
        <v>741</v>
      </c>
      <c r="I496" s="5" t="s">
        <v>708</v>
      </c>
      <c r="J496" s="5" t="s">
        <v>287</v>
      </c>
      <c r="K496" s="5" t="s">
        <v>138</v>
      </c>
      <c r="L496" s="5">
        <v>45503</v>
      </c>
      <c r="M496" s="5" t="s">
        <v>759</v>
      </c>
      <c r="N496" s="5" t="s">
        <v>2423</v>
      </c>
      <c r="O496" s="5" t="s">
        <v>9</v>
      </c>
      <c r="P496" s="5" t="s">
        <v>731</v>
      </c>
      <c r="Q496" s="5" t="s">
        <v>2424</v>
      </c>
      <c r="R496" s="33">
        <v>15.552</v>
      </c>
      <c r="S496" s="4">
        <v>3</v>
      </c>
      <c r="T496" s="14">
        <v>0.2</v>
      </c>
      <c r="U496" s="12">
        <v>5.4432</v>
      </c>
      <c r="V496" s="19">
        <v>5.4432</v>
      </c>
      <c r="W496" s="20">
        <v>12.4416</v>
      </c>
      <c r="X496" s="21" t="str" cm="1">
        <f t="array" ref="X496">IF(OR(R496:R1033&lt;0,T495:T1033&lt;0,C496:C1034=""),"Check","OK")</f>
        <v>Check</v>
      </c>
    </row>
    <row r="497" ht="17.6" spans="1:24">
      <c r="A497" s="7">
        <v>1029</v>
      </c>
      <c r="B497" s="8" t="s">
        <v>2425</v>
      </c>
      <c r="C497" s="9">
        <v>41831</v>
      </c>
      <c r="D497" s="9">
        <v>41835</v>
      </c>
      <c r="E497" s="8" t="s">
        <v>4</v>
      </c>
      <c r="F497" s="8" t="s">
        <v>1389</v>
      </c>
      <c r="G497" s="8" t="s">
        <v>1390</v>
      </c>
      <c r="H497" s="8" t="s">
        <v>716</v>
      </c>
      <c r="I497" s="8" t="s">
        <v>708</v>
      </c>
      <c r="J497" s="8" t="s">
        <v>1287</v>
      </c>
      <c r="K497" s="8" t="s">
        <v>550</v>
      </c>
      <c r="L497" s="8">
        <v>7601</v>
      </c>
      <c r="M497" s="8" t="s">
        <v>759</v>
      </c>
      <c r="N497" s="8" t="s">
        <v>1240</v>
      </c>
      <c r="O497" s="8" t="s">
        <v>9</v>
      </c>
      <c r="P497" s="8" t="s">
        <v>731</v>
      </c>
      <c r="Q497" s="8" t="s">
        <v>774</v>
      </c>
      <c r="R497" s="34">
        <v>177.2</v>
      </c>
      <c r="S497" s="7">
        <v>5</v>
      </c>
      <c r="T497" s="16">
        <v>0</v>
      </c>
      <c r="U497" s="15">
        <v>83.284</v>
      </c>
      <c r="V497" s="22">
        <v>83.284</v>
      </c>
      <c r="W497" s="23">
        <v>177.2</v>
      </c>
      <c r="X497" s="21" t="str" cm="1">
        <f t="array" ref="X497">IF(OR(R497:R1034&lt;0,T496:T1034&lt;0,C497:C1035=""),"Check","OK")</f>
        <v>Check</v>
      </c>
    </row>
    <row r="498" ht="17.6" spans="1:24">
      <c r="A498" s="4">
        <v>1034</v>
      </c>
      <c r="B498" s="5" t="s">
        <v>2426</v>
      </c>
      <c r="C498" s="6">
        <v>42694</v>
      </c>
      <c r="D498" s="6">
        <v>42696</v>
      </c>
      <c r="E498" s="5" t="s">
        <v>13</v>
      </c>
      <c r="F498" s="5" t="s">
        <v>147</v>
      </c>
      <c r="G498" s="5" t="s">
        <v>148</v>
      </c>
      <c r="H498" s="5" t="s">
        <v>111</v>
      </c>
      <c r="I498" s="5" t="s">
        <v>708</v>
      </c>
      <c r="J498" s="5" t="s">
        <v>149</v>
      </c>
      <c r="K498" s="5" t="s">
        <v>138</v>
      </c>
      <c r="L498" s="5">
        <v>45231</v>
      </c>
      <c r="M498" s="5" t="s">
        <v>759</v>
      </c>
      <c r="N498" s="5" t="s">
        <v>2427</v>
      </c>
      <c r="O498" s="5" t="s">
        <v>9</v>
      </c>
      <c r="P498" s="5" t="s">
        <v>731</v>
      </c>
      <c r="Q498" s="5" t="s">
        <v>2428</v>
      </c>
      <c r="R498" s="33">
        <v>15.696</v>
      </c>
      <c r="S498" s="4">
        <v>3</v>
      </c>
      <c r="T498" s="14">
        <v>0.2</v>
      </c>
      <c r="U498" s="12">
        <v>5.1012</v>
      </c>
      <c r="V498" s="19">
        <v>5.1012</v>
      </c>
      <c r="W498" s="20">
        <v>12.5568</v>
      </c>
      <c r="X498" s="21" t="str" cm="1">
        <f t="array" ref="X498">IF(OR(R498:R1035&lt;0,T497:T1035&lt;0,C498:C1036=""),"Check","OK")</f>
        <v>Check</v>
      </c>
    </row>
    <row r="499" ht="17.6" spans="1:24">
      <c r="A499" s="7">
        <v>1037</v>
      </c>
      <c r="B499" s="8" t="s">
        <v>2429</v>
      </c>
      <c r="C499" s="9">
        <v>42482</v>
      </c>
      <c r="D499" s="9">
        <v>42486</v>
      </c>
      <c r="E499" s="8" t="s">
        <v>4</v>
      </c>
      <c r="F499" s="8" t="s">
        <v>2206</v>
      </c>
      <c r="G499" s="8" t="s">
        <v>2207</v>
      </c>
      <c r="H499" s="8" t="s">
        <v>741</v>
      </c>
      <c r="I499" s="8" t="s">
        <v>708</v>
      </c>
      <c r="J499" s="8" t="s">
        <v>2430</v>
      </c>
      <c r="K499" s="8" t="s">
        <v>482</v>
      </c>
      <c r="L499" s="8">
        <v>65109</v>
      </c>
      <c r="M499" s="8" t="s">
        <v>742</v>
      </c>
      <c r="N499" s="8" t="s">
        <v>2431</v>
      </c>
      <c r="O499" s="8" t="s">
        <v>8</v>
      </c>
      <c r="P499" s="8" t="s">
        <v>727</v>
      </c>
      <c r="Q499" s="8" t="s">
        <v>2432</v>
      </c>
      <c r="R499" s="34">
        <v>86.62</v>
      </c>
      <c r="S499" s="7">
        <v>2</v>
      </c>
      <c r="T499" s="16">
        <v>0</v>
      </c>
      <c r="U499" s="15">
        <v>8.662</v>
      </c>
      <c r="V499" s="22">
        <v>8.662</v>
      </c>
      <c r="W499" s="23">
        <v>86.62</v>
      </c>
      <c r="X499" s="21" t="str" cm="1">
        <f t="array" ref="X499">IF(OR(R499:R1036&lt;0,T498:T1036&lt;0,C499:C1037=""),"Check","OK")</f>
        <v>Check</v>
      </c>
    </row>
    <row r="500" ht="17.6" spans="1:24">
      <c r="A500" s="4">
        <v>1038</v>
      </c>
      <c r="B500" s="5" t="s">
        <v>2433</v>
      </c>
      <c r="C500" s="6">
        <v>42168</v>
      </c>
      <c r="D500" s="6">
        <v>42169</v>
      </c>
      <c r="E500" s="5" t="s">
        <v>13</v>
      </c>
      <c r="F500" s="5" t="s">
        <v>400</v>
      </c>
      <c r="G500" s="5" t="s">
        <v>401</v>
      </c>
      <c r="H500" s="5" t="s">
        <v>111</v>
      </c>
      <c r="I500" s="5" t="s">
        <v>708</v>
      </c>
      <c r="J500" s="5" t="s">
        <v>135</v>
      </c>
      <c r="K500" s="5" t="s">
        <v>136</v>
      </c>
      <c r="L500" s="5">
        <v>90004</v>
      </c>
      <c r="M500" s="5" t="s">
        <v>717</v>
      </c>
      <c r="N500" s="5" t="s">
        <v>2434</v>
      </c>
      <c r="O500" s="5" t="s">
        <v>9</v>
      </c>
      <c r="P500" s="5" t="s">
        <v>736</v>
      </c>
      <c r="Q500" s="5" t="s">
        <v>2435</v>
      </c>
      <c r="R500" s="33">
        <v>36.624</v>
      </c>
      <c r="S500" s="4">
        <v>3</v>
      </c>
      <c r="T500" s="14">
        <v>0.2</v>
      </c>
      <c r="U500" s="12">
        <v>13.734</v>
      </c>
      <c r="V500" s="19">
        <v>13.734</v>
      </c>
      <c r="W500" s="20">
        <v>29.2992</v>
      </c>
      <c r="X500" s="21" t="str" cm="1">
        <f t="array" ref="X500">IF(OR(R500:R1037&lt;0,T499:T1037&lt;0,C500:C1038=""),"Check","OK")</f>
        <v>Check</v>
      </c>
    </row>
    <row r="501" ht="17.6" spans="1:24">
      <c r="A501" s="7">
        <v>1039</v>
      </c>
      <c r="B501" s="8" t="s">
        <v>2436</v>
      </c>
      <c r="C501" s="9">
        <v>43059</v>
      </c>
      <c r="D501" s="9">
        <v>43060</v>
      </c>
      <c r="E501" s="8" t="s">
        <v>13</v>
      </c>
      <c r="F501" s="8" t="s">
        <v>392</v>
      </c>
      <c r="G501" s="8" t="s">
        <v>393</v>
      </c>
      <c r="H501" s="8" t="s">
        <v>111</v>
      </c>
      <c r="I501" s="8" t="s">
        <v>708</v>
      </c>
      <c r="J501" s="8" t="s">
        <v>394</v>
      </c>
      <c r="K501" s="8" t="s">
        <v>128</v>
      </c>
      <c r="L501" s="8">
        <v>27217</v>
      </c>
      <c r="M501" s="8" t="s">
        <v>709</v>
      </c>
      <c r="N501" s="8" t="s">
        <v>81</v>
      </c>
      <c r="O501" s="8" t="s">
        <v>9</v>
      </c>
      <c r="P501" s="8" t="s">
        <v>16</v>
      </c>
      <c r="Q501" s="8" t="s">
        <v>80</v>
      </c>
      <c r="R501" s="34">
        <v>23.968</v>
      </c>
      <c r="S501" s="7">
        <v>7</v>
      </c>
      <c r="T501" s="16">
        <v>0.2</v>
      </c>
      <c r="U501" s="15">
        <v>2.6964</v>
      </c>
      <c r="V501" s="22">
        <v>2.6964</v>
      </c>
      <c r="W501" s="23">
        <v>19.1744</v>
      </c>
      <c r="X501" s="21" t="str" cm="1">
        <f t="array" ref="X501">IF(OR(R501:R1038&lt;0,T500:T1038&lt;0,C501:C1039=""),"Check","OK")</f>
        <v>Check</v>
      </c>
    </row>
    <row r="502" ht="17.6" spans="1:24">
      <c r="A502" s="4">
        <v>1041</v>
      </c>
      <c r="B502" s="5" t="s">
        <v>2437</v>
      </c>
      <c r="C502" s="6">
        <v>42449</v>
      </c>
      <c r="D502" s="6">
        <v>42453</v>
      </c>
      <c r="E502" s="5" t="s">
        <v>4</v>
      </c>
      <c r="F502" s="5" t="s">
        <v>2438</v>
      </c>
      <c r="G502" s="5" t="s">
        <v>2439</v>
      </c>
      <c r="H502" s="5" t="s">
        <v>741</v>
      </c>
      <c r="I502" s="5" t="s">
        <v>708</v>
      </c>
      <c r="J502" s="5" t="s">
        <v>2440</v>
      </c>
      <c r="K502" s="5" t="s">
        <v>482</v>
      </c>
      <c r="L502" s="5">
        <v>63376</v>
      </c>
      <c r="M502" s="5" t="s">
        <v>742</v>
      </c>
      <c r="N502" s="5" t="s">
        <v>1979</v>
      </c>
      <c r="O502" s="5" t="s">
        <v>8</v>
      </c>
      <c r="P502" s="5" t="s">
        <v>723</v>
      </c>
      <c r="Q502" s="5" t="s">
        <v>1980</v>
      </c>
      <c r="R502" s="33">
        <v>697.16</v>
      </c>
      <c r="S502" s="4">
        <v>4</v>
      </c>
      <c r="T502" s="14">
        <v>0</v>
      </c>
      <c r="U502" s="12">
        <v>146.4036</v>
      </c>
      <c r="V502" s="19">
        <v>146.4036</v>
      </c>
      <c r="W502" s="20">
        <v>697.16</v>
      </c>
      <c r="X502" s="21" t="str" cm="1">
        <f t="array" ref="X502">IF(OR(R502:R1039&lt;0,T501:T1039&lt;0,C502:C1040=""),"Check","OK")</f>
        <v>Check</v>
      </c>
    </row>
    <row r="503" ht="17.6" spans="1:24">
      <c r="A503" s="7">
        <v>1042</v>
      </c>
      <c r="B503" s="8" t="s">
        <v>2441</v>
      </c>
      <c r="C503" s="9">
        <v>42619</v>
      </c>
      <c r="D503" s="9">
        <v>42622</v>
      </c>
      <c r="E503" s="8" t="s">
        <v>707</v>
      </c>
      <c r="F503" s="8" t="s">
        <v>506</v>
      </c>
      <c r="G503" s="8" t="s">
        <v>507</v>
      </c>
      <c r="H503" s="8" t="s">
        <v>111</v>
      </c>
      <c r="I503" s="8" t="s">
        <v>708</v>
      </c>
      <c r="J503" s="8" t="s">
        <v>204</v>
      </c>
      <c r="K503" s="8" t="s">
        <v>168</v>
      </c>
      <c r="L503" s="8">
        <v>10035</v>
      </c>
      <c r="M503" s="8" t="s">
        <v>759</v>
      </c>
      <c r="N503" s="8" t="s">
        <v>2442</v>
      </c>
      <c r="O503" s="8" t="s">
        <v>10</v>
      </c>
      <c r="P503" s="8" t="s">
        <v>809</v>
      </c>
      <c r="Q503" s="8" t="s">
        <v>2443</v>
      </c>
      <c r="R503" s="23">
        <v>295.4</v>
      </c>
      <c r="S503" s="21">
        <v>5</v>
      </c>
      <c r="T503" s="35">
        <v>0.2</v>
      </c>
      <c r="U503" s="36">
        <v>-62.7725</v>
      </c>
      <c r="V503" s="36">
        <v>62.7725</v>
      </c>
      <c r="W503" s="23">
        <v>236.32</v>
      </c>
      <c r="X503" s="21" t="str" cm="1">
        <f t="array" ref="X503">IF(OR(R503:R1040&lt;0,T502:T1040&lt;0,C503:C1041=""),"Check","OK")</f>
        <v>Check</v>
      </c>
    </row>
    <row r="504" ht="17.6" spans="1:24">
      <c r="A504" s="4">
        <v>9091</v>
      </c>
      <c r="B504" s="5" t="s">
        <v>2444</v>
      </c>
      <c r="C504" s="6">
        <v>43021</v>
      </c>
      <c r="D504" s="6">
        <v>43023</v>
      </c>
      <c r="E504" s="5" t="s">
        <v>13</v>
      </c>
      <c r="F504" s="5" t="s">
        <v>157</v>
      </c>
      <c r="G504" s="5" t="s">
        <v>158</v>
      </c>
      <c r="H504" s="5" t="s">
        <v>111</v>
      </c>
      <c r="I504" s="5" t="s">
        <v>708</v>
      </c>
      <c r="J504" s="5" t="s">
        <v>141</v>
      </c>
      <c r="K504" s="5" t="s">
        <v>142</v>
      </c>
      <c r="L504" s="5">
        <v>40214</v>
      </c>
      <c r="M504" s="5" t="s">
        <v>709</v>
      </c>
      <c r="N504" s="5" t="s">
        <v>1709</v>
      </c>
      <c r="O504" s="5" t="s">
        <v>9</v>
      </c>
      <c r="P504" s="5" t="s">
        <v>748</v>
      </c>
      <c r="Q504" s="5" t="s">
        <v>1710</v>
      </c>
      <c r="R504" s="33">
        <v>348.56</v>
      </c>
      <c r="S504" s="4">
        <v>8</v>
      </c>
      <c r="T504" s="14">
        <v>0</v>
      </c>
      <c r="U504" s="12">
        <v>104.568</v>
      </c>
      <c r="V504" s="19">
        <v>104.568</v>
      </c>
      <c r="W504" s="20">
        <v>348.56</v>
      </c>
      <c r="X504" s="21" t="str" cm="1">
        <f t="array" ref="X504">IF(OR(R504:R1041&lt;0,T503:T1041&lt;0,C504:C1042=""),"Check","OK")</f>
        <v>Check</v>
      </c>
    </row>
    <row r="505" ht="17.6" spans="1:24">
      <c r="A505" s="7">
        <v>9092</v>
      </c>
      <c r="B505" s="8" t="s">
        <v>2445</v>
      </c>
      <c r="C505" s="9">
        <v>42183</v>
      </c>
      <c r="D505" s="9">
        <v>42188</v>
      </c>
      <c r="E505" s="8" t="s">
        <v>707</v>
      </c>
      <c r="F505" s="8" t="s">
        <v>981</v>
      </c>
      <c r="G505" s="8" t="s">
        <v>982</v>
      </c>
      <c r="H505" s="8" t="s">
        <v>716</v>
      </c>
      <c r="I505" s="8" t="s">
        <v>708</v>
      </c>
      <c r="J505" s="8" t="s">
        <v>376</v>
      </c>
      <c r="K505" s="8" t="s">
        <v>138</v>
      </c>
      <c r="L505" s="8">
        <v>45373</v>
      </c>
      <c r="M505" s="8" t="s">
        <v>759</v>
      </c>
      <c r="N505" s="8" t="s">
        <v>903</v>
      </c>
      <c r="O505" s="8" t="s">
        <v>9</v>
      </c>
      <c r="P505" s="8" t="s">
        <v>731</v>
      </c>
      <c r="Q505" s="8" t="s">
        <v>904</v>
      </c>
      <c r="R505" s="34">
        <v>15.552</v>
      </c>
      <c r="S505" s="7">
        <v>3</v>
      </c>
      <c r="T505" s="16">
        <v>0.2</v>
      </c>
      <c r="U505" s="15">
        <v>5.4432</v>
      </c>
      <c r="V505" s="22">
        <v>5.4432</v>
      </c>
      <c r="W505" s="23">
        <v>12.4416</v>
      </c>
      <c r="X505" s="21" t="str" cm="1">
        <f t="array" ref="X505">IF(OR(R505:R1042&lt;0,T504:T1042&lt;0,C505:C1043=""),"Check","OK")</f>
        <v>Check</v>
      </c>
    </row>
    <row r="506" ht="17.6" spans="1:24">
      <c r="A506" s="4">
        <v>9094</v>
      </c>
      <c r="B506" s="5" t="s">
        <v>2446</v>
      </c>
      <c r="C506" s="6">
        <v>42156</v>
      </c>
      <c r="D506" s="6">
        <v>42160</v>
      </c>
      <c r="E506" s="5" t="s">
        <v>4</v>
      </c>
      <c r="F506" s="5" t="s">
        <v>160</v>
      </c>
      <c r="G506" s="5" t="s">
        <v>161</v>
      </c>
      <c r="H506" s="5" t="s">
        <v>111</v>
      </c>
      <c r="I506" s="5" t="s">
        <v>708</v>
      </c>
      <c r="J506" s="5" t="s">
        <v>162</v>
      </c>
      <c r="K506" s="5" t="s">
        <v>163</v>
      </c>
      <c r="L506" s="5">
        <v>48227</v>
      </c>
      <c r="M506" s="5" t="s">
        <v>742</v>
      </c>
      <c r="N506" s="5" t="s">
        <v>2447</v>
      </c>
      <c r="O506" s="5" t="s">
        <v>10</v>
      </c>
      <c r="P506" s="5" t="s">
        <v>780</v>
      </c>
      <c r="Q506" s="5" t="s">
        <v>2448</v>
      </c>
      <c r="R506" s="33">
        <v>299.98</v>
      </c>
      <c r="S506" s="4">
        <v>2</v>
      </c>
      <c r="T506" s="14">
        <v>0</v>
      </c>
      <c r="U506" s="12">
        <v>83.9944</v>
      </c>
      <c r="V506" s="19">
        <v>83.9944</v>
      </c>
      <c r="W506" s="20">
        <v>299.98</v>
      </c>
      <c r="X506" s="21" t="str" cm="1">
        <f t="array" ref="X506">IF(OR(R506:R1043&lt;0,T505:T1043&lt;0,C506:C1044=""),"Check","OK")</f>
        <v>Check</v>
      </c>
    </row>
    <row r="507" ht="17.6" spans="1:24">
      <c r="A507" s="7">
        <v>9098</v>
      </c>
      <c r="B507" s="8" t="s">
        <v>2449</v>
      </c>
      <c r="C507" s="9">
        <v>41741</v>
      </c>
      <c r="D507" s="9">
        <v>41746</v>
      </c>
      <c r="E507" s="8" t="s">
        <v>4</v>
      </c>
      <c r="F507" s="8" t="s">
        <v>650</v>
      </c>
      <c r="G507" s="8" t="s">
        <v>651</v>
      </c>
      <c r="H507" s="8" t="s">
        <v>111</v>
      </c>
      <c r="I507" s="8" t="s">
        <v>708</v>
      </c>
      <c r="J507" s="8" t="s">
        <v>542</v>
      </c>
      <c r="K507" s="8" t="s">
        <v>304</v>
      </c>
      <c r="L507" s="8">
        <v>47401</v>
      </c>
      <c r="M507" s="8" t="s">
        <v>742</v>
      </c>
      <c r="N507" s="8" t="s">
        <v>2292</v>
      </c>
      <c r="O507" s="8" t="s">
        <v>9</v>
      </c>
      <c r="P507" s="8" t="s">
        <v>731</v>
      </c>
      <c r="Q507" s="8" t="s">
        <v>2293</v>
      </c>
      <c r="R507" s="34">
        <v>32.4</v>
      </c>
      <c r="S507" s="7">
        <v>5</v>
      </c>
      <c r="T507" s="16">
        <v>0</v>
      </c>
      <c r="U507" s="15">
        <v>15.552</v>
      </c>
      <c r="V507" s="22">
        <v>15.552</v>
      </c>
      <c r="W507" s="23">
        <v>32.4</v>
      </c>
      <c r="X507" s="21" t="str" cm="1">
        <f t="array" ref="X507">IF(OR(R507:R1044&lt;0,T506:T1044&lt;0,C507:C1045=""),"Check","OK")</f>
        <v>Check</v>
      </c>
    </row>
    <row r="508" ht="17.6" spans="1:24">
      <c r="A508" s="4">
        <v>9099</v>
      </c>
      <c r="B508" s="5" t="s">
        <v>2450</v>
      </c>
      <c r="C508" s="6">
        <v>43020</v>
      </c>
      <c r="D508" s="6">
        <v>43024</v>
      </c>
      <c r="E508" s="5" t="s">
        <v>4</v>
      </c>
      <c r="F508" s="5" t="s">
        <v>2451</v>
      </c>
      <c r="G508" s="5" t="s">
        <v>2452</v>
      </c>
      <c r="H508" s="5" t="s">
        <v>741</v>
      </c>
      <c r="I508" s="5" t="s">
        <v>708</v>
      </c>
      <c r="J508" s="5" t="s">
        <v>457</v>
      </c>
      <c r="K508" s="5" t="s">
        <v>132</v>
      </c>
      <c r="L508" s="5">
        <v>75081</v>
      </c>
      <c r="M508" s="5" t="s">
        <v>742</v>
      </c>
      <c r="N508" s="5" t="s">
        <v>2453</v>
      </c>
      <c r="O508" s="5" t="s">
        <v>10</v>
      </c>
      <c r="P508" s="5" t="s">
        <v>780</v>
      </c>
      <c r="Q508" s="5" t="s">
        <v>2454</v>
      </c>
      <c r="R508" s="33">
        <v>369.544</v>
      </c>
      <c r="S508" s="4">
        <v>7</v>
      </c>
      <c r="T508" s="14">
        <v>0.2</v>
      </c>
      <c r="U508" s="12">
        <v>27.7158</v>
      </c>
      <c r="V508" s="19">
        <v>27.7158</v>
      </c>
      <c r="W508" s="20">
        <v>295.6352</v>
      </c>
      <c r="X508" s="21" t="str" cm="1">
        <f t="array" ref="X508">IF(OR(R508:R1045&lt;0,T507:T1045&lt;0,C508:C1046=""),"Check","OK")</f>
        <v>Check</v>
      </c>
    </row>
    <row r="509" ht="17.6" spans="1:24">
      <c r="A509" s="7">
        <v>9102</v>
      </c>
      <c r="B509" s="8" t="s">
        <v>2455</v>
      </c>
      <c r="C509" s="9">
        <v>42315</v>
      </c>
      <c r="D509" s="9">
        <v>42320</v>
      </c>
      <c r="E509" s="8" t="s">
        <v>4</v>
      </c>
      <c r="F509" s="8" t="s">
        <v>129</v>
      </c>
      <c r="G509" s="8" t="s">
        <v>130</v>
      </c>
      <c r="H509" s="8" t="s">
        <v>111</v>
      </c>
      <c r="I509" s="8" t="s">
        <v>708</v>
      </c>
      <c r="J509" s="8" t="s">
        <v>131</v>
      </c>
      <c r="K509" s="8" t="s">
        <v>132</v>
      </c>
      <c r="L509" s="8">
        <v>77041</v>
      </c>
      <c r="M509" s="8" t="s">
        <v>742</v>
      </c>
      <c r="N509" s="8" t="s">
        <v>59</v>
      </c>
      <c r="O509" s="8" t="s">
        <v>9</v>
      </c>
      <c r="P509" s="8" t="s">
        <v>16</v>
      </c>
      <c r="Q509" s="8" t="s">
        <v>58</v>
      </c>
      <c r="R509" s="34">
        <v>23.64</v>
      </c>
      <c r="S509" s="7">
        <v>3</v>
      </c>
      <c r="T509" s="16">
        <v>0.2</v>
      </c>
      <c r="U509" s="15">
        <v>5.319</v>
      </c>
      <c r="V509" s="22">
        <v>5.319</v>
      </c>
      <c r="W509" s="23">
        <v>18.912</v>
      </c>
      <c r="X509" s="21" t="str" cm="1">
        <f t="array" ref="X509">IF(OR(R509:R1046&lt;0,T508:T1046&lt;0,C509:C1047=""),"Check","OK")</f>
        <v>Check</v>
      </c>
    </row>
    <row r="510" ht="17.6" spans="1:24">
      <c r="A510" s="4">
        <v>9108</v>
      </c>
      <c r="B510" s="5" t="s">
        <v>2456</v>
      </c>
      <c r="C510" s="6">
        <v>42149</v>
      </c>
      <c r="D510" s="6">
        <v>42152</v>
      </c>
      <c r="E510" s="5" t="s">
        <v>13</v>
      </c>
      <c r="F510" s="5" t="s">
        <v>1371</v>
      </c>
      <c r="G510" s="5" t="s">
        <v>1372</v>
      </c>
      <c r="H510" s="5" t="s">
        <v>716</v>
      </c>
      <c r="I510" s="5" t="s">
        <v>708</v>
      </c>
      <c r="J510" s="5" t="s">
        <v>2457</v>
      </c>
      <c r="K510" s="5" t="s">
        <v>132</v>
      </c>
      <c r="L510" s="5">
        <v>76117</v>
      </c>
      <c r="M510" s="5" t="s">
        <v>742</v>
      </c>
      <c r="N510" s="5" t="s">
        <v>2458</v>
      </c>
      <c r="O510" s="5" t="s">
        <v>9</v>
      </c>
      <c r="P510" s="5" t="s">
        <v>1428</v>
      </c>
      <c r="Q510" s="5" t="s">
        <v>2459</v>
      </c>
      <c r="R510" s="33">
        <v>22.368</v>
      </c>
      <c r="S510" s="4">
        <v>2</v>
      </c>
      <c r="T510" s="14">
        <v>0.2</v>
      </c>
      <c r="U510" s="12">
        <v>1.6776</v>
      </c>
      <c r="V510" s="19">
        <v>1.6776</v>
      </c>
      <c r="W510" s="20">
        <v>17.8944</v>
      </c>
      <c r="X510" s="21" t="str" cm="1">
        <f t="array" ref="X510">IF(OR(R510:R1047&lt;0,T509:T1047&lt;0,C510:C1048=""),"Check","OK")</f>
        <v>Check</v>
      </c>
    </row>
    <row r="511" ht="17.6" spans="1:24">
      <c r="A511" s="7">
        <v>9111</v>
      </c>
      <c r="B511" s="8" t="s">
        <v>2460</v>
      </c>
      <c r="C511" s="9">
        <v>41925</v>
      </c>
      <c r="D511" s="9">
        <v>41927</v>
      </c>
      <c r="E511" s="8" t="s">
        <v>13</v>
      </c>
      <c r="F511" s="8" t="s">
        <v>2461</v>
      </c>
      <c r="G511" s="8" t="s">
        <v>2462</v>
      </c>
      <c r="H511" s="8" t="s">
        <v>741</v>
      </c>
      <c r="I511" s="8" t="s">
        <v>708</v>
      </c>
      <c r="J511" s="8" t="s">
        <v>199</v>
      </c>
      <c r="K511" s="8" t="s">
        <v>288</v>
      </c>
      <c r="L511" s="8">
        <v>23223</v>
      </c>
      <c r="M511" s="8" t="s">
        <v>709</v>
      </c>
      <c r="N511" s="8" t="s">
        <v>2463</v>
      </c>
      <c r="O511" s="8" t="s">
        <v>9</v>
      </c>
      <c r="P511" s="8" t="s">
        <v>786</v>
      </c>
      <c r="Q511" s="8" t="s">
        <v>2464</v>
      </c>
      <c r="R511" s="34">
        <v>36.4</v>
      </c>
      <c r="S511" s="7">
        <v>5</v>
      </c>
      <c r="T511" s="16">
        <v>0</v>
      </c>
      <c r="U511" s="15">
        <v>17.472</v>
      </c>
      <c r="V511" s="22">
        <v>17.472</v>
      </c>
      <c r="W511" s="23">
        <v>36.4</v>
      </c>
      <c r="X511" s="21" t="str" cm="1">
        <f t="array" ref="X511">IF(OR(R511:R1048&lt;0,T510:T1048&lt;0,C511:C1049=""),"Check","OK")</f>
        <v>Check</v>
      </c>
    </row>
    <row r="512" ht="17.6" spans="1:24">
      <c r="A512" s="4">
        <v>9115</v>
      </c>
      <c r="B512" s="5" t="s">
        <v>2465</v>
      </c>
      <c r="C512" s="6">
        <v>42407</v>
      </c>
      <c r="D512" s="6">
        <v>42410</v>
      </c>
      <c r="E512" s="5" t="s">
        <v>707</v>
      </c>
      <c r="F512" s="5" t="s">
        <v>2466</v>
      </c>
      <c r="G512" s="5" t="s">
        <v>2467</v>
      </c>
      <c r="H512" s="5" t="s">
        <v>716</v>
      </c>
      <c r="I512" s="5" t="s">
        <v>708</v>
      </c>
      <c r="J512" s="5" t="s">
        <v>135</v>
      </c>
      <c r="K512" s="5" t="s">
        <v>136</v>
      </c>
      <c r="L512" s="5">
        <v>90049</v>
      </c>
      <c r="M512" s="5" t="s">
        <v>717</v>
      </c>
      <c r="N512" s="5" t="s">
        <v>2468</v>
      </c>
      <c r="O512" s="5" t="s">
        <v>10</v>
      </c>
      <c r="P512" s="5" t="s">
        <v>780</v>
      </c>
      <c r="Q512" s="5" t="s">
        <v>2469</v>
      </c>
      <c r="R512" s="33">
        <v>623.96</v>
      </c>
      <c r="S512" s="4">
        <v>5</v>
      </c>
      <c r="T512" s="14">
        <v>0.2</v>
      </c>
      <c r="U512" s="12">
        <v>38.9975</v>
      </c>
      <c r="V512" s="19">
        <v>38.9975</v>
      </c>
      <c r="W512" s="20">
        <v>499.168</v>
      </c>
      <c r="X512" s="21" t="str" cm="1">
        <f t="array" ref="X512">IF(OR(R512:R1049&lt;0,T511:T1049&lt;0,C512:C1050=""),"Check","OK")</f>
        <v>Check</v>
      </c>
    </row>
    <row r="513" ht="17.6" spans="1:24">
      <c r="A513" s="7">
        <v>9116</v>
      </c>
      <c r="B513" s="8" t="s">
        <v>2470</v>
      </c>
      <c r="C513" s="9">
        <v>42754</v>
      </c>
      <c r="D513" s="9">
        <v>42759</v>
      </c>
      <c r="E513" s="8" t="s">
        <v>707</v>
      </c>
      <c r="F513" s="8" t="s">
        <v>531</v>
      </c>
      <c r="G513" s="8" t="s">
        <v>532</v>
      </c>
      <c r="H513" s="8" t="s">
        <v>111</v>
      </c>
      <c r="I513" s="8" t="s">
        <v>708</v>
      </c>
      <c r="J513" s="8" t="s">
        <v>175</v>
      </c>
      <c r="K513" s="8" t="s">
        <v>176</v>
      </c>
      <c r="L513" s="8">
        <v>19140</v>
      </c>
      <c r="M513" s="8" t="s">
        <v>759</v>
      </c>
      <c r="N513" s="8" t="s">
        <v>2471</v>
      </c>
      <c r="O513" s="8" t="s">
        <v>10</v>
      </c>
      <c r="P513" s="8" t="s">
        <v>780</v>
      </c>
      <c r="Q513" s="8" t="s">
        <v>2472</v>
      </c>
      <c r="R513" s="34">
        <v>429.6</v>
      </c>
      <c r="S513" s="7">
        <v>2</v>
      </c>
      <c r="T513" s="16">
        <v>0.4</v>
      </c>
      <c r="U513" s="15">
        <v>-93.08</v>
      </c>
      <c r="V513" s="22">
        <v>93.08</v>
      </c>
      <c r="W513" s="23">
        <v>257.76</v>
      </c>
      <c r="X513" s="21" t="str" cm="1">
        <f t="array" ref="X513">IF(OR(R513:R1050&lt;0,T512:T1050&lt;0,C513:C1051=""),"Check","OK")</f>
        <v>Check</v>
      </c>
    </row>
    <row r="514" ht="17.6" spans="1:24">
      <c r="A514" s="4">
        <v>9120</v>
      </c>
      <c r="B514" s="5" t="s">
        <v>2473</v>
      </c>
      <c r="C514" s="6">
        <v>42527</v>
      </c>
      <c r="D514" s="6">
        <v>42533</v>
      </c>
      <c r="E514" s="5" t="s">
        <v>4</v>
      </c>
      <c r="F514" s="5" t="s">
        <v>1480</v>
      </c>
      <c r="G514" s="5" t="s">
        <v>1481</v>
      </c>
      <c r="H514" s="5" t="s">
        <v>741</v>
      </c>
      <c r="I514" s="5" t="s">
        <v>708</v>
      </c>
      <c r="J514" s="5" t="s">
        <v>135</v>
      </c>
      <c r="K514" s="5" t="s">
        <v>136</v>
      </c>
      <c r="L514" s="5">
        <v>90036</v>
      </c>
      <c r="M514" s="5" t="s">
        <v>717</v>
      </c>
      <c r="N514" s="5" t="s">
        <v>2474</v>
      </c>
      <c r="O514" s="5" t="s">
        <v>9</v>
      </c>
      <c r="P514" s="5" t="s">
        <v>719</v>
      </c>
      <c r="Q514" s="5" t="s">
        <v>2475</v>
      </c>
      <c r="R514" s="33">
        <v>22.05</v>
      </c>
      <c r="S514" s="4">
        <v>7</v>
      </c>
      <c r="T514" s="14">
        <v>0</v>
      </c>
      <c r="U514" s="12">
        <v>10.584</v>
      </c>
      <c r="V514" s="19">
        <v>10.584</v>
      </c>
      <c r="W514" s="20">
        <v>22.05</v>
      </c>
      <c r="X514" s="21" t="str" cm="1">
        <f t="array" ref="X514">IF(OR(R514:R1051&lt;0,T513:T1051&lt;0,C514:C1052=""),"Check","OK")</f>
        <v>Check</v>
      </c>
    </row>
    <row r="515" ht="17.6" spans="1:24">
      <c r="A515" s="7">
        <v>9122</v>
      </c>
      <c r="B515" s="8" t="s">
        <v>2476</v>
      </c>
      <c r="C515" s="9">
        <v>42812</v>
      </c>
      <c r="D515" s="9">
        <v>42814</v>
      </c>
      <c r="E515" s="8" t="s">
        <v>707</v>
      </c>
      <c r="F515" s="8" t="s">
        <v>2477</v>
      </c>
      <c r="G515" s="8" t="s">
        <v>2478</v>
      </c>
      <c r="H515" s="8" t="s">
        <v>716</v>
      </c>
      <c r="I515" s="8" t="s">
        <v>708</v>
      </c>
      <c r="J515" s="8" t="s">
        <v>135</v>
      </c>
      <c r="K515" s="8" t="s">
        <v>136</v>
      </c>
      <c r="L515" s="8">
        <v>90032</v>
      </c>
      <c r="M515" s="8" t="s">
        <v>717</v>
      </c>
      <c r="N515" s="8" t="s">
        <v>922</v>
      </c>
      <c r="O515" s="8" t="s">
        <v>9</v>
      </c>
      <c r="P515" s="8" t="s">
        <v>744</v>
      </c>
      <c r="Q515" s="8" t="s">
        <v>923</v>
      </c>
      <c r="R515" s="34">
        <v>90.86</v>
      </c>
      <c r="S515" s="7">
        <v>7</v>
      </c>
      <c r="T515" s="16">
        <v>0</v>
      </c>
      <c r="U515" s="15">
        <v>26.3494</v>
      </c>
      <c r="V515" s="22">
        <v>26.3494</v>
      </c>
      <c r="W515" s="23">
        <v>90.86</v>
      </c>
      <c r="X515" s="21" t="str" cm="1">
        <f t="array" ref="X515">IF(OR(R515:R1052&lt;0,T514:T1052&lt;0,C515:C1053=""),"Check","OK")</f>
        <v>Check</v>
      </c>
    </row>
    <row r="516" ht="17.6" spans="1:24">
      <c r="A516" s="4">
        <v>9123</v>
      </c>
      <c r="B516" s="5" t="s">
        <v>2479</v>
      </c>
      <c r="C516" s="6">
        <v>43063</v>
      </c>
      <c r="D516" s="6">
        <v>43063</v>
      </c>
      <c r="E516" s="5" t="s">
        <v>1358</v>
      </c>
      <c r="F516" s="5" t="s">
        <v>564</v>
      </c>
      <c r="G516" s="5" t="s">
        <v>565</v>
      </c>
      <c r="H516" s="5" t="s">
        <v>111</v>
      </c>
      <c r="I516" s="5" t="s">
        <v>708</v>
      </c>
      <c r="J516" s="5" t="s">
        <v>188</v>
      </c>
      <c r="K516" s="5" t="s">
        <v>136</v>
      </c>
      <c r="L516" s="5">
        <v>94109</v>
      </c>
      <c r="M516" s="5" t="s">
        <v>717</v>
      </c>
      <c r="N516" s="5" t="s">
        <v>2480</v>
      </c>
      <c r="O516" s="5" t="s">
        <v>9</v>
      </c>
      <c r="P516" s="5" t="s">
        <v>731</v>
      </c>
      <c r="Q516" s="5" t="s">
        <v>2481</v>
      </c>
      <c r="R516" s="33">
        <v>7.78</v>
      </c>
      <c r="S516" s="4">
        <v>1</v>
      </c>
      <c r="T516" s="14">
        <v>0</v>
      </c>
      <c r="U516" s="12">
        <v>3.501</v>
      </c>
      <c r="V516" s="19">
        <v>3.501</v>
      </c>
      <c r="W516" s="20">
        <v>7.78</v>
      </c>
      <c r="X516" s="21" t="str" cm="1">
        <f t="array" ref="X516">IF(OR(R516:R1053&lt;0,T515:T1053&lt;0,C516:C1054=""),"Check","OK")</f>
        <v>Check</v>
      </c>
    </row>
    <row r="517" ht="17.6" spans="1:24">
      <c r="A517" s="7">
        <v>9124</v>
      </c>
      <c r="B517" s="8" t="s">
        <v>2482</v>
      </c>
      <c r="C517" s="9">
        <v>42700</v>
      </c>
      <c r="D517" s="9">
        <v>42702</v>
      </c>
      <c r="E517" s="8" t="s">
        <v>707</v>
      </c>
      <c r="F517" s="8" t="s">
        <v>317</v>
      </c>
      <c r="G517" s="8" t="s">
        <v>318</v>
      </c>
      <c r="H517" s="8" t="s">
        <v>111</v>
      </c>
      <c r="I517" s="8" t="s">
        <v>708</v>
      </c>
      <c r="J517" s="8" t="s">
        <v>175</v>
      </c>
      <c r="K517" s="8" t="s">
        <v>176</v>
      </c>
      <c r="L517" s="8">
        <v>19120</v>
      </c>
      <c r="M517" s="8" t="s">
        <v>759</v>
      </c>
      <c r="N517" s="8" t="s">
        <v>2483</v>
      </c>
      <c r="O517" s="8" t="s">
        <v>9</v>
      </c>
      <c r="P517" s="8" t="s">
        <v>736</v>
      </c>
      <c r="Q517" s="8" t="s">
        <v>2484</v>
      </c>
      <c r="R517" s="34">
        <v>78.759</v>
      </c>
      <c r="S517" s="7">
        <v>9</v>
      </c>
      <c r="T517" s="16">
        <v>0.7</v>
      </c>
      <c r="U517" s="15">
        <v>-57.7566</v>
      </c>
      <c r="V517" s="22">
        <v>57.7566</v>
      </c>
      <c r="W517" s="23">
        <v>23.6277</v>
      </c>
      <c r="X517" s="21" t="str" cm="1">
        <f t="array" ref="X517">IF(OR(R517:R1054&lt;0,T516:T1054&lt;0,C517:C1055=""),"Check","OK")</f>
        <v>Check</v>
      </c>
    </row>
    <row r="518" ht="17.6" spans="1:24">
      <c r="A518" s="4">
        <v>9125</v>
      </c>
      <c r="B518" s="5" t="s">
        <v>2485</v>
      </c>
      <c r="C518" s="6">
        <v>42600</v>
      </c>
      <c r="D518" s="6">
        <v>42602</v>
      </c>
      <c r="E518" s="5" t="s">
        <v>707</v>
      </c>
      <c r="F518" s="5" t="s">
        <v>771</v>
      </c>
      <c r="G518" s="5" t="s">
        <v>772</v>
      </c>
      <c r="H518" s="5" t="s">
        <v>741</v>
      </c>
      <c r="I518" s="5" t="s">
        <v>708</v>
      </c>
      <c r="J518" s="5" t="s">
        <v>131</v>
      </c>
      <c r="K518" s="5" t="s">
        <v>132</v>
      </c>
      <c r="L518" s="5">
        <v>77070</v>
      </c>
      <c r="M518" s="5" t="s">
        <v>742</v>
      </c>
      <c r="N518" s="5" t="s">
        <v>2313</v>
      </c>
      <c r="O518" s="5" t="s">
        <v>8</v>
      </c>
      <c r="P518" s="5" t="s">
        <v>727</v>
      </c>
      <c r="Q518" s="5" t="s">
        <v>2314</v>
      </c>
      <c r="R518" s="33">
        <v>9.552</v>
      </c>
      <c r="S518" s="4">
        <v>3</v>
      </c>
      <c r="T518" s="14">
        <v>0.6</v>
      </c>
      <c r="U518" s="12">
        <v>-3.8208</v>
      </c>
      <c r="V518" s="19">
        <v>3.8208</v>
      </c>
      <c r="W518" s="20">
        <v>3.8208</v>
      </c>
      <c r="X518" s="21" t="str" cm="1">
        <f t="array" ref="X518">IF(OR(R518:R1055&lt;0,T517:T1055&lt;0,C518:C1056=""),"Check","OK")</f>
        <v>Check</v>
      </c>
    </row>
    <row r="519" ht="17.6" spans="1:24">
      <c r="A519" s="7">
        <v>9127</v>
      </c>
      <c r="B519" s="8" t="s">
        <v>2486</v>
      </c>
      <c r="C519" s="9">
        <v>42336</v>
      </c>
      <c r="D519" s="9">
        <v>42341</v>
      </c>
      <c r="E519" s="8" t="s">
        <v>4</v>
      </c>
      <c r="F519" s="8" t="s">
        <v>2461</v>
      </c>
      <c r="G519" s="8" t="s">
        <v>2462</v>
      </c>
      <c r="H519" s="8" t="s">
        <v>741</v>
      </c>
      <c r="I519" s="8" t="s">
        <v>708</v>
      </c>
      <c r="J519" s="8" t="s">
        <v>2487</v>
      </c>
      <c r="K519" s="8" t="s">
        <v>590</v>
      </c>
      <c r="L519" s="8">
        <v>88001</v>
      </c>
      <c r="M519" s="8" t="s">
        <v>717</v>
      </c>
      <c r="N519" s="8" t="s">
        <v>27</v>
      </c>
      <c r="O519" s="8" t="s">
        <v>9</v>
      </c>
      <c r="P519" s="8" t="s">
        <v>16</v>
      </c>
      <c r="Q519" s="8" t="s">
        <v>26</v>
      </c>
      <c r="R519" s="34">
        <v>8.28</v>
      </c>
      <c r="S519" s="7">
        <v>2</v>
      </c>
      <c r="T519" s="16">
        <v>0</v>
      </c>
      <c r="U519" s="15">
        <v>3.4776</v>
      </c>
      <c r="V519" s="22">
        <v>3.4776</v>
      </c>
      <c r="W519" s="23">
        <v>8.28</v>
      </c>
      <c r="X519" s="21" t="str" cm="1">
        <f t="array" ref="X519">IF(OR(R519:R1056&lt;0,T518:T1056&lt;0,C519:C1057=""),"Check","OK")</f>
        <v>Check</v>
      </c>
    </row>
    <row r="520" ht="17.6" spans="1:24">
      <c r="A520" s="4">
        <v>9128</v>
      </c>
      <c r="B520" s="5" t="s">
        <v>2488</v>
      </c>
      <c r="C520" s="6">
        <v>42880</v>
      </c>
      <c r="D520" s="6">
        <v>42887</v>
      </c>
      <c r="E520" s="5" t="s">
        <v>4</v>
      </c>
      <c r="F520" s="5" t="s">
        <v>409</v>
      </c>
      <c r="G520" s="5" t="s">
        <v>410</v>
      </c>
      <c r="H520" s="5" t="s">
        <v>111</v>
      </c>
      <c r="I520" s="5" t="s">
        <v>708</v>
      </c>
      <c r="J520" s="5" t="s">
        <v>131</v>
      </c>
      <c r="K520" s="5" t="s">
        <v>132</v>
      </c>
      <c r="L520" s="5">
        <v>77070</v>
      </c>
      <c r="M520" s="5" t="s">
        <v>742</v>
      </c>
      <c r="N520" s="5" t="s">
        <v>2489</v>
      </c>
      <c r="O520" s="5" t="s">
        <v>9</v>
      </c>
      <c r="P520" s="5" t="s">
        <v>748</v>
      </c>
      <c r="Q520" s="5" t="s">
        <v>2490</v>
      </c>
      <c r="R520" s="33">
        <v>50.136</v>
      </c>
      <c r="S520" s="4">
        <v>3</v>
      </c>
      <c r="T520" s="14">
        <v>0.2</v>
      </c>
      <c r="U520" s="12">
        <v>-11.2806</v>
      </c>
      <c r="V520" s="19">
        <v>11.2806</v>
      </c>
      <c r="W520" s="20">
        <v>40.1088</v>
      </c>
      <c r="X520" s="21" t="str" cm="1">
        <f t="array" ref="X520">IF(OR(R520:R1057&lt;0,T519:T1057&lt;0,C520:C1058=""),"Check","OK")</f>
        <v>Check</v>
      </c>
    </row>
    <row r="521" ht="17.6" spans="1:24">
      <c r="A521" s="7">
        <v>9129</v>
      </c>
      <c r="B521" s="8" t="s">
        <v>2491</v>
      </c>
      <c r="C521" s="9">
        <v>42982</v>
      </c>
      <c r="D521" s="9">
        <v>42983</v>
      </c>
      <c r="E521" s="8" t="s">
        <v>13</v>
      </c>
      <c r="F521" s="8" t="s">
        <v>2492</v>
      </c>
      <c r="G521" s="8" t="s">
        <v>2493</v>
      </c>
      <c r="H521" s="8" t="s">
        <v>716</v>
      </c>
      <c r="I521" s="8" t="s">
        <v>708</v>
      </c>
      <c r="J521" s="8" t="s">
        <v>2494</v>
      </c>
      <c r="K521" s="8" t="s">
        <v>660</v>
      </c>
      <c r="L521" s="8">
        <v>97756</v>
      </c>
      <c r="M521" s="8" t="s">
        <v>717</v>
      </c>
      <c r="N521" s="8" t="s">
        <v>2495</v>
      </c>
      <c r="O521" s="8" t="s">
        <v>9</v>
      </c>
      <c r="P521" s="8" t="s">
        <v>736</v>
      </c>
      <c r="Q521" s="8" t="s">
        <v>2496</v>
      </c>
      <c r="R521" s="34">
        <v>88.074</v>
      </c>
      <c r="S521" s="7">
        <v>7</v>
      </c>
      <c r="T521" s="16">
        <v>0.7</v>
      </c>
      <c r="U521" s="15">
        <v>-58.716</v>
      </c>
      <c r="V521" s="22">
        <v>58.716</v>
      </c>
      <c r="W521" s="23">
        <v>26.4222</v>
      </c>
      <c r="X521" s="21" t="str" cm="1">
        <f t="array" ref="X521">IF(OR(R521:R1058&lt;0,T520:T1058&lt;0,C521:C1059=""),"Check","OK")</f>
        <v>Check</v>
      </c>
    </row>
    <row r="522" ht="17.6" spans="1:24">
      <c r="A522" s="4">
        <v>9130</v>
      </c>
      <c r="B522" s="5" t="s">
        <v>2497</v>
      </c>
      <c r="C522" s="6">
        <v>42453</v>
      </c>
      <c r="D522" s="6">
        <v>42455</v>
      </c>
      <c r="E522" s="5" t="s">
        <v>707</v>
      </c>
      <c r="F522" s="5" t="s">
        <v>274</v>
      </c>
      <c r="G522" s="5" t="s">
        <v>275</v>
      </c>
      <c r="H522" s="5" t="s">
        <v>111</v>
      </c>
      <c r="I522" s="5" t="s">
        <v>708</v>
      </c>
      <c r="J522" s="5" t="s">
        <v>276</v>
      </c>
      <c r="K522" s="5" t="s">
        <v>138</v>
      </c>
      <c r="L522" s="5">
        <v>44105</v>
      </c>
      <c r="M522" s="5" t="s">
        <v>759</v>
      </c>
      <c r="N522" s="5" t="s">
        <v>2498</v>
      </c>
      <c r="O522" s="5" t="s">
        <v>8</v>
      </c>
      <c r="P522" s="5" t="s">
        <v>711</v>
      </c>
      <c r="Q522" s="5" t="s">
        <v>2499</v>
      </c>
      <c r="R522" s="33">
        <v>301.47</v>
      </c>
      <c r="S522" s="4">
        <v>3</v>
      </c>
      <c r="T522" s="14">
        <v>0.5</v>
      </c>
      <c r="U522" s="12">
        <v>-241.176</v>
      </c>
      <c r="V522" s="19">
        <v>241.176</v>
      </c>
      <c r="W522" s="20">
        <v>150.735</v>
      </c>
      <c r="X522" s="21" t="str" cm="1">
        <f t="array" ref="X522">IF(OR(R522:R1059&lt;0,T521:T1059&lt;0,C522:C1060=""),"Check","OK")</f>
        <v>Check</v>
      </c>
    </row>
    <row r="523" ht="17.6" spans="1:24">
      <c r="A523" s="7">
        <v>9132</v>
      </c>
      <c r="B523" s="8" t="s">
        <v>2500</v>
      </c>
      <c r="C523" s="9">
        <v>42883</v>
      </c>
      <c r="D523" s="9">
        <v>42887</v>
      </c>
      <c r="E523" s="8" t="s">
        <v>4</v>
      </c>
      <c r="F523" s="8" t="s">
        <v>2501</v>
      </c>
      <c r="G523" s="8" t="s">
        <v>2502</v>
      </c>
      <c r="H523" s="8" t="s">
        <v>716</v>
      </c>
      <c r="I523" s="8" t="s">
        <v>708</v>
      </c>
      <c r="J523" s="8" t="s">
        <v>2503</v>
      </c>
      <c r="K523" s="8" t="s">
        <v>2208</v>
      </c>
      <c r="L523" s="8">
        <v>20707</v>
      </c>
      <c r="M523" s="8" t="s">
        <v>759</v>
      </c>
      <c r="N523" s="8" t="s">
        <v>2504</v>
      </c>
      <c r="O523" s="8" t="s">
        <v>8</v>
      </c>
      <c r="P523" s="8" t="s">
        <v>727</v>
      </c>
      <c r="Q523" s="8" t="s">
        <v>2505</v>
      </c>
      <c r="R523" s="34">
        <v>27.46</v>
      </c>
      <c r="S523" s="7">
        <v>2</v>
      </c>
      <c r="T523" s="16">
        <v>0</v>
      </c>
      <c r="U523" s="15">
        <v>9.8856</v>
      </c>
      <c r="V523" s="22">
        <v>9.8856</v>
      </c>
      <c r="W523" s="23">
        <v>27.46</v>
      </c>
      <c r="X523" s="21" t="str" cm="1">
        <f t="array" ref="X523">IF(OR(R523:R1060&lt;0,T522:T1060&lt;0,C523:C1061=""),"Check","OK")</f>
        <v>Check</v>
      </c>
    </row>
    <row r="524" ht="17.6" spans="1:24">
      <c r="A524" s="4">
        <v>9134</v>
      </c>
      <c r="B524" s="5" t="s">
        <v>2506</v>
      </c>
      <c r="C524" s="6">
        <v>42247</v>
      </c>
      <c r="D524" s="6">
        <v>42251</v>
      </c>
      <c r="E524" s="5" t="s">
        <v>4</v>
      </c>
      <c r="F524" s="5" t="s">
        <v>2507</v>
      </c>
      <c r="G524" s="5" t="s">
        <v>2508</v>
      </c>
      <c r="H524" s="5" t="s">
        <v>741</v>
      </c>
      <c r="I524" s="5" t="s">
        <v>708</v>
      </c>
      <c r="J524" s="5" t="s">
        <v>431</v>
      </c>
      <c r="K524" s="5" t="s">
        <v>136</v>
      </c>
      <c r="L524" s="5">
        <v>92037</v>
      </c>
      <c r="M524" s="5" t="s">
        <v>717</v>
      </c>
      <c r="N524" s="5" t="s">
        <v>2509</v>
      </c>
      <c r="O524" s="5" t="s">
        <v>10</v>
      </c>
      <c r="P524" s="5" t="s">
        <v>780</v>
      </c>
      <c r="Q524" s="5" t="s">
        <v>2510</v>
      </c>
      <c r="R524" s="33">
        <v>555.96</v>
      </c>
      <c r="S524" s="4">
        <v>5</v>
      </c>
      <c r="T524" s="14">
        <v>0.2</v>
      </c>
      <c r="U524" s="12">
        <v>41.697</v>
      </c>
      <c r="V524" s="19">
        <v>41.697</v>
      </c>
      <c r="W524" s="20">
        <v>444.768</v>
      </c>
      <c r="X524" s="21" t="str" cm="1">
        <f t="array" ref="X524">IF(OR(R524:R1061&lt;0,T523:T1061&lt;0,C524:C1062=""),"Check","OK")</f>
        <v>Check</v>
      </c>
    </row>
    <row r="525" ht="17.6" spans="1:24">
      <c r="A525" s="7">
        <v>9135</v>
      </c>
      <c r="B525" s="8" t="s">
        <v>2511</v>
      </c>
      <c r="C525" s="9">
        <v>42472</v>
      </c>
      <c r="D525" s="9">
        <v>42477</v>
      </c>
      <c r="E525" s="8" t="s">
        <v>4</v>
      </c>
      <c r="F525" s="8" t="s">
        <v>2512</v>
      </c>
      <c r="G525" s="8" t="s">
        <v>2513</v>
      </c>
      <c r="H525" s="8" t="s">
        <v>716</v>
      </c>
      <c r="I525" s="8" t="s">
        <v>708</v>
      </c>
      <c r="J525" s="8" t="s">
        <v>2514</v>
      </c>
      <c r="K525" s="8" t="s">
        <v>128</v>
      </c>
      <c r="L525" s="8">
        <v>27893</v>
      </c>
      <c r="M525" s="8" t="s">
        <v>709</v>
      </c>
      <c r="N525" s="8" t="s">
        <v>2515</v>
      </c>
      <c r="O525" s="8" t="s">
        <v>9</v>
      </c>
      <c r="P525" s="8" t="s">
        <v>748</v>
      </c>
      <c r="Q525" s="8" t="s">
        <v>2516</v>
      </c>
      <c r="R525" s="34">
        <v>129.552</v>
      </c>
      <c r="S525" s="7">
        <v>3</v>
      </c>
      <c r="T525" s="16">
        <v>0.2</v>
      </c>
      <c r="U525" s="15">
        <v>-22.6716</v>
      </c>
      <c r="V525" s="22">
        <v>22.6716</v>
      </c>
      <c r="W525" s="23">
        <v>103.6416</v>
      </c>
      <c r="X525" s="21" t="str" cm="1">
        <f t="array" ref="X525">IF(OR(R525:R1062&lt;0,T524:T1062&lt;0,C525:C1063=""),"Check","OK")</f>
        <v>Check</v>
      </c>
    </row>
    <row r="526" ht="17.6" spans="1:24">
      <c r="A526" s="4">
        <v>9138</v>
      </c>
      <c r="B526" s="5" t="s">
        <v>2517</v>
      </c>
      <c r="C526" s="6">
        <v>41672</v>
      </c>
      <c r="D526" s="6">
        <v>41679</v>
      </c>
      <c r="E526" s="5" t="s">
        <v>4</v>
      </c>
      <c r="F526" s="5" t="s">
        <v>312</v>
      </c>
      <c r="G526" s="5" t="s">
        <v>313</v>
      </c>
      <c r="H526" s="5" t="s">
        <v>111</v>
      </c>
      <c r="I526" s="5" t="s">
        <v>708</v>
      </c>
      <c r="J526" s="5" t="s">
        <v>314</v>
      </c>
      <c r="K526" s="5" t="s">
        <v>172</v>
      </c>
      <c r="L526" s="5">
        <v>33710</v>
      </c>
      <c r="M526" s="5" t="s">
        <v>709</v>
      </c>
      <c r="N526" s="5" t="s">
        <v>2518</v>
      </c>
      <c r="O526" s="5" t="s">
        <v>9</v>
      </c>
      <c r="P526" s="5" t="s">
        <v>736</v>
      </c>
      <c r="Q526" s="5" t="s">
        <v>2519</v>
      </c>
      <c r="R526" s="33">
        <v>18.336</v>
      </c>
      <c r="S526" s="4">
        <v>2</v>
      </c>
      <c r="T526" s="14">
        <v>0.7</v>
      </c>
      <c r="U526" s="12">
        <v>-12.224</v>
      </c>
      <c r="V526" s="19">
        <v>12.224</v>
      </c>
      <c r="W526" s="20">
        <v>5.5008</v>
      </c>
      <c r="X526" s="21" t="str" cm="1">
        <f t="array" ref="X526">IF(OR(R526:R1063&lt;0,T525:T1063&lt;0,C526:C1064=""),"Check","OK")</f>
        <v>Check</v>
      </c>
    </row>
    <row r="527" ht="17.6" spans="1:24">
      <c r="A527" s="7">
        <v>9140</v>
      </c>
      <c r="B527" s="8" t="s">
        <v>2520</v>
      </c>
      <c r="C527" s="9">
        <v>41884</v>
      </c>
      <c r="D527" s="9">
        <v>41890</v>
      </c>
      <c r="E527" s="8" t="s">
        <v>4</v>
      </c>
      <c r="F527" s="8" t="s">
        <v>208</v>
      </c>
      <c r="G527" s="8" t="s">
        <v>209</v>
      </c>
      <c r="H527" s="8" t="s">
        <v>111</v>
      </c>
      <c r="I527" s="8" t="s">
        <v>708</v>
      </c>
      <c r="J527" s="8" t="s">
        <v>210</v>
      </c>
      <c r="K527" s="8" t="s">
        <v>183</v>
      </c>
      <c r="L527" s="8">
        <v>60089</v>
      </c>
      <c r="M527" s="8" t="s">
        <v>742</v>
      </c>
      <c r="N527" s="8" t="s">
        <v>942</v>
      </c>
      <c r="O527" s="8" t="s">
        <v>10</v>
      </c>
      <c r="P527" s="8" t="s">
        <v>809</v>
      </c>
      <c r="Q527" s="8" t="s">
        <v>943</v>
      </c>
      <c r="R527" s="34">
        <v>475.944</v>
      </c>
      <c r="S527" s="7">
        <v>7</v>
      </c>
      <c r="T527" s="16">
        <v>0.2</v>
      </c>
      <c r="U527" s="15">
        <v>95.1888</v>
      </c>
      <c r="V527" s="22">
        <v>95.1888</v>
      </c>
      <c r="W527" s="23">
        <v>380.7552</v>
      </c>
      <c r="X527" s="21" t="str" cm="1">
        <f t="array" ref="X527">IF(OR(R527:R1064&lt;0,T526:T1064&lt;0,C527:C1065=""),"Check","OK")</f>
        <v>Check</v>
      </c>
    </row>
    <row r="528" ht="17.6" spans="1:24">
      <c r="A528" s="4">
        <v>9141</v>
      </c>
      <c r="B528" s="5" t="s">
        <v>2521</v>
      </c>
      <c r="C528" s="6">
        <v>43008</v>
      </c>
      <c r="D528" s="6">
        <v>43010</v>
      </c>
      <c r="E528" s="5" t="s">
        <v>707</v>
      </c>
      <c r="F528" s="5" t="s">
        <v>2522</v>
      </c>
      <c r="G528" s="5" t="s">
        <v>2523</v>
      </c>
      <c r="H528" s="5" t="s">
        <v>741</v>
      </c>
      <c r="I528" s="5" t="s">
        <v>708</v>
      </c>
      <c r="J528" s="5" t="s">
        <v>135</v>
      </c>
      <c r="K528" s="5" t="s">
        <v>136</v>
      </c>
      <c r="L528" s="5">
        <v>90049</v>
      </c>
      <c r="M528" s="5" t="s">
        <v>717</v>
      </c>
      <c r="N528" s="5" t="s">
        <v>2085</v>
      </c>
      <c r="O528" s="5" t="s">
        <v>10</v>
      </c>
      <c r="P528" s="5" t="s">
        <v>809</v>
      </c>
      <c r="Q528" s="5" t="s">
        <v>2086</v>
      </c>
      <c r="R528" s="33">
        <v>159.98</v>
      </c>
      <c r="S528" s="4">
        <v>2</v>
      </c>
      <c r="T528" s="14">
        <v>0</v>
      </c>
      <c r="U528" s="12">
        <v>47.994</v>
      </c>
      <c r="V528" s="19">
        <v>47.994</v>
      </c>
      <c r="W528" s="20">
        <v>159.98</v>
      </c>
      <c r="X528" s="21" t="str" cm="1">
        <f t="array" ref="X528">IF(OR(R528:R1065&lt;0,T527:T1065&lt;0,C528:C1066=""),"Check","OK")</f>
        <v>Check</v>
      </c>
    </row>
    <row r="529" ht="17.6" spans="1:24">
      <c r="A529" s="7">
        <v>9142</v>
      </c>
      <c r="B529" s="8" t="s">
        <v>2524</v>
      </c>
      <c r="C529" s="9">
        <v>42618</v>
      </c>
      <c r="D529" s="9">
        <v>42620</v>
      </c>
      <c r="E529" s="8" t="s">
        <v>13</v>
      </c>
      <c r="F529" s="8" t="s">
        <v>2525</v>
      </c>
      <c r="G529" s="8" t="s">
        <v>2526</v>
      </c>
      <c r="H529" s="8" t="s">
        <v>716</v>
      </c>
      <c r="I529" s="8" t="s">
        <v>708</v>
      </c>
      <c r="J529" s="8" t="s">
        <v>204</v>
      </c>
      <c r="K529" s="8" t="s">
        <v>168</v>
      </c>
      <c r="L529" s="8">
        <v>10011</v>
      </c>
      <c r="M529" s="8" t="s">
        <v>759</v>
      </c>
      <c r="N529" s="8" t="s">
        <v>2527</v>
      </c>
      <c r="O529" s="8" t="s">
        <v>10</v>
      </c>
      <c r="P529" s="8" t="s">
        <v>780</v>
      </c>
      <c r="Q529" s="8" t="s">
        <v>2528</v>
      </c>
      <c r="R529" s="34">
        <v>43.6</v>
      </c>
      <c r="S529" s="7">
        <v>4</v>
      </c>
      <c r="T529" s="16">
        <v>0</v>
      </c>
      <c r="U529" s="15">
        <v>12.208</v>
      </c>
      <c r="V529" s="22">
        <v>12.208</v>
      </c>
      <c r="W529" s="23">
        <v>43.6</v>
      </c>
      <c r="X529" s="21" t="str" cm="1">
        <f t="array" ref="X529">IF(OR(R529:R1066&lt;0,T528:T1066&lt;0,C529:C1067=""),"Check","OK")</f>
        <v>Check</v>
      </c>
    </row>
    <row r="530" ht="17.6" spans="1:24">
      <c r="A530" s="4">
        <v>9143</v>
      </c>
      <c r="B530" s="5" t="s">
        <v>2529</v>
      </c>
      <c r="C530" s="6">
        <v>42875</v>
      </c>
      <c r="D530" s="6">
        <v>42881</v>
      </c>
      <c r="E530" s="5" t="s">
        <v>4</v>
      </c>
      <c r="F530" s="5" t="s">
        <v>583</v>
      </c>
      <c r="G530" s="5" t="s">
        <v>584</v>
      </c>
      <c r="H530" s="5" t="s">
        <v>111</v>
      </c>
      <c r="I530" s="5" t="s">
        <v>708</v>
      </c>
      <c r="J530" s="5" t="s">
        <v>359</v>
      </c>
      <c r="K530" s="5" t="s">
        <v>360</v>
      </c>
      <c r="L530" s="5">
        <v>89115</v>
      </c>
      <c r="M530" s="5" t="s">
        <v>717</v>
      </c>
      <c r="N530" s="5" t="s">
        <v>2530</v>
      </c>
      <c r="O530" s="5" t="s">
        <v>9</v>
      </c>
      <c r="P530" s="5" t="s">
        <v>736</v>
      </c>
      <c r="Q530" s="5" t="s">
        <v>2531</v>
      </c>
      <c r="R530" s="33">
        <v>8.288</v>
      </c>
      <c r="S530" s="4">
        <v>2</v>
      </c>
      <c r="T530" s="14">
        <v>0.2</v>
      </c>
      <c r="U530" s="12">
        <v>3.0044</v>
      </c>
      <c r="V530" s="19">
        <v>3.0044</v>
      </c>
      <c r="W530" s="20">
        <v>6.6304</v>
      </c>
      <c r="X530" s="21" t="str" cm="1">
        <f t="array" ref="X530">IF(OR(R530:R1067&lt;0,T529:T1067&lt;0,C530:C1068=""),"Check","OK")</f>
        <v>Check</v>
      </c>
    </row>
    <row r="531" ht="17.6" spans="1:24">
      <c r="A531" s="7">
        <v>9146</v>
      </c>
      <c r="B531" s="8" t="s">
        <v>2532</v>
      </c>
      <c r="C531" s="9">
        <v>42267</v>
      </c>
      <c r="D531" s="9">
        <v>42271</v>
      </c>
      <c r="E531" s="8" t="s">
        <v>4</v>
      </c>
      <c r="F531" s="8" t="s">
        <v>669</v>
      </c>
      <c r="G531" s="8" t="s">
        <v>670</v>
      </c>
      <c r="H531" s="8" t="s">
        <v>111</v>
      </c>
      <c r="I531" s="8" t="s">
        <v>708</v>
      </c>
      <c r="J531" s="8" t="s">
        <v>671</v>
      </c>
      <c r="K531" s="8" t="s">
        <v>183</v>
      </c>
      <c r="L531" s="8">
        <v>60540</v>
      </c>
      <c r="M531" s="8" t="s">
        <v>742</v>
      </c>
      <c r="N531" s="8" t="s">
        <v>2533</v>
      </c>
      <c r="O531" s="8" t="s">
        <v>9</v>
      </c>
      <c r="P531" s="8" t="s">
        <v>736</v>
      </c>
      <c r="Q531" s="8" t="s">
        <v>2534</v>
      </c>
      <c r="R531" s="34">
        <v>2.808</v>
      </c>
      <c r="S531" s="7">
        <v>3</v>
      </c>
      <c r="T531" s="16">
        <v>0.8</v>
      </c>
      <c r="U531" s="15">
        <v>-4.4928</v>
      </c>
      <c r="V531" s="22">
        <v>4.4928</v>
      </c>
      <c r="W531" s="23">
        <v>0.5616</v>
      </c>
      <c r="X531" s="21" t="str" cm="1">
        <f t="array" ref="X531">IF(OR(R531:R1068&lt;0,T530:T1068&lt;0,C531:C1069=""),"Check","OK")</f>
        <v>Check</v>
      </c>
    </row>
    <row r="532" ht="17.6" spans="1:24">
      <c r="A532" s="4">
        <v>9147</v>
      </c>
      <c r="B532" s="5" t="s">
        <v>2535</v>
      </c>
      <c r="C532" s="6">
        <v>42392</v>
      </c>
      <c r="D532" s="6">
        <v>42396</v>
      </c>
      <c r="E532" s="5" t="s">
        <v>4</v>
      </c>
      <c r="F532" s="5" t="s">
        <v>1203</v>
      </c>
      <c r="G532" s="5" t="s">
        <v>1204</v>
      </c>
      <c r="H532" s="5" t="s">
        <v>716</v>
      </c>
      <c r="I532" s="5" t="s">
        <v>708</v>
      </c>
      <c r="J532" s="5" t="s">
        <v>394</v>
      </c>
      <c r="K532" s="5" t="s">
        <v>2536</v>
      </c>
      <c r="L532" s="40" t="s">
        <v>2537</v>
      </c>
      <c r="M532" s="5" t="s">
        <v>759</v>
      </c>
      <c r="N532" s="5" t="s">
        <v>2538</v>
      </c>
      <c r="O532" s="5" t="s">
        <v>10</v>
      </c>
      <c r="P532" s="5" t="s">
        <v>809</v>
      </c>
      <c r="Q532" s="5" t="s">
        <v>2539</v>
      </c>
      <c r="R532" s="33">
        <v>99.98</v>
      </c>
      <c r="S532" s="4">
        <v>2</v>
      </c>
      <c r="T532" s="14">
        <v>0</v>
      </c>
      <c r="U532" s="12">
        <v>42.9914</v>
      </c>
      <c r="V532" s="19">
        <v>42.9914</v>
      </c>
      <c r="W532" s="20">
        <v>99.98</v>
      </c>
      <c r="X532" s="21" t="str" cm="1">
        <f t="array" ref="X532">IF(OR(R532:R1069&lt;0,T531:T1069&lt;0,C532:C1070=""),"Check","OK")</f>
        <v>Check</v>
      </c>
    </row>
    <row r="533" ht="17.6" spans="1:24">
      <c r="A533" s="7">
        <v>9150</v>
      </c>
      <c r="B533" s="8" t="s">
        <v>2540</v>
      </c>
      <c r="C533" s="9">
        <v>41791</v>
      </c>
      <c r="D533" s="9">
        <v>41796</v>
      </c>
      <c r="E533" s="8" t="s">
        <v>4</v>
      </c>
      <c r="F533" s="8" t="s">
        <v>2541</v>
      </c>
      <c r="G533" s="8" t="s">
        <v>2542</v>
      </c>
      <c r="H533" s="8" t="s">
        <v>716</v>
      </c>
      <c r="I533" s="8" t="s">
        <v>708</v>
      </c>
      <c r="J533" s="8" t="s">
        <v>162</v>
      </c>
      <c r="K533" s="8" t="s">
        <v>163</v>
      </c>
      <c r="L533" s="8">
        <v>48234</v>
      </c>
      <c r="M533" s="8" t="s">
        <v>742</v>
      </c>
      <c r="N533" s="8" t="s">
        <v>2543</v>
      </c>
      <c r="O533" s="8" t="s">
        <v>9</v>
      </c>
      <c r="P533" s="8" t="s">
        <v>736</v>
      </c>
      <c r="Q533" s="8" t="s">
        <v>2544</v>
      </c>
      <c r="R533" s="34">
        <v>138.56</v>
      </c>
      <c r="S533" s="7">
        <v>4</v>
      </c>
      <c r="T533" s="16">
        <v>0</v>
      </c>
      <c r="U533" s="15">
        <v>66.5088</v>
      </c>
      <c r="V533" s="22">
        <v>66.5088</v>
      </c>
      <c r="W533" s="23">
        <v>138.56</v>
      </c>
      <c r="X533" s="21" t="str" cm="1">
        <f t="array" ref="X533">IF(OR(R533:R1070&lt;0,T532:T1070&lt;0,C533:C1071=""),"Check","OK")</f>
        <v>Check</v>
      </c>
    </row>
    <row r="534" ht="17.6" spans="1:24">
      <c r="A534" s="4">
        <v>9152</v>
      </c>
      <c r="B534" s="5" t="s">
        <v>2545</v>
      </c>
      <c r="C534" s="6">
        <v>42271</v>
      </c>
      <c r="D534" s="6">
        <v>42276</v>
      </c>
      <c r="E534" s="5" t="s">
        <v>707</v>
      </c>
      <c r="F534" s="5" t="s">
        <v>445</v>
      </c>
      <c r="G534" s="5" t="s">
        <v>446</v>
      </c>
      <c r="H534" s="5" t="s">
        <v>111</v>
      </c>
      <c r="I534" s="5" t="s">
        <v>708</v>
      </c>
      <c r="J534" s="5" t="s">
        <v>447</v>
      </c>
      <c r="K534" s="5" t="s">
        <v>122</v>
      </c>
      <c r="L534" s="5">
        <v>85323</v>
      </c>
      <c r="M534" s="5" t="s">
        <v>717</v>
      </c>
      <c r="N534" s="5" t="s">
        <v>51</v>
      </c>
      <c r="O534" s="5" t="s">
        <v>9</v>
      </c>
      <c r="P534" s="5" t="s">
        <v>16</v>
      </c>
      <c r="Q534" s="5" t="s">
        <v>50</v>
      </c>
      <c r="R534" s="33">
        <v>14.576</v>
      </c>
      <c r="S534" s="4">
        <v>2</v>
      </c>
      <c r="T534" s="14">
        <v>0.2</v>
      </c>
      <c r="U534" s="12">
        <v>2.3686</v>
      </c>
      <c r="V534" s="19">
        <v>2.3686</v>
      </c>
      <c r="W534" s="20">
        <v>11.6608</v>
      </c>
      <c r="X534" s="21" t="str" cm="1">
        <f t="array" ref="X534">IF(OR(R534:R1071&lt;0,T533:T1071&lt;0,C534:C1072=""),"Check","OK")</f>
        <v>Check</v>
      </c>
    </row>
    <row r="535" ht="17.6" spans="1:24">
      <c r="A535" s="7">
        <v>9155</v>
      </c>
      <c r="B535" s="8" t="s">
        <v>2546</v>
      </c>
      <c r="C535" s="9">
        <v>42583</v>
      </c>
      <c r="D535" s="9">
        <v>42585</v>
      </c>
      <c r="E535" s="8" t="s">
        <v>707</v>
      </c>
      <c r="F535" s="8" t="s">
        <v>443</v>
      </c>
      <c r="G535" s="8" t="s">
        <v>444</v>
      </c>
      <c r="H535" s="8" t="s">
        <v>111</v>
      </c>
      <c r="I535" s="8" t="s">
        <v>708</v>
      </c>
      <c r="J535" s="8" t="s">
        <v>175</v>
      </c>
      <c r="K535" s="8" t="s">
        <v>176</v>
      </c>
      <c r="L535" s="8">
        <v>19140</v>
      </c>
      <c r="M535" s="8" t="s">
        <v>759</v>
      </c>
      <c r="N535" s="8" t="s">
        <v>2547</v>
      </c>
      <c r="O535" s="8" t="s">
        <v>8</v>
      </c>
      <c r="P535" s="8" t="s">
        <v>727</v>
      </c>
      <c r="Q535" s="8" t="s">
        <v>2548</v>
      </c>
      <c r="R535" s="34">
        <v>19.312</v>
      </c>
      <c r="S535" s="7">
        <v>2</v>
      </c>
      <c r="T535" s="16">
        <v>0.2</v>
      </c>
      <c r="U535" s="15">
        <v>3.1382</v>
      </c>
      <c r="V535" s="22">
        <v>3.1382</v>
      </c>
      <c r="W535" s="23">
        <v>15.4496</v>
      </c>
      <c r="X535" s="21" t="str" cm="1">
        <f t="array" ref="X535">IF(OR(R535:R1072&lt;0,T534:T1072&lt;0,C535:C1073=""),"Check","OK")</f>
        <v>Check</v>
      </c>
    </row>
    <row r="536" ht="17.6" spans="1:24">
      <c r="A536" s="4">
        <v>9156</v>
      </c>
      <c r="B536" s="5" t="s">
        <v>2549</v>
      </c>
      <c r="C536" s="6">
        <v>41662</v>
      </c>
      <c r="D536" s="6">
        <v>41667</v>
      </c>
      <c r="E536" s="5" t="s">
        <v>4</v>
      </c>
      <c r="F536" s="5" t="s">
        <v>357</v>
      </c>
      <c r="G536" s="5" t="s">
        <v>358</v>
      </c>
      <c r="H536" s="5" t="s">
        <v>111</v>
      </c>
      <c r="I536" s="5" t="s">
        <v>708</v>
      </c>
      <c r="J536" s="5" t="s">
        <v>359</v>
      </c>
      <c r="K536" s="5" t="s">
        <v>360</v>
      </c>
      <c r="L536" s="5">
        <v>89115</v>
      </c>
      <c r="M536" s="5" t="s">
        <v>717</v>
      </c>
      <c r="N536" s="5" t="s">
        <v>986</v>
      </c>
      <c r="O536" s="5" t="s">
        <v>9</v>
      </c>
      <c r="P536" s="5" t="s">
        <v>731</v>
      </c>
      <c r="Q536" s="5" t="s">
        <v>987</v>
      </c>
      <c r="R536" s="33">
        <v>40.08</v>
      </c>
      <c r="S536" s="4">
        <v>6</v>
      </c>
      <c r="T536" s="14">
        <v>0</v>
      </c>
      <c r="U536" s="12">
        <v>19.2384</v>
      </c>
      <c r="V536" s="19">
        <v>19.2384</v>
      </c>
      <c r="W536" s="20">
        <v>40.08</v>
      </c>
      <c r="X536" s="21" t="str" cm="1">
        <f t="array" ref="X536">IF(OR(R536:R1073&lt;0,T535:T1073&lt;0,C536:C1074=""),"Check","OK")</f>
        <v>Check</v>
      </c>
    </row>
    <row r="537" ht="17.6" spans="1:24">
      <c r="A537" s="7">
        <v>9157</v>
      </c>
      <c r="B537" s="8" t="s">
        <v>2550</v>
      </c>
      <c r="C537" s="9">
        <v>41855</v>
      </c>
      <c r="D537" s="9">
        <v>41859</v>
      </c>
      <c r="E537" s="8" t="s">
        <v>4</v>
      </c>
      <c r="F537" s="8" t="s">
        <v>2551</v>
      </c>
      <c r="G537" s="8" t="s">
        <v>2552</v>
      </c>
      <c r="H537" s="8" t="s">
        <v>716</v>
      </c>
      <c r="I537" s="8" t="s">
        <v>708</v>
      </c>
      <c r="J537" s="8" t="s">
        <v>2553</v>
      </c>
      <c r="K537" s="8" t="s">
        <v>2554</v>
      </c>
      <c r="L537" s="8">
        <v>4401</v>
      </c>
      <c r="M537" s="8" t="s">
        <v>759</v>
      </c>
      <c r="N537" s="8" t="s">
        <v>1655</v>
      </c>
      <c r="O537" s="8" t="s">
        <v>9</v>
      </c>
      <c r="P537" s="8" t="s">
        <v>744</v>
      </c>
      <c r="Q537" s="8" t="s">
        <v>1656</v>
      </c>
      <c r="R537" s="34">
        <v>101.96</v>
      </c>
      <c r="S537" s="7">
        <v>2</v>
      </c>
      <c r="T537" s="16">
        <v>0</v>
      </c>
      <c r="U537" s="15">
        <v>27.5292</v>
      </c>
      <c r="V537" s="22">
        <v>27.5292</v>
      </c>
      <c r="W537" s="23">
        <v>101.96</v>
      </c>
      <c r="X537" s="21" t="str" cm="1">
        <f t="array" ref="X537">IF(OR(R537:R1074&lt;0,T536:T1074&lt;0,C537:C1075=""),"Check","OK")</f>
        <v>Check</v>
      </c>
    </row>
    <row r="538" ht="17.6" spans="1:24">
      <c r="A538" s="4">
        <v>9160</v>
      </c>
      <c r="B538" s="5" t="s">
        <v>2555</v>
      </c>
      <c r="C538" s="6">
        <v>42591</v>
      </c>
      <c r="D538" s="6">
        <v>42596</v>
      </c>
      <c r="E538" s="5" t="s">
        <v>4</v>
      </c>
      <c r="F538" s="5" t="s">
        <v>2556</v>
      </c>
      <c r="G538" s="5" t="s">
        <v>2557</v>
      </c>
      <c r="H538" s="5" t="s">
        <v>741</v>
      </c>
      <c r="I538" s="5" t="s">
        <v>708</v>
      </c>
      <c r="J538" s="5" t="s">
        <v>2558</v>
      </c>
      <c r="K538" s="5" t="s">
        <v>381</v>
      </c>
      <c r="L538" s="5">
        <v>37075</v>
      </c>
      <c r="M538" s="5" t="s">
        <v>709</v>
      </c>
      <c r="N538" s="5" t="s">
        <v>1332</v>
      </c>
      <c r="O538" s="5" t="s">
        <v>9</v>
      </c>
      <c r="P538" s="5" t="s">
        <v>736</v>
      </c>
      <c r="Q538" s="5" t="s">
        <v>1333</v>
      </c>
      <c r="R538" s="33">
        <v>4.338</v>
      </c>
      <c r="S538" s="4">
        <v>3</v>
      </c>
      <c r="T538" s="14">
        <v>0.7</v>
      </c>
      <c r="U538" s="12">
        <v>-3.0366</v>
      </c>
      <c r="V538" s="19">
        <v>3.0366</v>
      </c>
      <c r="W538" s="20">
        <v>1.3014</v>
      </c>
      <c r="X538" s="21" t="str" cm="1">
        <f t="array" ref="X538">IF(OR(R538:R1075&lt;0,T537:T1075&lt;0,C538:C1076=""),"Check","OK")</f>
        <v>Check</v>
      </c>
    </row>
    <row r="539" ht="17.6" spans="1:24">
      <c r="A539" s="7">
        <v>9162</v>
      </c>
      <c r="B539" s="8" t="s">
        <v>2559</v>
      </c>
      <c r="C539" s="9">
        <v>42712</v>
      </c>
      <c r="D539" s="9">
        <v>42716</v>
      </c>
      <c r="E539" s="8" t="s">
        <v>4</v>
      </c>
      <c r="F539" s="8" t="s">
        <v>152</v>
      </c>
      <c r="G539" s="8" t="s">
        <v>153</v>
      </c>
      <c r="H539" s="8" t="s">
        <v>111</v>
      </c>
      <c r="I539" s="8" t="s">
        <v>708</v>
      </c>
      <c r="J539" s="8" t="s">
        <v>154</v>
      </c>
      <c r="K539" s="8" t="s">
        <v>155</v>
      </c>
      <c r="L539" s="8">
        <v>54703</v>
      </c>
      <c r="M539" s="8" t="s">
        <v>742</v>
      </c>
      <c r="N539" s="8" t="s">
        <v>2560</v>
      </c>
      <c r="O539" s="8" t="s">
        <v>8</v>
      </c>
      <c r="P539" s="8" t="s">
        <v>711</v>
      </c>
      <c r="Q539" s="8" t="s">
        <v>2561</v>
      </c>
      <c r="R539" s="34">
        <v>405.86</v>
      </c>
      <c r="S539" s="7">
        <v>7</v>
      </c>
      <c r="T539" s="16">
        <v>0</v>
      </c>
      <c r="U539" s="15">
        <v>32.4688</v>
      </c>
      <c r="V539" s="22">
        <v>32.4688</v>
      </c>
      <c r="W539" s="23">
        <v>405.86</v>
      </c>
      <c r="X539" s="21" t="str" cm="1">
        <f t="array" ref="X539">IF(OR(R539:R1076&lt;0,T538:T1076&lt;0,C539:C1077=""),"Check","OK")</f>
        <v>Check</v>
      </c>
    </row>
    <row r="540" ht="17.6" spans="1:24">
      <c r="A540" s="4">
        <v>9164</v>
      </c>
      <c r="B540" s="5" t="s">
        <v>2562</v>
      </c>
      <c r="C540" s="6">
        <v>42163</v>
      </c>
      <c r="D540" s="6">
        <v>42167</v>
      </c>
      <c r="E540" s="5" t="s">
        <v>4</v>
      </c>
      <c r="F540" s="5" t="s">
        <v>498</v>
      </c>
      <c r="G540" s="5" t="s">
        <v>499</v>
      </c>
      <c r="H540" s="5" t="s">
        <v>111</v>
      </c>
      <c r="I540" s="5" t="s">
        <v>708</v>
      </c>
      <c r="J540" s="5" t="s">
        <v>182</v>
      </c>
      <c r="K540" s="5" t="s">
        <v>183</v>
      </c>
      <c r="L540" s="5">
        <v>60610</v>
      </c>
      <c r="M540" s="5" t="s">
        <v>742</v>
      </c>
      <c r="N540" s="5" t="s">
        <v>2563</v>
      </c>
      <c r="O540" s="5" t="s">
        <v>10</v>
      </c>
      <c r="P540" s="5" t="s">
        <v>809</v>
      </c>
      <c r="Q540" s="5" t="s">
        <v>2564</v>
      </c>
      <c r="R540" s="5"/>
      <c r="S540" s="5"/>
      <c r="T540" s="5"/>
      <c r="U540" s="5"/>
      <c r="V540" s="19"/>
      <c r="W540" s="20"/>
      <c r="X540" s="21" t="str" cm="1">
        <f t="array" ref="X540">IF(OR(R540:R1077&lt;0,T539:T1077&lt;0,C540:C1078=""),"Check","OK")</f>
        <v>Check</v>
      </c>
    </row>
    <row r="1043" spans="30:30">
      <c r="AD1043" t="s">
        <v>2565</v>
      </c>
    </row>
  </sheetData>
  <conditionalFormatting sqref="Z9">
    <cfRule type="iconSet" priority="5">
      <iconSet iconSet="3Flags">
        <cfvo type="percent" val="0"/>
        <cfvo type="percent" val="33"/>
        <cfvo type="percent" val="67"/>
      </iconSet>
    </cfRule>
  </conditionalFormatting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showGridLines="0" showRowColHeaders="0" tabSelected="1" zoomScale="95" zoomScaleNormal="95" workbookViewId="0">
      <selection activeCell="P54" sqref="P54"/>
    </sheetView>
  </sheetViews>
  <sheetFormatPr defaultColWidth="9" defaultRowHeight="16.8"/>
  <sheetData/>
  <pageMargins left="0.75" right="0.75" top="1" bottom="1" header="0.5" footer="0.5"/>
  <headerFooter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Ship mode</vt:lpstr>
      <vt:lpstr>segment</vt:lpstr>
      <vt:lpstr>category</vt:lpstr>
      <vt:lpstr>SALES</vt:lpstr>
      <vt:lpstr>Customer</vt:lpstr>
      <vt:lpstr>Superstores sales dataset</vt:lpstr>
      <vt:lpstr>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Dhanush Raju</cp:lastModifiedBy>
  <dcterms:created xsi:type="dcterms:W3CDTF">2025-11-19T05:49:00Z</dcterms:created>
  <dcterms:modified xsi:type="dcterms:W3CDTF">2025-11-24T22:08:41Z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1033-12.1.23152.23152</vt:lpwstr>
  </property>
  <property fmtid="{D5CDD505-2E9C-101B-9397-08002B2CF9AE}" pid="3" name="ICV">
    <vt:lpwstr>95A0C60FEB052D5959762469B7C31FE7_43</vt:lpwstr>
  </property>
</Properties>
</file>